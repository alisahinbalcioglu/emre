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showObjects="none"/>
  <mc:AlternateContent xmlns:mc="http://schemas.openxmlformats.org/markup-compatibility/2006">
    <mc:Choice Requires="x15">
      <x15ac:absPath xmlns:x15ac="http://schemas.microsoft.com/office/spreadsheetml/2010/11/ac" url="C:\Users\basar\Desktop\TEKLİF VERİLEN PROJELER\Bahçeci Bahçe Mobilyaları\"/>
    </mc:Choice>
  </mc:AlternateContent>
  <xr:revisionPtr revIDLastSave="0" documentId="13_ncr:1_{4DB91369-99FB-4CD7-ABAE-9D6B0B886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Print_Area" localSheetId="0">Sayfa1!$A$7:$F$136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1" i="1" l="1"/>
  <c r="C40" i="1"/>
  <c r="F130" i="1" l="1"/>
  <c r="F134" i="1" s="1"/>
</calcChain>
</file>

<file path=xl/sharedStrings.xml><?xml version="1.0" encoding="utf-8"?>
<sst xmlns="http://schemas.openxmlformats.org/spreadsheetml/2006/main" count="223" uniqueCount="123">
  <si>
    <t>No</t>
  </si>
  <si>
    <t>Malzeme Adı</t>
  </si>
  <si>
    <t>Miktar</t>
  </si>
  <si>
    <t>Birim</t>
  </si>
  <si>
    <t>Genleşme Tankı 100 Lt</t>
  </si>
  <si>
    <t>6'' Siyah Boru</t>
  </si>
  <si>
    <t>4'' Siyah Boru</t>
  </si>
  <si>
    <t>3'' Siyah Boru</t>
  </si>
  <si>
    <t>2 1/2'' Siyah Boru</t>
  </si>
  <si>
    <t>2'' Siyah Boru</t>
  </si>
  <si>
    <t>1 1/2'' Siyah Boru</t>
  </si>
  <si>
    <t>1 1/4'' Siyah Boru</t>
  </si>
  <si>
    <t>1'' Siyah Boru</t>
  </si>
  <si>
    <t>3/4'' Siyah Boru</t>
  </si>
  <si>
    <t>1/2'' Siyah Boru</t>
  </si>
  <si>
    <t>8'' Siyah Boru</t>
  </si>
  <si>
    <t>6'' Çek Valf Çift Klapeli</t>
  </si>
  <si>
    <t>6'' Yükselen Milli Vana</t>
  </si>
  <si>
    <t>6'' Kelebek Vana</t>
  </si>
  <si>
    <t>4'' Kelebek Vana</t>
  </si>
  <si>
    <t>4'' Çek Valf Çift Klapeli</t>
  </si>
  <si>
    <t>6'' Islak Alarm Vanası</t>
  </si>
  <si>
    <t>4'' Islak Alarm Vanası</t>
  </si>
  <si>
    <t xml:space="preserve">6''  Ansi Flanş </t>
  </si>
  <si>
    <t xml:space="preserve">4''  DIN Flanş </t>
  </si>
  <si>
    <t xml:space="preserve">4''  Ansi Flanş </t>
  </si>
  <si>
    <t>1 1/4 Kelebek Vana</t>
  </si>
  <si>
    <t>6''  Patent Dirsek</t>
  </si>
  <si>
    <t>4'' Patent Dirsek</t>
  </si>
  <si>
    <t>6 '' Yivli Tee</t>
  </si>
  <si>
    <t>4'' x 1 1/4 Mekanik Tee</t>
  </si>
  <si>
    <t xml:space="preserve">6 '' Kaplin </t>
  </si>
  <si>
    <t xml:space="preserve">4 '' Kaplin </t>
  </si>
  <si>
    <t>4'' x 2 Mekanik Tee</t>
  </si>
  <si>
    <t>3'' Islak Alarm Vanası</t>
  </si>
  <si>
    <t xml:space="preserve">3''  Ansi Flanş </t>
  </si>
  <si>
    <t xml:space="preserve">1'' Siyah Dirsek </t>
  </si>
  <si>
    <t xml:space="preserve">1'' x 3/4 Manşon Redüksiyon </t>
  </si>
  <si>
    <t>Sarf Malzeme</t>
  </si>
  <si>
    <t>200x200x5 mm Taban Plakası</t>
  </si>
  <si>
    <t>80x45x6 mm  NPU Demir</t>
  </si>
  <si>
    <t>50x50x4mm Galvaniz Delikli U Perfore (200cm)</t>
  </si>
  <si>
    <t>M10 Çelik Dübel</t>
  </si>
  <si>
    <t xml:space="preserve">8'' Kep </t>
  </si>
  <si>
    <t xml:space="preserve">6'' U Bolt </t>
  </si>
  <si>
    <t>4 '' U Bolt</t>
  </si>
  <si>
    <t xml:space="preserve">8'' U Bolt </t>
  </si>
  <si>
    <t>6'' Ağır Yük Kelepçesi</t>
  </si>
  <si>
    <t>4'' Ağır Yük Kelepçesi</t>
  </si>
  <si>
    <t>3 '' U Bolt</t>
  </si>
  <si>
    <t>3'' Ağır Yük Keleğçesi</t>
  </si>
  <si>
    <t>3'' Kelebek Vana</t>
  </si>
  <si>
    <t xml:space="preserve"> 2 ''Test Drenaj Vanası </t>
  </si>
  <si>
    <t xml:space="preserve"> 1 ''Test Drenaj Vanası </t>
  </si>
  <si>
    <t>1 1/ 2'' x1''x 1 1/4'' İnegal Tee</t>
  </si>
  <si>
    <t>1 1/ 4'' x 1''x  1'' İnegal Tee</t>
  </si>
  <si>
    <t>1'' Tee</t>
  </si>
  <si>
    <t>2'' x1 ''x 1 1/2'' İnegal Tee</t>
  </si>
  <si>
    <t xml:space="preserve">2'' Siyah Dirsek </t>
  </si>
  <si>
    <t xml:space="preserve">2 1/2'' Siyah Dirsek </t>
  </si>
  <si>
    <t>1 1/4'' Armut kelepçe</t>
  </si>
  <si>
    <t xml:space="preserve">4 '' Akış Ölçer Kaynaklı </t>
  </si>
  <si>
    <t xml:space="preserve"> 3 '' Basınç Düşürücü 120mSS-70mSS (Dolap Hattı için) </t>
  </si>
  <si>
    <t>ad</t>
  </si>
  <si>
    <t>mt</t>
  </si>
  <si>
    <t>Vana Grubu</t>
  </si>
  <si>
    <t>Siyah Çelik  Boru  TS EN 10255</t>
  </si>
  <si>
    <t>Yangın Dolabı   TS EN 671-1</t>
  </si>
  <si>
    <t>Su deposu Modüler prizmastik</t>
  </si>
  <si>
    <t>Yangın Pompa Grubu</t>
  </si>
  <si>
    <t>Sprinkler Grubu</t>
  </si>
  <si>
    <t>3/4'' ,K115, upright,68°C,std, Sprinkler</t>
  </si>
  <si>
    <t>Malz.B.F.( USD )</t>
  </si>
  <si>
    <t>Malz.T.F.( USD )</t>
  </si>
  <si>
    <t>Yangın Pompa Seti</t>
  </si>
  <si>
    <t>set</t>
  </si>
  <si>
    <t>GENEL TOPLAM ( USD ) :</t>
  </si>
  <si>
    <t>Boruların Boyanması</t>
  </si>
  <si>
    <t>3'' Patent Dirsek</t>
  </si>
  <si>
    <t xml:space="preserve">3''  DIN Flanş </t>
  </si>
  <si>
    <t xml:space="preserve">Fittings </t>
  </si>
  <si>
    <t xml:space="preserve">Yivli Fittings </t>
  </si>
  <si>
    <t>6''x4'' Yivli Redüksiyon</t>
  </si>
  <si>
    <t>4''x3'' Yivli Redüksiyon</t>
  </si>
  <si>
    <t xml:space="preserve">3 '' Kaplin </t>
  </si>
  <si>
    <t xml:space="preserve">2 1/2 '' Kaplin </t>
  </si>
  <si>
    <t>2 1/2 '' Siyah Dişli Tee</t>
  </si>
  <si>
    <t>6'' Armut kelepçe</t>
  </si>
  <si>
    <t>4'' Armut kelepçe</t>
  </si>
  <si>
    <t>3'' Armut kelepçe</t>
  </si>
  <si>
    <t>2 1/2'' Armut kelepçe</t>
  </si>
  <si>
    <t>2'' Armut kelepçe</t>
  </si>
  <si>
    <t>1 1/2'' Armut kelepçe</t>
  </si>
  <si>
    <t>1 '' Armut kelepçe</t>
  </si>
  <si>
    <t>M10 Tij (2 m )</t>
  </si>
  <si>
    <t>3''x2 1/2'' Yivli Redüksiyon</t>
  </si>
  <si>
    <t xml:space="preserve">3''  Yivli Dirsek </t>
  </si>
  <si>
    <t xml:space="preserve">3'' Yivli Tee </t>
  </si>
  <si>
    <t>6'' x 2''  Mekanik Tee</t>
  </si>
  <si>
    <t>1 1/4'' x 1 x 1 1/4 '' İnegal Tee</t>
  </si>
  <si>
    <t>2 '' x 1 1/4 Redüksiyon</t>
  </si>
  <si>
    <t>6 '' yivli kep</t>
  </si>
  <si>
    <t>4 '' yivli kep</t>
  </si>
  <si>
    <t>M10 Askı Mengesi</t>
  </si>
  <si>
    <t xml:space="preserve">M10 somun </t>
  </si>
  <si>
    <t>M10 Pul</t>
  </si>
  <si>
    <t>İtfaiye Bağlantı Ağzı 4''x2 1/2''x2 1/2''</t>
  </si>
  <si>
    <t>Manometre,Ø100 mm,1/2" alttan bağlantı,gliserinli</t>
  </si>
  <si>
    <t>6''  DIN Flanş ,PN16</t>
  </si>
  <si>
    <t>6 '' Yivli Dirsek,90°</t>
  </si>
  <si>
    <t>4 '' Yivli Dirsek,90°</t>
  </si>
  <si>
    <t>MALZEME TOPLAM ( USD )</t>
  </si>
  <si>
    <t xml:space="preserve">İşçilk,Montaj,Test &amp; Devreye Alma( USD ) </t>
  </si>
  <si>
    <t>1/2'' ,K80,68°C,Pendent,std, Sprinkler</t>
  </si>
  <si>
    <t>1/2'' ,K80,68°C,upright ,std,Sprinkler</t>
  </si>
  <si>
    <t xml:space="preserve"> Dizel Yangın Pompa 120 m3/h - 100 mSS </t>
  </si>
  <si>
    <t>Elektrikli Yangın Pompa 120 m3/h- 100 mSS</t>
  </si>
  <si>
    <t>Jokey Pompa 3 m3/h -110 mSS</t>
  </si>
  <si>
    <t xml:space="preserve">Su Deposu 153 m3 </t>
  </si>
  <si>
    <t>Yangın Dolabı 1''- 30 m Hortumlu - 200 lt/dk</t>
  </si>
  <si>
    <t>Köpüklü Yangın Dolabı 1''- 30 m Hortumlu - 200 lt/dk</t>
  </si>
  <si>
    <t xml:space="preserve">Hidrant  </t>
  </si>
  <si>
    <t xml:space="preserve">1'' Glvz. Dişli Dirsek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</si>
</sst>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usd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/>
    <xf numFmtId="164" fontId="0" fillId="0" borderId="1" xfId="0" applyNumberForma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right"/>
    </xf>
  </cellXfs>
  <cellStyles count="2">
    <cellStyle name="Normal" xfId="0" builtinId="0"/>
    <cellStyle name="Normal 10" xfId="1" xr:uid="{0194A071-819F-4603-BAC5-0B7CA9922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F136"/>
  <sheetViews>
    <sheetView tabSelected="1" view="pageBreakPreview" topLeftCell="A112" zoomScale="115" zoomScaleNormal="130" zoomScaleSheetLayoutView="115" workbookViewId="0">
      <selection activeCell="F127" sqref="F127"/>
    </sheetView>
  </sheetViews>
  <sheetFormatPr defaultRowHeight="15" x14ac:dyDescent="0.25"/>
  <cols>
    <col min="1" max="1" width="4.85546875" style="1" customWidth="1"/>
    <col min="2" max="2" width="51.28515625" customWidth="1"/>
    <col min="3" max="3" width="9.140625" style="1"/>
    <col min="4" max="4" width="8.28515625" style="1" customWidth="1"/>
    <col min="5" max="5" width="16.85546875" style="2" customWidth="1"/>
    <col min="6" max="6" width="17.28515625" style="2" customWidth="1"/>
  </cols>
  <sheetData>
    <row r="7" spans="1:6" ht="28.5" customHeight="1" x14ac:dyDescent="0.25">
      <c r="A7" s="25"/>
      <c r="B7" s="25"/>
      <c r="C7" s="25"/>
      <c r="D7" s="25"/>
    </row>
    <row r="8" spans="1:6" ht="42.75" customHeight="1" x14ac:dyDescent="0.25">
      <c r="A8" s="3" t="s">
        <v>0</v>
      </c>
      <c r="B8" s="3" t="s">
        <v>1</v>
      </c>
      <c r="C8" s="3" t="s">
        <v>2</v>
      </c>
      <c r="D8" s="3" t="s">
        <v>3</v>
      </c>
      <c r="E8" s="4" t="s">
        <v>72</v>
      </c>
      <c r="F8" s="4" t="s">
        <v>73</v>
      </c>
    </row>
    <row r="9" spans="1:6" x14ac:dyDescent="0.25">
      <c r="A9" s="3"/>
      <c r="B9" s="5" t="s">
        <v>69</v>
      </c>
      <c r="C9" s="3"/>
      <c r="D9" s="3"/>
      <c r="E9" s="6"/>
      <c r="F9" s="6"/>
    </row>
    <row r="10" spans="1:6" x14ac:dyDescent="0.25">
      <c r="A10" s="7">
        <v>1</v>
      </c>
      <c r="B10" s="8" t="s">
        <v>74</v>
      </c>
      <c r="C10" s="9">
        <v>1</v>
      </c>
      <c r="D10" s="9" t="s">
        <v>75</v>
      </c>
      <c r="E10" s="20"/>
      <c r="F10" s="20"/>
    </row>
    <row r="11" spans="1:6" x14ac:dyDescent="0.25">
      <c r="A11" s="9">
        <v>2</v>
      </c>
      <c r="B11" s="8" t="s">
        <v>115</v>
      </c>
      <c r="C11" s="9">
        <v>1</v>
      </c>
      <c r="D11" s="9" t="s">
        <v>63</v>
      </c>
      <c r="E11" s="26"/>
      <c r="F11" s="20"/>
    </row>
    <row r="12" spans="1:6" x14ac:dyDescent="0.25">
      <c r="A12" s="9"/>
      <c r="B12" s="8" t="s">
        <v>116</v>
      </c>
      <c r="C12" s="9">
        <v>1</v>
      </c>
      <c r="D12" s="9" t="s">
        <v>63</v>
      </c>
      <c r="E12" s="26"/>
      <c r="F12" s="20"/>
    </row>
    <row r="13" spans="1:6" x14ac:dyDescent="0.25">
      <c r="A13" s="7">
        <v>3</v>
      </c>
      <c r="B13" s="8" t="s">
        <v>117</v>
      </c>
      <c r="C13" s="9">
        <v>1</v>
      </c>
      <c r="D13" s="9" t="s">
        <v>63</v>
      </c>
      <c r="E13" s="26"/>
      <c r="F13" s="20"/>
    </row>
    <row r="14" spans="1:6" x14ac:dyDescent="0.25">
      <c r="A14" s="9">
        <v>4</v>
      </c>
      <c r="B14" s="8" t="s">
        <v>4</v>
      </c>
      <c r="C14" s="9">
        <v>1</v>
      </c>
      <c r="D14" s="9" t="s">
        <v>63</v>
      </c>
      <c r="E14" s="26"/>
      <c r="F14" s="20"/>
    </row>
    <row r="15" spans="1:6" x14ac:dyDescent="0.25">
      <c r="A15" s="10"/>
      <c r="B15" s="5" t="s">
        <v>68</v>
      </c>
      <c r="C15" s="10"/>
      <c r="D15" s="10"/>
      <c r="E15" s="20"/>
      <c r="F15" s="20"/>
    </row>
    <row r="16" spans="1:6" x14ac:dyDescent="0.25">
      <c r="A16" s="9">
        <v>5</v>
      </c>
      <c r="B16" s="8" t="s">
        <v>118</v>
      </c>
      <c r="C16" s="9">
        <v>1</v>
      </c>
      <c r="D16" s="9" t="s">
        <v>63</v>
      </c>
      <c r="E16" s="20"/>
      <c r="F16" s="20"/>
    </row>
    <row r="17" spans="1:6" x14ac:dyDescent="0.25">
      <c r="A17" s="9"/>
      <c r="B17" s="5" t="s">
        <v>67</v>
      </c>
      <c r="C17" s="10"/>
      <c r="D17" s="10"/>
      <c r="E17" s="20"/>
      <c r="F17" s="20"/>
    </row>
    <row r="18" spans="1:6" x14ac:dyDescent="0.25">
      <c r="A18" s="9">
        <v>6</v>
      </c>
      <c r="B18" s="8" t="s">
        <v>120</v>
      </c>
      <c r="C18" s="9">
        <v>49</v>
      </c>
      <c r="D18" s="9" t="s">
        <v>63</v>
      </c>
      <c r="E18" s="20"/>
      <c r="F18" s="20"/>
    </row>
    <row r="19" spans="1:6" x14ac:dyDescent="0.25">
      <c r="A19" s="9"/>
      <c r="B19" s="8" t="s">
        <v>119</v>
      </c>
      <c r="C19" s="9">
        <v>4</v>
      </c>
      <c r="D19" s="9" t="s">
        <v>63</v>
      </c>
      <c r="E19" s="20"/>
      <c r="F19" s="20"/>
    </row>
    <row r="20" spans="1:6" x14ac:dyDescent="0.25">
      <c r="A20" s="9"/>
      <c r="B20" s="5" t="s">
        <v>121</v>
      </c>
      <c r="C20" s="9"/>
      <c r="D20" s="9"/>
      <c r="E20" s="20"/>
      <c r="F20" s="20"/>
    </row>
    <row r="21" spans="1:6" x14ac:dyDescent="0.25">
      <c r="A21" s="9"/>
      <c r="B21" s="8" t="s">
        <v>121</v>
      </c>
      <c r="C21" s="9">
        <v>12</v>
      </c>
      <c r="D21" s="9" t="s">
        <v>63</v>
      </c>
      <c r="E21" s="20"/>
      <c r="F21" s="20"/>
    </row>
    <row r="22" spans="1:6" x14ac:dyDescent="0.25">
      <c r="A22" s="9"/>
      <c r="B22" s="8"/>
      <c r="C22" s="9"/>
      <c r="D22" s="9"/>
      <c r="E22" s="20"/>
      <c r="F22" s="20"/>
    </row>
    <row r="23" spans="1:6" x14ac:dyDescent="0.25">
      <c r="A23" s="9"/>
      <c r="B23" s="8"/>
      <c r="C23" s="9"/>
      <c r="D23" s="9"/>
      <c r="E23" s="20"/>
      <c r="F23" s="20"/>
    </row>
    <row r="24" spans="1:6" x14ac:dyDescent="0.25">
      <c r="A24" s="9"/>
      <c r="B24" s="8"/>
      <c r="C24" s="9"/>
      <c r="D24" s="9"/>
      <c r="E24" s="20"/>
      <c r="F24" s="20"/>
    </row>
    <row r="25" spans="1:6" x14ac:dyDescent="0.25">
      <c r="A25" s="9"/>
      <c r="B25" s="8"/>
      <c r="C25" s="9"/>
      <c r="D25" s="9"/>
      <c r="E25" s="20"/>
      <c r="F25" s="20"/>
    </row>
    <row r="26" spans="1:6" x14ac:dyDescent="0.25">
      <c r="A26" s="9"/>
      <c r="B26" s="8"/>
      <c r="C26" s="9"/>
      <c r="D26" s="9"/>
      <c r="E26" s="20"/>
      <c r="F26" s="20"/>
    </row>
    <row r="27" spans="1:6" x14ac:dyDescent="0.25">
      <c r="A27" s="9"/>
      <c r="B27" s="8"/>
      <c r="C27" s="9"/>
      <c r="D27" s="9"/>
      <c r="E27" s="20"/>
      <c r="F27" s="20"/>
    </row>
    <row r="28" spans="1:6" x14ac:dyDescent="0.25">
      <c r="A28" s="10"/>
      <c r="B28" s="5" t="s">
        <v>66</v>
      </c>
      <c r="C28" s="10"/>
      <c r="D28" s="10"/>
      <c r="E28" s="20"/>
      <c r="F28" s="20"/>
    </row>
    <row r="29" spans="1:6" x14ac:dyDescent="0.25">
      <c r="A29" s="9">
        <v>7</v>
      </c>
      <c r="B29" s="8" t="s">
        <v>15</v>
      </c>
      <c r="C29" s="9">
        <v>6</v>
      </c>
      <c r="D29" s="9" t="s">
        <v>64</v>
      </c>
      <c r="E29" s="20"/>
      <c r="F29" s="20"/>
    </row>
    <row r="30" spans="1:6" x14ac:dyDescent="0.25">
      <c r="A30" s="9">
        <v>8</v>
      </c>
      <c r="B30" s="8" t="s">
        <v>5</v>
      </c>
      <c r="C30" s="9">
        <v>286</v>
      </c>
      <c r="D30" s="9" t="s">
        <v>64</v>
      </c>
      <c r="E30" s="20"/>
      <c r="F30" s="20"/>
    </row>
    <row r="31" spans="1:6" x14ac:dyDescent="0.25">
      <c r="A31" s="9">
        <v>9</v>
      </c>
      <c r="B31" s="8" t="s">
        <v>6</v>
      </c>
      <c r="C31" s="9">
        <v>268</v>
      </c>
      <c r="D31" s="9" t="s">
        <v>64</v>
      </c>
      <c r="E31" s="20"/>
      <c r="F31" s="20"/>
    </row>
    <row r="32" spans="1:6" x14ac:dyDescent="0.25">
      <c r="A32" s="9">
        <v>10</v>
      </c>
      <c r="B32" s="8" t="s">
        <v>7</v>
      </c>
      <c r="C32" s="9">
        <v>102</v>
      </c>
      <c r="D32" s="9" t="s">
        <v>64</v>
      </c>
      <c r="E32" s="20"/>
      <c r="F32" s="20"/>
    </row>
    <row r="33" spans="1:6" x14ac:dyDescent="0.25">
      <c r="A33" s="9">
        <v>11</v>
      </c>
      <c r="B33" s="8" t="s">
        <v>8</v>
      </c>
      <c r="C33" s="9">
        <v>90</v>
      </c>
      <c r="D33" s="9" t="s">
        <v>64</v>
      </c>
      <c r="E33" s="20"/>
      <c r="F33" s="20"/>
    </row>
    <row r="34" spans="1:6" x14ac:dyDescent="0.25">
      <c r="A34" s="9">
        <v>12</v>
      </c>
      <c r="B34" s="8" t="s">
        <v>9</v>
      </c>
      <c r="C34" s="9">
        <v>564</v>
      </c>
      <c r="D34" s="9" t="s">
        <v>64</v>
      </c>
      <c r="E34" s="20"/>
      <c r="F34" s="20"/>
    </row>
    <row r="35" spans="1:6" x14ac:dyDescent="0.25">
      <c r="A35" s="9">
        <v>13</v>
      </c>
      <c r="B35" s="8" t="s">
        <v>10</v>
      </c>
      <c r="C35" s="9">
        <v>132</v>
      </c>
      <c r="D35" s="9" t="s">
        <v>64</v>
      </c>
      <c r="E35" s="20"/>
      <c r="F35" s="20"/>
    </row>
    <row r="36" spans="1:6" x14ac:dyDescent="0.25">
      <c r="A36" s="9">
        <v>14</v>
      </c>
      <c r="B36" s="8" t="s">
        <v>11</v>
      </c>
      <c r="C36" s="9">
        <v>1092</v>
      </c>
      <c r="D36" s="9" t="s">
        <v>64</v>
      </c>
      <c r="E36" s="20"/>
      <c r="F36" s="20"/>
    </row>
    <row r="37" spans="1:6" x14ac:dyDescent="0.25">
      <c r="A37" s="9">
        <v>15</v>
      </c>
      <c r="B37" s="8" t="s">
        <v>12</v>
      </c>
      <c r="C37" s="9">
        <v>872</v>
      </c>
      <c r="D37" s="9" t="s">
        <v>64</v>
      </c>
      <c r="E37" s="20"/>
      <c r="F37" s="20"/>
    </row>
    <row r="38" spans="1:6" x14ac:dyDescent="0.25">
      <c r="A38" s="9">
        <v>16</v>
      </c>
      <c r="B38" s="8" t="s">
        <v>13</v>
      </c>
      <c r="C38" s="9">
        <v>12</v>
      </c>
      <c r="D38" s="9" t="s">
        <v>64</v>
      </c>
      <c r="E38" s="20"/>
      <c r="F38" s="20"/>
    </row>
    <row r="39" spans="1:6" x14ac:dyDescent="0.25">
      <c r="A39" s="9">
        <v>17</v>
      </c>
      <c r="B39" s="8" t="s">
        <v>14</v>
      </c>
      <c r="C39" s="9">
        <v>12</v>
      </c>
      <c r="D39" s="9" t="s">
        <v>64</v>
      </c>
      <c r="E39" s="20"/>
      <c r="F39" s="20"/>
    </row>
    <row r="40" spans="1:6" x14ac:dyDescent="0.25">
      <c r="A40" s="9"/>
      <c r="B40" s="11" t="s">
        <v>77</v>
      </c>
      <c r="C40" s="9">
        <f>SUM(C29:C39)</f>
        <v>3436</v>
      </c>
      <c r="D40" s="9" t="s">
        <v>64</v>
      </c>
      <c r="E40" s="20"/>
      <c r="F40" s="20"/>
    </row>
    <row r="41" spans="1:6" x14ac:dyDescent="0.25">
      <c r="A41" s="9"/>
      <c r="B41" s="8"/>
      <c r="C41" s="9"/>
      <c r="D41" s="9"/>
      <c r="E41" s="20"/>
      <c r="F41" s="20"/>
    </row>
    <row r="42" spans="1:6" x14ac:dyDescent="0.25">
      <c r="A42" s="10"/>
      <c r="B42" s="5" t="s">
        <v>65</v>
      </c>
      <c r="C42" s="10"/>
      <c r="D42" s="10"/>
      <c r="E42" s="20"/>
      <c r="F42" s="20"/>
    </row>
    <row r="43" spans="1:6" x14ac:dyDescent="0.25">
      <c r="A43" s="10">
        <v>18</v>
      </c>
      <c r="B43" s="8" t="s">
        <v>16</v>
      </c>
      <c r="C43" s="9">
        <v>2</v>
      </c>
      <c r="D43" s="9" t="s">
        <v>63</v>
      </c>
      <c r="E43" s="20"/>
      <c r="F43" s="20"/>
    </row>
    <row r="44" spans="1:6" x14ac:dyDescent="0.25">
      <c r="A44" s="10">
        <v>19</v>
      </c>
      <c r="B44" s="8" t="s">
        <v>20</v>
      </c>
      <c r="C44" s="9">
        <v>1</v>
      </c>
      <c r="D44" s="9" t="s">
        <v>63</v>
      </c>
      <c r="E44" s="20"/>
      <c r="F44" s="20"/>
    </row>
    <row r="45" spans="1:6" x14ac:dyDescent="0.25">
      <c r="A45" s="10">
        <v>20</v>
      </c>
      <c r="B45" s="8" t="s">
        <v>21</v>
      </c>
      <c r="C45" s="9">
        <v>2</v>
      </c>
      <c r="D45" s="9" t="s">
        <v>63</v>
      </c>
      <c r="E45" s="20"/>
      <c r="F45" s="20"/>
    </row>
    <row r="46" spans="1:6" x14ac:dyDescent="0.25">
      <c r="A46" s="10">
        <v>21</v>
      </c>
      <c r="B46" s="8" t="s">
        <v>22</v>
      </c>
      <c r="C46" s="9">
        <v>1</v>
      </c>
      <c r="D46" s="9" t="s">
        <v>63</v>
      </c>
      <c r="E46" s="20"/>
      <c r="F46" s="20"/>
    </row>
    <row r="47" spans="1:6" x14ac:dyDescent="0.25">
      <c r="A47" s="10">
        <v>22</v>
      </c>
      <c r="B47" s="8" t="s">
        <v>34</v>
      </c>
      <c r="C47" s="9">
        <v>1</v>
      </c>
      <c r="D47" s="9" t="s">
        <v>63</v>
      </c>
      <c r="E47" s="20"/>
      <c r="F47" s="20"/>
    </row>
    <row r="48" spans="1:6" x14ac:dyDescent="0.25">
      <c r="A48" s="10">
        <v>23</v>
      </c>
      <c r="B48" s="8" t="s">
        <v>17</v>
      </c>
      <c r="C48" s="9">
        <v>2</v>
      </c>
      <c r="D48" s="9" t="s">
        <v>63</v>
      </c>
      <c r="E48" s="20"/>
      <c r="F48" s="20"/>
    </row>
    <row r="49" spans="1:6" x14ac:dyDescent="0.25">
      <c r="A49" s="10">
        <v>24</v>
      </c>
      <c r="B49" s="8" t="s">
        <v>18</v>
      </c>
      <c r="C49" s="9">
        <v>4</v>
      </c>
      <c r="D49" s="9" t="s">
        <v>63</v>
      </c>
      <c r="E49" s="20"/>
      <c r="F49" s="20"/>
    </row>
    <row r="50" spans="1:6" x14ac:dyDescent="0.25">
      <c r="A50" s="10">
        <v>25</v>
      </c>
      <c r="B50" s="8" t="s">
        <v>19</v>
      </c>
      <c r="C50" s="9">
        <v>3</v>
      </c>
      <c r="D50" s="9" t="s">
        <v>63</v>
      </c>
      <c r="E50" s="20"/>
      <c r="F50" s="20"/>
    </row>
    <row r="51" spans="1:6" x14ac:dyDescent="0.25">
      <c r="A51" s="10">
        <v>26</v>
      </c>
      <c r="B51" s="8" t="s">
        <v>51</v>
      </c>
      <c r="C51" s="9">
        <v>2</v>
      </c>
      <c r="D51" s="9" t="s">
        <v>63</v>
      </c>
      <c r="E51" s="20"/>
      <c r="F51" s="20"/>
    </row>
    <row r="52" spans="1:6" x14ac:dyDescent="0.25">
      <c r="A52" s="10">
        <v>27</v>
      </c>
      <c r="B52" s="8" t="s">
        <v>26</v>
      </c>
      <c r="C52" s="9">
        <v>1</v>
      </c>
      <c r="D52" s="9" t="s">
        <v>63</v>
      </c>
      <c r="E52" s="20"/>
      <c r="F52" s="20"/>
    </row>
    <row r="53" spans="1:6" x14ac:dyDescent="0.25">
      <c r="A53" s="10">
        <v>28</v>
      </c>
      <c r="B53" s="8" t="s">
        <v>61</v>
      </c>
      <c r="C53" s="9">
        <v>1</v>
      </c>
      <c r="D53" s="9" t="s">
        <v>63</v>
      </c>
      <c r="E53" s="20"/>
      <c r="F53" s="20"/>
    </row>
    <row r="54" spans="1:6" x14ac:dyDescent="0.25">
      <c r="A54" s="10">
        <v>29</v>
      </c>
      <c r="B54" s="8" t="s">
        <v>62</v>
      </c>
      <c r="C54" s="9">
        <v>1</v>
      </c>
      <c r="D54" s="9" t="s">
        <v>63</v>
      </c>
      <c r="E54" s="20"/>
      <c r="F54" s="20"/>
    </row>
    <row r="55" spans="1:6" x14ac:dyDescent="0.25">
      <c r="A55" s="10">
        <v>30</v>
      </c>
      <c r="B55" s="8" t="s">
        <v>106</v>
      </c>
      <c r="C55" s="9">
        <v>1</v>
      </c>
      <c r="D55" s="9" t="s">
        <v>63</v>
      </c>
      <c r="E55" s="20"/>
      <c r="F55" s="20"/>
    </row>
    <row r="56" spans="1:6" x14ac:dyDescent="0.25">
      <c r="A56" s="10">
        <v>31</v>
      </c>
      <c r="B56" s="8" t="s">
        <v>52</v>
      </c>
      <c r="C56" s="9">
        <v>7</v>
      </c>
      <c r="D56" s="9" t="s">
        <v>63</v>
      </c>
      <c r="E56" s="20"/>
      <c r="F56" s="20"/>
    </row>
    <row r="57" spans="1:6" x14ac:dyDescent="0.25">
      <c r="A57" s="10">
        <v>32</v>
      </c>
      <c r="B57" s="8" t="s">
        <v>53</v>
      </c>
      <c r="C57" s="9">
        <v>2</v>
      </c>
      <c r="D57" s="9" t="s">
        <v>63</v>
      </c>
      <c r="E57" s="20"/>
      <c r="F57" s="20"/>
    </row>
    <row r="58" spans="1:6" x14ac:dyDescent="0.25">
      <c r="A58" s="10">
        <v>33</v>
      </c>
      <c r="B58" s="8" t="s">
        <v>107</v>
      </c>
      <c r="C58" s="9">
        <v>10</v>
      </c>
      <c r="D58" s="9" t="s">
        <v>63</v>
      </c>
      <c r="E58" s="20"/>
      <c r="F58" s="20"/>
    </row>
    <row r="59" spans="1:6" x14ac:dyDescent="0.25">
      <c r="A59" s="10"/>
      <c r="B59" s="5" t="s">
        <v>80</v>
      </c>
      <c r="C59" s="10"/>
      <c r="D59" s="10"/>
      <c r="E59" s="20"/>
      <c r="F59" s="20"/>
    </row>
    <row r="60" spans="1:6" x14ac:dyDescent="0.25">
      <c r="A60" s="10">
        <v>34</v>
      </c>
      <c r="B60" s="8" t="s">
        <v>43</v>
      </c>
      <c r="C60" s="9">
        <v>2</v>
      </c>
      <c r="D60" s="9" t="s">
        <v>63</v>
      </c>
      <c r="E60" s="20"/>
      <c r="F60" s="20"/>
    </row>
    <row r="61" spans="1:6" x14ac:dyDescent="0.25">
      <c r="A61" s="10">
        <v>35</v>
      </c>
      <c r="B61" s="8" t="s">
        <v>108</v>
      </c>
      <c r="C61" s="9">
        <v>10</v>
      </c>
      <c r="D61" s="9" t="s">
        <v>63</v>
      </c>
      <c r="E61" s="20"/>
      <c r="F61" s="20"/>
    </row>
    <row r="62" spans="1:6" x14ac:dyDescent="0.25">
      <c r="A62" s="10">
        <v>36</v>
      </c>
      <c r="B62" s="8" t="s">
        <v>24</v>
      </c>
      <c r="C62" s="9">
        <v>9</v>
      </c>
      <c r="D62" s="9" t="s">
        <v>63</v>
      </c>
      <c r="E62" s="20"/>
      <c r="F62" s="20"/>
    </row>
    <row r="63" spans="1:6" x14ac:dyDescent="0.25">
      <c r="A63" s="10">
        <v>37</v>
      </c>
      <c r="B63" s="8" t="s">
        <v>79</v>
      </c>
      <c r="C63" s="9">
        <v>2</v>
      </c>
      <c r="D63" s="9" t="s">
        <v>63</v>
      </c>
      <c r="E63" s="20"/>
      <c r="F63" s="20"/>
    </row>
    <row r="64" spans="1:6" x14ac:dyDescent="0.25">
      <c r="A64" s="10">
        <v>38</v>
      </c>
      <c r="B64" s="8" t="s">
        <v>23</v>
      </c>
      <c r="C64" s="9">
        <v>6</v>
      </c>
      <c r="D64" s="9" t="s">
        <v>63</v>
      </c>
      <c r="E64" s="20"/>
      <c r="F64" s="20"/>
    </row>
    <row r="65" spans="1:6" x14ac:dyDescent="0.25">
      <c r="A65" s="10">
        <v>39</v>
      </c>
      <c r="B65" s="8" t="s">
        <v>25</v>
      </c>
      <c r="C65" s="9">
        <v>2</v>
      </c>
      <c r="D65" s="9" t="s">
        <v>63</v>
      </c>
      <c r="E65" s="20"/>
      <c r="F65" s="20"/>
    </row>
    <row r="66" spans="1:6" x14ac:dyDescent="0.25">
      <c r="A66" s="10">
        <v>40</v>
      </c>
      <c r="B66" s="8" t="s">
        <v>35</v>
      </c>
      <c r="C66" s="9">
        <v>2</v>
      </c>
      <c r="D66" s="9" t="s">
        <v>63</v>
      </c>
      <c r="E66" s="20"/>
      <c r="F66" s="20"/>
    </row>
    <row r="67" spans="1:6" x14ac:dyDescent="0.25">
      <c r="A67" s="10">
        <v>41</v>
      </c>
      <c r="B67" s="8" t="s">
        <v>27</v>
      </c>
      <c r="C67" s="9">
        <v>4</v>
      </c>
      <c r="D67" s="9" t="s">
        <v>63</v>
      </c>
      <c r="E67" s="20"/>
      <c r="F67" s="20"/>
    </row>
    <row r="68" spans="1:6" x14ac:dyDescent="0.25">
      <c r="A68" s="10">
        <v>42</v>
      </c>
      <c r="B68" s="8" t="s">
        <v>28</v>
      </c>
      <c r="C68" s="9">
        <v>7</v>
      </c>
      <c r="D68" s="9" t="s">
        <v>63</v>
      </c>
      <c r="E68" s="20"/>
      <c r="F68" s="20"/>
    </row>
    <row r="69" spans="1:6" x14ac:dyDescent="0.25">
      <c r="A69" s="10">
        <v>43</v>
      </c>
      <c r="B69" s="8" t="s">
        <v>78</v>
      </c>
      <c r="C69" s="9">
        <v>6</v>
      </c>
      <c r="D69" s="9" t="s">
        <v>63</v>
      </c>
      <c r="E69" s="20"/>
      <c r="F69" s="20"/>
    </row>
    <row r="70" spans="1:6" x14ac:dyDescent="0.25">
      <c r="A70" s="10">
        <v>44</v>
      </c>
      <c r="B70" s="8" t="s">
        <v>86</v>
      </c>
      <c r="C70" s="9">
        <v>2</v>
      </c>
      <c r="D70" s="9" t="s">
        <v>63</v>
      </c>
      <c r="E70" s="20"/>
      <c r="F70" s="20"/>
    </row>
    <row r="71" spans="1:6" x14ac:dyDescent="0.25">
      <c r="A71" s="10">
        <v>45</v>
      </c>
      <c r="B71" s="8" t="s">
        <v>57</v>
      </c>
      <c r="C71" s="9">
        <v>10</v>
      </c>
      <c r="D71" s="9" t="s">
        <v>63</v>
      </c>
      <c r="E71" s="20"/>
      <c r="F71" s="20"/>
    </row>
    <row r="72" spans="1:6" x14ac:dyDescent="0.25">
      <c r="A72" s="10">
        <v>46</v>
      </c>
      <c r="B72" s="8" t="s">
        <v>54</v>
      </c>
      <c r="C72" s="9">
        <v>43</v>
      </c>
      <c r="D72" s="9" t="s">
        <v>63</v>
      </c>
      <c r="E72" s="20"/>
      <c r="F72" s="20"/>
    </row>
    <row r="73" spans="1:6" x14ac:dyDescent="0.25">
      <c r="A73" s="10"/>
      <c r="B73" s="8" t="s">
        <v>99</v>
      </c>
      <c r="C73" s="9">
        <v>322</v>
      </c>
      <c r="D73" s="9" t="s">
        <v>63</v>
      </c>
      <c r="E73" s="20"/>
      <c r="F73" s="20"/>
    </row>
    <row r="74" spans="1:6" x14ac:dyDescent="0.25">
      <c r="A74" s="10">
        <v>47</v>
      </c>
      <c r="B74" s="8" t="s">
        <v>55</v>
      </c>
      <c r="C74" s="9">
        <v>83</v>
      </c>
      <c r="D74" s="9" t="s">
        <v>63</v>
      </c>
      <c r="E74" s="20"/>
      <c r="F74" s="20"/>
    </row>
    <row r="75" spans="1:6" x14ac:dyDescent="0.25">
      <c r="A75" s="10">
        <v>48</v>
      </c>
      <c r="B75" s="8" t="s">
        <v>56</v>
      </c>
      <c r="C75" s="9">
        <v>90</v>
      </c>
      <c r="D75" s="9" t="s">
        <v>63</v>
      </c>
      <c r="E75" s="20"/>
      <c r="F75" s="20"/>
    </row>
    <row r="76" spans="1:6" x14ac:dyDescent="0.25">
      <c r="A76" s="10">
        <v>49</v>
      </c>
      <c r="B76" s="8" t="s">
        <v>59</v>
      </c>
      <c r="C76" s="9">
        <v>5</v>
      </c>
      <c r="D76" s="9" t="s">
        <v>63</v>
      </c>
      <c r="E76" s="20"/>
      <c r="F76" s="20"/>
    </row>
    <row r="77" spans="1:6" x14ac:dyDescent="0.25">
      <c r="A77" s="10">
        <v>50</v>
      </c>
      <c r="B77" s="8" t="s">
        <v>58</v>
      </c>
      <c r="C77" s="9">
        <v>50</v>
      </c>
      <c r="D77" s="9" t="s">
        <v>63</v>
      </c>
      <c r="E77" s="20"/>
      <c r="F77" s="20"/>
    </row>
    <row r="78" spans="1:6" x14ac:dyDescent="0.25">
      <c r="A78" s="10">
        <v>51</v>
      </c>
      <c r="B78" s="8" t="s">
        <v>36</v>
      </c>
      <c r="C78" s="9">
        <v>120</v>
      </c>
      <c r="D78" s="9" t="s">
        <v>63</v>
      </c>
      <c r="E78" s="20"/>
      <c r="F78" s="20"/>
    </row>
    <row r="79" spans="1:6" x14ac:dyDescent="0.25">
      <c r="A79" s="10"/>
      <c r="B79" s="8" t="s">
        <v>100</v>
      </c>
      <c r="C79" s="9">
        <v>46</v>
      </c>
      <c r="D79" s="9" t="s">
        <v>63</v>
      </c>
      <c r="E79" s="20"/>
      <c r="F79" s="20"/>
    </row>
    <row r="80" spans="1:6" x14ac:dyDescent="0.25">
      <c r="A80" s="10">
        <v>52</v>
      </c>
      <c r="B80" s="8" t="s">
        <v>37</v>
      </c>
      <c r="C80" s="9">
        <v>690</v>
      </c>
      <c r="D80" s="9" t="s">
        <v>63</v>
      </c>
      <c r="E80" s="20"/>
      <c r="F80" s="20"/>
    </row>
    <row r="81" spans="1:6" x14ac:dyDescent="0.25">
      <c r="A81" s="10"/>
      <c r="B81" s="5" t="s">
        <v>81</v>
      </c>
      <c r="C81" s="9"/>
      <c r="D81" s="9"/>
      <c r="E81" s="20"/>
      <c r="F81" s="20"/>
    </row>
    <row r="82" spans="1:6" x14ac:dyDescent="0.25">
      <c r="A82" s="10">
        <v>56</v>
      </c>
      <c r="B82" s="8" t="s">
        <v>109</v>
      </c>
      <c r="C82" s="9">
        <v>10</v>
      </c>
      <c r="D82" s="9" t="s">
        <v>63</v>
      </c>
      <c r="E82" s="20"/>
      <c r="F82" s="20"/>
    </row>
    <row r="83" spans="1:6" x14ac:dyDescent="0.25">
      <c r="A83" s="10"/>
      <c r="B83" s="8" t="s">
        <v>110</v>
      </c>
      <c r="C83" s="9"/>
      <c r="D83" s="9"/>
      <c r="E83" s="20"/>
      <c r="F83" s="20"/>
    </row>
    <row r="84" spans="1:6" x14ac:dyDescent="0.25">
      <c r="A84" s="10">
        <v>57</v>
      </c>
      <c r="B84" s="8" t="s">
        <v>29</v>
      </c>
      <c r="C84" s="9">
        <v>2</v>
      </c>
      <c r="D84" s="9" t="s">
        <v>63</v>
      </c>
      <c r="E84" s="20"/>
      <c r="F84" s="20"/>
    </row>
    <row r="85" spans="1:6" x14ac:dyDescent="0.25">
      <c r="A85" s="10">
        <v>58</v>
      </c>
      <c r="B85" s="8" t="s">
        <v>82</v>
      </c>
      <c r="C85" s="9">
        <v>2</v>
      </c>
      <c r="D85" s="9" t="s">
        <v>63</v>
      </c>
      <c r="E85" s="20"/>
      <c r="F85" s="20"/>
    </row>
    <row r="86" spans="1:6" x14ac:dyDescent="0.25">
      <c r="A86" s="10">
        <v>59</v>
      </c>
      <c r="B86" s="8" t="s">
        <v>83</v>
      </c>
      <c r="C86" s="9">
        <v>3</v>
      </c>
      <c r="D86" s="9" t="s">
        <v>63</v>
      </c>
      <c r="E86" s="20"/>
      <c r="F86" s="20"/>
    </row>
    <row r="87" spans="1:6" x14ac:dyDescent="0.25">
      <c r="A87" s="10">
        <v>60</v>
      </c>
      <c r="B87" s="8" t="s">
        <v>95</v>
      </c>
      <c r="C87" s="9">
        <v>4</v>
      </c>
      <c r="D87" s="9" t="s">
        <v>63</v>
      </c>
      <c r="E87" s="20"/>
      <c r="F87" s="20"/>
    </row>
    <row r="88" spans="1:6" x14ac:dyDescent="0.25">
      <c r="A88" s="10">
        <v>62</v>
      </c>
      <c r="B88" s="8" t="s">
        <v>96</v>
      </c>
      <c r="C88" s="9">
        <v>10</v>
      </c>
      <c r="D88" s="9" t="s">
        <v>63</v>
      </c>
      <c r="E88" s="20"/>
      <c r="F88" s="20"/>
    </row>
    <row r="89" spans="1:6" x14ac:dyDescent="0.25">
      <c r="A89" s="10">
        <v>63</v>
      </c>
      <c r="B89" s="8" t="s">
        <v>97</v>
      </c>
      <c r="C89" s="9">
        <v>2</v>
      </c>
      <c r="D89" s="9" t="s">
        <v>63</v>
      </c>
      <c r="E89" s="20"/>
      <c r="F89" s="20"/>
    </row>
    <row r="90" spans="1:6" x14ac:dyDescent="0.25">
      <c r="A90" s="10">
        <v>65</v>
      </c>
      <c r="B90" s="8" t="s">
        <v>33</v>
      </c>
      <c r="C90" s="9">
        <v>3</v>
      </c>
      <c r="D90" s="9" t="s">
        <v>63</v>
      </c>
      <c r="E90" s="20"/>
      <c r="F90" s="20"/>
    </row>
    <row r="91" spans="1:6" x14ac:dyDescent="0.25">
      <c r="A91" s="10">
        <v>66</v>
      </c>
      <c r="B91" s="8" t="s">
        <v>98</v>
      </c>
      <c r="C91" s="9">
        <v>46</v>
      </c>
      <c r="D91" s="9" t="s">
        <v>63</v>
      </c>
      <c r="E91" s="20"/>
      <c r="F91" s="20"/>
    </row>
    <row r="92" spans="1:6" x14ac:dyDescent="0.25">
      <c r="A92" s="10">
        <v>67</v>
      </c>
      <c r="B92" s="8" t="s">
        <v>30</v>
      </c>
      <c r="C92" s="9">
        <v>46</v>
      </c>
      <c r="D92" s="9" t="s">
        <v>63</v>
      </c>
      <c r="E92" s="20"/>
      <c r="F92" s="20"/>
    </row>
    <row r="93" spans="1:6" x14ac:dyDescent="0.25">
      <c r="A93" s="10">
        <v>69</v>
      </c>
      <c r="B93" s="8" t="s">
        <v>101</v>
      </c>
      <c r="C93" s="9">
        <v>4</v>
      </c>
      <c r="D93" s="9" t="s">
        <v>63</v>
      </c>
      <c r="E93" s="20"/>
      <c r="F93" s="20"/>
    </row>
    <row r="94" spans="1:6" x14ac:dyDescent="0.25">
      <c r="A94" s="10">
        <v>70</v>
      </c>
      <c r="B94" s="8" t="s">
        <v>102</v>
      </c>
      <c r="C94" s="9">
        <v>4</v>
      </c>
      <c r="D94" s="9" t="s">
        <v>63</v>
      </c>
      <c r="E94" s="20"/>
      <c r="F94" s="20"/>
    </row>
    <row r="95" spans="1:6" x14ac:dyDescent="0.25">
      <c r="A95" s="10">
        <v>71</v>
      </c>
      <c r="B95" s="8" t="s">
        <v>31</v>
      </c>
      <c r="C95" s="9">
        <v>100</v>
      </c>
      <c r="D95" s="9" t="s">
        <v>63</v>
      </c>
      <c r="E95" s="20"/>
      <c r="F95" s="20"/>
    </row>
    <row r="96" spans="1:6" x14ac:dyDescent="0.25">
      <c r="A96" s="10">
        <v>72</v>
      </c>
      <c r="B96" s="8" t="s">
        <v>32</v>
      </c>
      <c r="C96" s="9">
        <v>100</v>
      </c>
      <c r="D96" s="9" t="s">
        <v>63</v>
      </c>
      <c r="E96" s="20"/>
      <c r="F96" s="20"/>
    </row>
    <row r="97" spans="1:6" x14ac:dyDescent="0.25">
      <c r="A97" s="10">
        <v>73</v>
      </c>
      <c r="B97" s="8" t="s">
        <v>84</v>
      </c>
      <c r="C97" s="9">
        <v>33</v>
      </c>
      <c r="D97" s="9" t="s">
        <v>63</v>
      </c>
      <c r="E97" s="20"/>
      <c r="F97" s="20"/>
    </row>
    <row r="98" spans="1:6" x14ac:dyDescent="0.25">
      <c r="A98" s="10">
        <v>74</v>
      </c>
      <c r="B98" s="8" t="s">
        <v>85</v>
      </c>
      <c r="C98" s="9">
        <v>7</v>
      </c>
      <c r="D98" s="9" t="s">
        <v>63</v>
      </c>
      <c r="E98" s="20"/>
      <c r="F98" s="20"/>
    </row>
    <row r="99" spans="1:6" x14ac:dyDescent="0.25">
      <c r="A99" s="10"/>
      <c r="B99" s="5" t="s">
        <v>70</v>
      </c>
      <c r="C99" s="10"/>
      <c r="D99" s="9"/>
      <c r="E99" s="20"/>
      <c r="F99" s="20"/>
    </row>
    <row r="100" spans="1:6" x14ac:dyDescent="0.25">
      <c r="A100" s="10"/>
      <c r="B100" s="8" t="s">
        <v>71</v>
      </c>
      <c r="C100" s="9">
        <v>600</v>
      </c>
      <c r="D100" s="9" t="s">
        <v>63</v>
      </c>
      <c r="E100" s="20"/>
      <c r="F100" s="20"/>
    </row>
    <row r="101" spans="1:6" x14ac:dyDescent="0.25">
      <c r="A101" s="10"/>
      <c r="B101" s="8" t="s">
        <v>114</v>
      </c>
      <c r="C101" s="9">
        <v>95</v>
      </c>
      <c r="D101" s="9" t="s">
        <v>63</v>
      </c>
      <c r="E101" s="20"/>
      <c r="F101" s="20"/>
    </row>
    <row r="102" spans="1:6" x14ac:dyDescent="0.25">
      <c r="A102" s="10"/>
      <c r="B102" s="8" t="s">
        <v>113</v>
      </c>
      <c r="C102" s="9">
        <v>30</v>
      </c>
      <c r="D102" s="9" t="s">
        <v>63</v>
      </c>
      <c r="E102" s="20"/>
      <c r="F102" s="20"/>
    </row>
    <row r="103" spans="1:6" x14ac:dyDescent="0.25">
      <c r="A103" s="10"/>
      <c r="B103" s="12"/>
      <c r="C103" s="10"/>
      <c r="D103" s="9"/>
      <c r="E103" s="20"/>
      <c r="F103" s="20"/>
    </row>
    <row r="104" spans="1:6" x14ac:dyDescent="0.25">
      <c r="A104" s="10"/>
      <c r="B104" s="5" t="s">
        <v>38</v>
      </c>
      <c r="C104" s="10"/>
      <c r="D104" s="9"/>
      <c r="E104" s="20"/>
      <c r="F104" s="20"/>
    </row>
    <row r="105" spans="1:6" x14ac:dyDescent="0.25">
      <c r="A105" s="10"/>
      <c r="B105" s="8" t="s">
        <v>39</v>
      </c>
      <c r="C105" s="9">
        <v>80</v>
      </c>
      <c r="D105" s="9" t="s">
        <v>63</v>
      </c>
      <c r="E105" s="20"/>
      <c r="F105" s="20"/>
    </row>
    <row r="106" spans="1:6" x14ac:dyDescent="0.25">
      <c r="A106" s="10"/>
      <c r="B106" s="8" t="s">
        <v>40</v>
      </c>
      <c r="C106" s="9">
        <v>42</v>
      </c>
      <c r="D106" s="9" t="s">
        <v>64</v>
      </c>
      <c r="E106" s="20"/>
      <c r="F106" s="20"/>
    </row>
    <row r="107" spans="1:6" x14ac:dyDescent="0.25">
      <c r="A107" s="10"/>
      <c r="B107" s="8" t="s">
        <v>41</v>
      </c>
      <c r="C107" s="9">
        <v>20</v>
      </c>
      <c r="D107" s="9" t="s">
        <v>63</v>
      </c>
      <c r="E107" s="20"/>
      <c r="F107" s="20"/>
    </row>
    <row r="108" spans="1:6" x14ac:dyDescent="0.25">
      <c r="A108" s="10"/>
      <c r="B108" s="8" t="s">
        <v>94</v>
      </c>
      <c r="C108" s="9">
        <v>200</v>
      </c>
      <c r="D108" s="9" t="s">
        <v>63</v>
      </c>
      <c r="E108" s="20"/>
      <c r="F108" s="20"/>
    </row>
    <row r="109" spans="1:6" x14ac:dyDescent="0.25">
      <c r="A109" s="10"/>
      <c r="B109" s="8" t="s">
        <v>103</v>
      </c>
      <c r="C109" s="9">
        <v>360</v>
      </c>
      <c r="D109" s="9" t="s">
        <v>63</v>
      </c>
      <c r="E109" s="20"/>
      <c r="F109" s="20"/>
    </row>
    <row r="110" spans="1:6" x14ac:dyDescent="0.25">
      <c r="A110" s="10"/>
      <c r="B110" s="8" t="s">
        <v>42</v>
      </c>
      <c r="C110" s="9">
        <v>1500</v>
      </c>
      <c r="D110" s="9" t="s">
        <v>63</v>
      </c>
      <c r="E110" s="20"/>
      <c r="F110" s="20"/>
    </row>
    <row r="111" spans="1:6" x14ac:dyDescent="0.25">
      <c r="A111" s="10"/>
      <c r="B111" s="8" t="s">
        <v>104</v>
      </c>
      <c r="C111" s="9">
        <v>1500</v>
      </c>
      <c r="D111" s="9" t="s">
        <v>63</v>
      </c>
      <c r="E111" s="20"/>
      <c r="F111" s="20"/>
    </row>
    <row r="112" spans="1:6" x14ac:dyDescent="0.25">
      <c r="A112" s="10"/>
      <c r="B112" s="8" t="s">
        <v>105</v>
      </c>
      <c r="C112" s="9">
        <v>1500</v>
      </c>
      <c r="D112" s="9" t="s">
        <v>63</v>
      </c>
      <c r="E112" s="20"/>
      <c r="F112" s="20"/>
    </row>
    <row r="113" spans="1:6" x14ac:dyDescent="0.25">
      <c r="A113" s="10"/>
      <c r="B113" s="8" t="s">
        <v>46</v>
      </c>
      <c r="C113" s="9">
        <v>2</v>
      </c>
      <c r="D113" s="9" t="s">
        <v>63</v>
      </c>
      <c r="E113" s="20"/>
      <c r="F113" s="20"/>
    </row>
    <row r="114" spans="1:6" x14ac:dyDescent="0.25">
      <c r="A114" s="10"/>
      <c r="B114" s="8" t="s">
        <v>44</v>
      </c>
      <c r="C114" s="9">
        <v>16</v>
      </c>
      <c r="D114" s="9" t="s">
        <v>63</v>
      </c>
      <c r="E114" s="20"/>
      <c r="F114" s="20"/>
    </row>
    <row r="115" spans="1:6" x14ac:dyDescent="0.25">
      <c r="A115" s="10"/>
      <c r="B115" s="8" t="s">
        <v>45</v>
      </c>
      <c r="C115" s="9">
        <v>16</v>
      </c>
      <c r="D115" s="9" t="s">
        <v>63</v>
      </c>
      <c r="E115" s="20"/>
      <c r="F115" s="20"/>
    </row>
    <row r="116" spans="1:6" x14ac:dyDescent="0.25">
      <c r="A116" s="10"/>
      <c r="B116" s="8" t="s">
        <v>49</v>
      </c>
      <c r="C116" s="9">
        <v>20</v>
      </c>
      <c r="D116" s="9" t="s">
        <v>63</v>
      </c>
      <c r="E116" s="20"/>
      <c r="F116" s="20"/>
    </row>
    <row r="117" spans="1:6" x14ac:dyDescent="0.25">
      <c r="A117" s="10"/>
      <c r="B117" s="8" t="s">
        <v>47</v>
      </c>
      <c r="C117" s="9">
        <v>25</v>
      </c>
      <c r="D117" s="9" t="s">
        <v>63</v>
      </c>
      <c r="E117" s="20"/>
      <c r="F117" s="20"/>
    </row>
    <row r="118" spans="1:6" x14ac:dyDescent="0.25">
      <c r="A118" s="10"/>
      <c r="B118" s="8" t="s">
        <v>48</v>
      </c>
      <c r="C118" s="9">
        <v>40</v>
      </c>
      <c r="D118" s="9" t="s">
        <v>63</v>
      </c>
      <c r="E118" s="20"/>
      <c r="F118" s="20"/>
    </row>
    <row r="119" spans="1:6" x14ac:dyDescent="0.25">
      <c r="A119" s="10"/>
      <c r="B119" s="8" t="s">
        <v>50</v>
      </c>
      <c r="C119" s="9">
        <v>30</v>
      </c>
      <c r="D119" s="9" t="s">
        <v>63</v>
      </c>
      <c r="E119" s="20"/>
      <c r="F119" s="20"/>
    </row>
    <row r="120" spans="1:6" x14ac:dyDescent="0.25">
      <c r="A120" s="10"/>
      <c r="B120" s="8" t="s">
        <v>87</v>
      </c>
      <c r="C120" s="9">
        <v>28</v>
      </c>
      <c r="D120" s="9" t="s">
        <v>63</v>
      </c>
      <c r="E120" s="20"/>
      <c r="F120" s="20"/>
    </row>
    <row r="121" spans="1:6" x14ac:dyDescent="0.25">
      <c r="A121" s="10"/>
      <c r="B121" s="8" t="s">
        <v>88</v>
      </c>
      <c r="C121" s="9">
        <v>36</v>
      </c>
      <c r="D121" s="9" t="s">
        <v>63</v>
      </c>
      <c r="E121" s="20"/>
      <c r="F121" s="20"/>
    </row>
    <row r="122" spans="1:6" x14ac:dyDescent="0.25">
      <c r="A122" s="10"/>
      <c r="B122" s="8" t="s">
        <v>89</v>
      </c>
      <c r="C122" s="9">
        <v>10</v>
      </c>
      <c r="D122" s="9" t="s">
        <v>63</v>
      </c>
      <c r="E122" s="20"/>
      <c r="F122" s="20"/>
    </row>
    <row r="123" spans="1:6" x14ac:dyDescent="0.25">
      <c r="A123" s="10"/>
      <c r="B123" s="8" t="s">
        <v>90</v>
      </c>
      <c r="C123" s="9">
        <v>15</v>
      </c>
      <c r="D123" s="9" t="s">
        <v>63</v>
      </c>
      <c r="E123" s="20"/>
      <c r="F123" s="20"/>
    </row>
    <row r="124" spans="1:6" x14ac:dyDescent="0.25">
      <c r="A124" s="10"/>
      <c r="B124" s="8" t="s">
        <v>91</v>
      </c>
      <c r="C124" s="9">
        <v>10</v>
      </c>
      <c r="D124" s="9" t="s">
        <v>63</v>
      </c>
      <c r="E124" s="20"/>
      <c r="F124" s="20"/>
    </row>
    <row r="125" spans="1:6" x14ac:dyDescent="0.25">
      <c r="A125" s="10"/>
      <c r="B125" s="8" t="s">
        <v>92</v>
      </c>
      <c r="C125" s="9">
        <v>41</v>
      </c>
      <c r="D125" s="9" t="s">
        <v>63</v>
      </c>
      <c r="E125" s="20"/>
      <c r="F125" s="20"/>
    </row>
    <row r="126" spans="1:6" x14ac:dyDescent="0.25">
      <c r="A126" s="10"/>
      <c r="B126" s="8" t="s">
        <v>60</v>
      </c>
      <c r="C126" s="9">
        <v>410</v>
      </c>
      <c r="D126" s="9" t="s">
        <v>63</v>
      </c>
      <c r="E126" s="20"/>
      <c r="F126" s="20"/>
    </row>
    <row r="127" spans="1:6" x14ac:dyDescent="0.25">
      <c r="A127" s="10"/>
      <c r="B127" s="8" t="s">
        <v>93</v>
      </c>
      <c r="C127" s="9">
        <v>210</v>
      </c>
      <c r="D127" s="9" t="s">
        <v>63</v>
      </c>
      <c r="E127" s="20"/>
      <c r="F127" s="20"/>
    </row>
    <row r="128" spans="1:6" x14ac:dyDescent="0.25">
      <c r="A128" s="10"/>
      <c r="B128" s="8" t="s">
        <v>122</v>
      </c>
      <c r="C128" s="9">
        <v>1</v>
      </c>
      <c r="D128" s="9" t="s">
        <v>63</v>
      </c>
      <c r="E128" s="20"/>
      <c r="F128" s="20"/>
    </row>
    <row r="129" spans="1:6" x14ac:dyDescent="0.25">
      <c r="A129" s="10"/>
      <c r="B129" s="8"/>
      <c r="C129" s="9"/>
      <c r="D129" s="9"/>
      <c r="E129" s="20"/>
      <c r="F129" s="20"/>
    </row>
    <row r="130" spans="1:6" x14ac:dyDescent="0.25">
      <c r="A130" s="10"/>
      <c r="B130" s="21" t="s">
        <v>111</v>
      </c>
      <c r="C130" s="22">
        <v>1</v>
      </c>
      <c r="D130" s="22"/>
      <c r="E130" s="21"/>
      <c r="F130" s="23">
        <f>SUM(F10:F127)</f>
        <v>0</v>
      </c>
    </row>
    <row r="131" spans="1:6" x14ac:dyDescent="0.25">
      <c r="A131" s="10"/>
      <c r="B131" s="21" t="s">
        <v>112</v>
      </c>
      <c r="C131" s="22">
        <v>1</v>
      </c>
      <c r="D131" s="22" t="s">
        <v>75</v>
      </c>
      <c r="E131" s="21"/>
      <c r="F131" s="23" t="e">
        <f>#REF!/#REF!*#REF!</f>
        <v>#REF!</v>
      </c>
    </row>
    <row r="132" spans="1:6" x14ac:dyDescent="0.25">
      <c r="A132" s="10"/>
      <c r="B132" s="12"/>
      <c r="C132" s="10"/>
      <c r="D132" s="10"/>
      <c r="E132" s="18"/>
      <c r="F132" s="18"/>
    </row>
    <row r="133" spans="1:6" ht="15.75" x14ac:dyDescent="0.25">
      <c r="A133" s="10"/>
      <c r="B133" s="13"/>
      <c r="C133" s="14"/>
      <c r="D133" s="14"/>
      <c r="E133" s="19"/>
      <c r="F133" s="19"/>
    </row>
    <row r="134" spans="1:6" ht="15.75" x14ac:dyDescent="0.25">
      <c r="A134" s="10"/>
      <c r="B134" s="15" t="s">
        <v>76</v>
      </c>
      <c r="C134" s="16"/>
      <c r="D134" s="16"/>
      <c r="E134" s="17"/>
      <c r="F134" s="24" t="e">
        <f>SUM(F130:F133)</f>
        <v>#REF!</v>
      </c>
    </row>
    <row r="135" spans="1:6" x14ac:dyDescent="0.25">
      <c r="A135" s="10"/>
      <c r="B135" s="12"/>
      <c r="C135" s="10"/>
      <c r="D135" s="10"/>
      <c r="E135" s="6"/>
      <c r="F135" s="6"/>
    </row>
    <row r="136" spans="1:6" x14ac:dyDescent="0.25">
      <c r="A136" s="10"/>
      <c r="B136" s="12"/>
      <c r="C136" s="10"/>
      <c r="D136" s="10"/>
      <c r="E136" s="6"/>
      <c r="F136" s="6"/>
    </row>
  </sheetData>
  <mergeCells count="2">
    <mergeCell ref="A7:D7"/>
    <mergeCell ref="E11:E14"/>
  </mergeCells>
  <pageMargins left="0.7" right="0.7" top="0.75" bottom="0.75" header="0.3" footer="0.3"/>
  <pageSetup scale="77" orientation="portrait" r:id="rId1"/>
  <rowBreaks count="2" manualBreakCount="2">
    <brk id="67" max="5" man="1"/>
    <brk id="128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dcterms:created xsi:type="dcterms:W3CDTF">2015-06-05T18:19:34Z</dcterms:created>
  <dcterms:modified xsi:type="dcterms:W3CDTF">2026-07-18T22:40:37Z</dcterms:modified>
</cp:coreProperties>
</file>