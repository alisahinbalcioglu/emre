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basar\Desktop\TEKLİF VERİLEN PROJELER\PANOVA AMBALAJ\"/>
    </mc:Choice>
  </mc:AlternateContent>
  <xr:revisionPtr revIDLastSave="0" documentId="13_ncr:1_{B3A07E0E-E283-4B86-BE9C-929E0482DC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0" i="1" l="1"/>
  <c r="F73" i="1"/>
  <c r="F89" i="1"/>
  <c r="F87" i="1"/>
  <c r="F86" i="1"/>
  <c r="F85" i="1"/>
  <c r="F84" i="1"/>
  <c r="F82" i="1"/>
  <c r="F81" i="1"/>
  <c r="F75" i="1"/>
  <c r="F51" i="1"/>
  <c r="F50" i="1"/>
  <c r="F61" i="1"/>
  <c r="F58" i="1"/>
  <c r="F59" i="1"/>
  <c r="F57" i="1"/>
  <c r="F38" i="1"/>
  <c r="F25" i="1"/>
  <c r="F21" i="1"/>
  <c r="F22" i="1"/>
  <c r="F23" i="1"/>
  <c r="F20" i="1"/>
  <c r="F18" i="1"/>
  <c r="F11" i="1"/>
  <c r="F17" i="1"/>
  <c r="F105" i="1"/>
  <c r="F108" i="1"/>
  <c r="F36" i="1"/>
  <c r="F70" i="1"/>
  <c r="F104" i="1"/>
  <c r="F98" i="1"/>
  <c r="F97" i="1"/>
  <c r="F94" i="1"/>
  <c r="F93" i="1"/>
  <c r="F80" i="1"/>
  <c r="F79" i="1"/>
  <c r="F78" i="1"/>
  <c r="F77" i="1"/>
  <c r="F76" i="1"/>
  <c r="F46" i="1"/>
  <c r="F43" i="1"/>
  <c r="F44" i="1" s="1"/>
  <c r="F42" i="1"/>
  <c r="F12" i="1"/>
  <c r="F30" i="1"/>
  <c r="F29" i="1"/>
  <c r="F13" i="1"/>
  <c r="F14" i="1"/>
  <c r="F15" i="1"/>
  <c r="F16" i="1"/>
  <c r="F33" i="1"/>
  <c r="F34" i="1"/>
  <c r="F95" i="1" l="1"/>
  <c r="F106" i="1"/>
  <c r="F31" i="1"/>
</calcChain>
</file>

<file path=xl/sharedStrings.xml><?xml version="1.0" encoding="utf-8"?>
<sst xmlns="http://schemas.openxmlformats.org/spreadsheetml/2006/main" count="136" uniqueCount="55">
  <si>
    <t>NO</t>
  </si>
  <si>
    <t>MALZEME ADI</t>
  </si>
  <si>
    <t>BİRİM</t>
  </si>
  <si>
    <t>MİKTAR</t>
  </si>
  <si>
    <t xml:space="preserve">TOPLAM TUTAR </t>
  </si>
  <si>
    <t xml:space="preserve">Pompa Dairesi </t>
  </si>
  <si>
    <t xml:space="preserve">2000 GPM 9,5 bar 1 E+ 1 D </t>
  </si>
  <si>
    <t>20 GPM Jokey Pompa 10 bar</t>
  </si>
  <si>
    <t>SET</t>
  </si>
  <si>
    <t>ad</t>
  </si>
  <si>
    <t xml:space="preserve">6'' Islak Alarm Vanası </t>
  </si>
  <si>
    <t>BİRİM FİYAT</t>
  </si>
  <si>
    <t>6'' İzlenebilir Kelebek Vana</t>
  </si>
  <si>
    <t>6'' Flow Swich</t>
  </si>
  <si>
    <t>4''x2 1/2''x 2 1/2'' İtfaiye Dolum Ağzı</t>
  </si>
  <si>
    <t xml:space="preserve">6'' Akış Ölçer </t>
  </si>
  <si>
    <t>1 1/2 Test Drenaj Vanası</t>
  </si>
  <si>
    <t>Sprinkler Tesisatı</t>
  </si>
  <si>
    <t>6'' Kırmızı Boyalı Çelik Boru</t>
  </si>
  <si>
    <t>mt</t>
  </si>
  <si>
    <t>2'' Kırmızı Boyalı Çelik Boru</t>
  </si>
  <si>
    <t>3/4'' Upright ESFR Sprinkler 79 C</t>
  </si>
  <si>
    <t>set</t>
  </si>
  <si>
    <t>Yangın Dolabı</t>
  </si>
  <si>
    <t>2'' 30 Metre Kauçuk Hortumlu Yangın Dolabı</t>
  </si>
  <si>
    <t>Yangın Tesisatı Montaj Bedeli</t>
  </si>
  <si>
    <t>Boya , Konsol ,Kelepçe ve Sarf Malzemeler</t>
  </si>
  <si>
    <t>6'' Deprem Kompansatörü</t>
  </si>
  <si>
    <t>Fitting</t>
  </si>
  <si>
    <t>6'' Çift Klepeli Çekvalf</t>
  </si>
  <si>
    <t xml:space="preserve">8'' Yükselen Milli Vana </t>
  </si>
  <si>
    <t>4'' Çift Klepeli Çekvalf</t>
  </si>
  <si>
    <t>8'' Siyah Boru</t>
  </si>
  <si>
    <t>6'' Siyah Boru</t>
  </si>
  <si>
    <t xml:space="preserve">4'' Siyah Boru </t>
  </si>
  <si>
    <t>2'' Siyah Boru</t>
  </si>
  <si>
    <t>Fitting ve Sarf Malzem</t>
  </si>
  <si>
    <t>Set</t>
  </si>
  <si>
    <t>Kaçış Yolu Aydınlatma Sistemi</t>
  </si>
  <si>
    <t>3 x1,5 Kablo</t>
  </si>
  <si>
    <t>Kaçış Yolu Aydınlatma Armatürleri</t>
  </si>
  <si>
    <t>Kaçış Yolu Aydınlatma Sistemi Montaj Bedeli</t>
  </si>
  <si>
    <t xml:space="preserve">Duman Damperi Sistemi Kurulumu </t>
  </si>
  <si>
    <t xml:space="preserve">Yangın Duman Damperi 1000 mm x 1000 mm </t>
  </si>
  <si>
    <t xml:space="preserve">Duman Damperi Kontrol Panosu </t>
  </si>
  <si>
    <t>3x1 STTR Kablo</t>
  </si>
  <si>
    <t>Yangın Damperi Sistemi Kurulumu Montaj Bedeli</t>
  </si>
  <si>
    <t xml:space="preserve">FIRMA-D 8. CADDE YANGIN SİSTEMLERİ </t>
  </si>
  <si>
    <t xml:space="preserve">FIRMA-D 29. CADDE YANGIN SİSTEMLERİ </t>
  </si>
  <si>
    <t xml:space="preserve">1750 GPM 10 bar 1 E+ 1 D </t>
  </si>
  <si>
    <t>20 GPM Jokey Pompa 10,5 bar</t>
  </si>
  <si>
    <t>Galvaniz Su Deposu 450 m''3</t>
  </si>
  <si>
    <t>Galvaniz Su Deposu 400 m''3</t>
  </si>
  <si>
    <t>Fitting ve Sarf Malzeme</t>
  </si>
  <si>
    <t xml:space="preserve">malzeme birim fiyat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</si>
</sst>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₺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"/>
  <sheetViews>
    <sheetView tabSelected="1" workbookViewId="0">
      <selection activeCell="K11" sqref="K11"/>
    </sheetView>
  </sheetViews>
  <sheetFormatPr defaultRowHeight="15" x14ac:dyDescent="0.25"/>
  <cols>
    <col min="2" max="2" width="53.5703125" customWidth="1"/>
    <col min="5" max="5" width="19.42578125" bestFit="1" customWidth="1"/>
    <col min="6" max="6" width="17.28515625" customWidth="1"/>
  </cols>
  <sheetData>
    <row r="1" spans="1:6" x14ac:dyDescent="0.25">
      <c r="A1" s="7" t="s">
        <v>47</v>
      </c>
      <c r="B1" s="7"/>
      <c r="C1" s="7"/>
      <c r="D1" s="7"/>
      <c r="E1" s="7"/>
      <c r="F1" s="7"/>
    </row>
    <row r="2" spans="1:6" x14ac:dyDescent="0.25">
      <c r="A2" s="7"/>
      <c r="B2" s="7"/>
      <c r="C2" s="7"/>
      <c r="D2" s="7"/>
      <c r="E2" s="7"/>
      <c r="F2" s="7"/>
    </row>
    <row r="3" spans="1:6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54</v>
      </c>
      <c r="F3" s="3" t="s">
        <v>4</v>
      </c>
    </row>
    <row r="4" spans="1:6" x14ac:dyDescent="0.25">
      <c r="E4" s="2"/>
    </row>
    <row r="5" spans="1:6" x14ac:dyDescent="0.25">
      <c r="B5" s="3" t="s">
        <v>5</v>
      </c>
      <c r="E5" s="2"/>
    </row>
    <row r="6" spans="1:6" x14ac:dyDescent="0.25">
      <c r="B6" t="s">
        <v>6</v>
      </c>
      <c r="C6" s="5">
        <v>1</v>
      </c>
      <c r="D6" s="5" t="s">
        <v>8</v>
      </c>
      <c r="E6" s="6">
        <v>2300000</v>
      </c>
      <c r="F6" s="6">
        <v>2300000</v>
      </c>
    </row>
    <row r="7" spans="1:6" x14ac:dyDescent="0.25">
      <c r="B7" t="s">
        <v>7</v>
      </c>
      <c r="C7" s="5"/>
      <c r="D7" s="5"/>
      <c r="E7" s="6"/>
      <c r="F7" s="6"/>
    </row>
    <row r="8" spans="1:6" x14ac:dyDescent="0.25">
      <c r="C8" s="1"/>
      <c r="D8" s="1"/>
      <c r="E8" s="2"/>
      <c r="F8" s="2"/>
    </row>
    <row r="9" spans="1:6" x14ac:dyDescent="0.25">
      <c r="B9" t="s">
        <v>51</v>
      </c>
      <c r="C9" s="1">
        <v>1</v>
      </c>
      <c r="D9" s="1" t="s">
        <v>9</v>
      </c>
      <c r="E9" s="2">
        <v>1500000</v>
      </c>
      <c r="F9" s="2">
        <v>1500000</v>
      </c>
    </row>
    <row r="10" spans="1:6" x14ac:dyDescent="0.25">
      <c r="C10" s="1"/>
      <c r="D10" s="1"/>
      <c r="E10" s="2"/>
      <c r="F10" s="2"/>
    </row>
    <row r="11" spans="1:6" x14ac:dyDescent="0.25">
      <c r="B11" t="s">
        <v>30</v>
      </c>
      <c r="C11" s="1">
        <v>2</v>
      </c>
      <c r="D11" s="1" t="s">
        <v>9</v>
      </c>
      <c r="E11" s="2">
        <v>22250</v>
      </c>
      <c r="F11" s="2">
        <f>E11*C11</f>
        <v>44500</v>
      </c>
    </row>
    <row r="12" spans="1:6" x14ac:dyDescent="0.25">
      <c r="B12" t="s">
        <v>10</v>
      </c>
      <c r="C12" s="1">
        <v>5</v>
      </c>
      <c r="D12" s="1" t="s">
        <v>9</v>
      </c>
      <c r="E12" s="2">
        <v>32500</v>
      </c>
      <c r="F12" s="2">
        <f>E12*C12</f>
        <v>162500</v>
      </c>
    </row>
    <row r="13" spans="1:6" x14ac:dyDescent="0.25">
      <c r="B13" t="s">
        <v>12</v>
      </c>
      <c r="C13" s="1">
        <v>10</v>
      </c>
      <c r="D13" s="1" t="s">
        <v>9</v>
      </c>
      <c r="E13" s="2">
        <v>10125</v>
      </c>
      <c r="F13" s="2">
        <f t="shared" ref="F13:F43" si="0">E13*C13</f>
        <v>101250</v>
      </c>
    </row>
    <row r="14" spans="1:6" x14ac:dyDescent="0.25">
      <c r="B14" t="s">
        <v>13</v>
      </c>
      <c r="C14" s="1">
        <v>5</v>
      </c>
      <c r="D14" s="1" t="s">
        <v>9</v>
      </c>
      <c r="E14" s="2">
        <v>4050</v>
      </c>
      <c r="F14" s="2">
        <f t="shared" si="0"/>
        <v>20250</v>
      </c>
    </row>
    <row r="15" spans="1:6" x14ac:dyDescent="0.25">
      <c r="B15" t="s">
        <v>14</v>
      </c>
      <c r="C15" s="1">
        <v>1</v>
      </c>
      <c r="D15" s="1" t="s">
        <v>9</v>
      </c>
      <c r="E15" s="2">
        <v>8100</v>
      </c>
      <c r="F15" s="2">
        <f t="shared" si="0"/>
        <v>8100</v>
      </c>
    </row>
    <row r="16" spans="1:6" x14ac:dyDescent="0.25">
      <c r="B16" t="s">
        <v>15</v>
      </c>
      <c r="C16" s="1">
        <v>1</v>
      </c>
      <c r="D16" s="1" t="s">
        <v>9</v>
      </c>
      <c r="E16" s="2">
        <v>56250</v>
      </c>
      <c r="F16" s="2">
        <f t="shared" si="0"/>
        <v>56250</v>
      </c>
    </row>
    <row r="17" spans="2:6" x14ac:dyDescent="0.25">
      <c r="B17" t="s">
        <v>29</v>
      </c>
      <c r="C17" s="1">
        <v>2</v>
      </c>
      <c r="D17" s="1" t="s">
        <v>9</v>
      </c>
      <c r="E17" s="2">
        <v>5850</v>
      </c>
      <c r="F17" s="2">
        <f t="shared" si="0"/>
        <v>11700</v>
      </c>
    </row>
    <row r="18" spans="2:6" x14ac:dyDescent="0.25">
      <c r="B18" t="s">
        <v>31</v>
      </c>
      <c r="C18" s="1">
        <v>1</v>
      </c>
      <c r="D18" s="1" t="s">
        <v>9</v>
      </c>
      <c r="E18" s="2">
        <v>2700</v>
      </c>
      <c r="F18" s="2">
        <f t="shared" si="0"/>
        <v>2700</v>
      </c>
    </row>
    <row r="19" spans="2:6" x14ac:dyDescent="0.25">
      <c r="C19" s="1"/>
      <c r="D19" s="1"/>
      <c r="E19" s="2"/>
      <c r="F19" s="2"/>
    </row>
    <row r="20" spans="2:6" x14ac:dyDescent="0.25">
      <c r="B20" t="s">
        <v>32</v>
      </c>
      <c r="C20" s="1">
        <v>6</v>
      </c>
      <c r="D20" s="1" t="s">
        <v>19</v>
      </c>
      <c r="E20" s="2">
        <v>1162</v>
      </c>
      <c r="F20" s="2">
        <f t="shared" si="0"/>
        <v>6972</v>
      </c>
    </row>
    <row r="21" spans="2:6" x14ac:dyDescent="0.25">
      <c r="B21" t="s">
        <v>33</v>
      </c>
      <c r="C21" s="1">
        <v>42</v>
      </c>
      <c r="D21" s="1" t="s">
        <v>19</v>
      </c>
      <c r="E21" s="2">
        <v>821.07</v>
      </c>
      <c r="F21" s="2">
        <f t="shared" si="0"/>
        <v>34484.94</v>
      </c>
    </row>
    <row r="22" spans="2:6" x14ac:dyDescent="0.25">
      <c r="B22" t="s">
        <v>34</v>
      </c>
      <c r="C22" s="1">
        <v>18</v>
      </c>
      <c r="D22" s="1" t="s">
        <v>19</v>
      </c>
      <c r="E22" s="2">
        <v>502</v>
      </c>
      <c r="F22" s="2">
        <f t="shared" si="0"/>
        <v>9036</v>
      </c>
    </row>
    <row r="23" spans="2:6" x14ac:dyDescent="0.25">
      <c r="B23" t="s">
        <v>35</v>
      </c>
      <c r="C23" s="1">
        <v>12</v>
      </c>
      <c r="D23" s="1" t="s">
        <v>19</v>
      </c>
      <c r="E23" s="2">
        <v>209.25</v>
      </c>
      <c r="F23" s="2">
        <f t="shared" si="0"/>
        <v>2511</v>
      </c>
    </row>
    <row r="24" spans="2:6" x14ac:dyDescent="0.25">
      <c r="C24" s="1"/>
      <c r="D24" s="1"/>
      <c r="E24" s="2"/>
      <c r="F24" s="2"/>
    </row>
    <row r="25" spans="2:6" x14ac:dyDescent="0.25">
      <c r="B25" t="s">
        <v>53</v>
      </c>
      <c r="C25" s="1">
        <v>1</v>
      </c>
      <c r="D25" s="1" t="s">
        <v>37</v>
      </c>
      <c r="E25" s="2">
        <v>95000</v>
      </c>
      <c r="F25" s="2">
        <f t="shared" si="0"/>
        <v>95000</v>
      </c>
    </row>
    <row r="26" spans="2:6" x14ac:dyDescent="0.25">
      <c r="C26" s="1"/>
      <c r="D26" s="1"/>
      <c r="E26" s="2"/>
      <c r="F26" s="2"/>
    </row>
    <row r="27" spans="2:6" x14ac:dyDescent="0.25">
      <c r="B27" s="3" t="s">
        <v>17</v>
      </c>
      <c r="C27" s="1"/>
      <c r="D27" s="1"/>
      <c r="E27" s="2"/>
      <c r="F27" s="2"/>
    </row>
    <row r="28" spans="2:6" x14ac:dyDescent="0.25">
      <c r="C28" s="1"/>
      <c r="D28" s="1"/>
      <c r="E28" s="2"/>
      <c r="F28" s="2"/>
    </row>
    <row r="29" spans="2:6" x14ac:dyDescent="0.25">
      <c r="B29" t="s">
        <v>18</v>
      </c>
      <c r="C29" s="1">
        <v>1268</v>
      </c>
      <c r="D29" s="1" t="s">
        <v>19</v>
      </c>
      <c r="E29" s="2">
        <v>821.07</v>
      </c>
      <c r="F29" s="2">
        <f t="shared" si="0"/>
        <v>1041116.76</v>
      </c>
    </row>
    <row r="30" spans="2:6" x14ac:dyDescent="0.25">
      <c r="B30" t="s">
        <v>20</v>
      </c>
      <c r="C30" s="1">
        <v>2860</v>
      </c>
      <c r="D30" s="1" t="s">
        <v>19</v>
      </c>
      <c r="E30" s="2">
        <v>209.25</v>
      </c>
      <c r="F30" s="2">
        <f t="shared" si="0"/>
        <v>598455</v>
      </c>
    </row>
    <row r="31" spans="2:6" x14ac:dyDescent="0.25">
      <c r="B31" t="s">
        <v>28</v>
      </c>
      <c r="C31" s="4">
        <v>0.4</v>
      </c>
      <c r="D31" s="1"/>
      <c r="E31" s="2"/>
      <c r="F31" s="2">
        <f>SUM(F29:F30)*C31</f>
        <v>655828.70400000003</v>
      </c>
    </row>
    <row r="32" spans="2:6" x14ac:dyDescent="0.25">
      <c r="C32" s="1"/>
      <c r="D32" s="1"/>
      <c r="E32" s="2"/>
      <c r="F32" s="2"/>
    </row>
    <row r="33" spans="2:6" x14ac:dyDescent="0.25">
      <c r="B33" t="s">
        <v>16</v>
      </c>
      <c r="C33" s="1">
        <v>5</v>
      </c>
      <c r="D33" s="1" t="s">
        <v>9</v>
      </c>
      <c r="E33" s="2">
        <v>4500</v>
      </c>
      <c r="F33" s="2">
        <f t="shared" si="0"/>
        <v>22500</v>
      </c>
    </row>
    <row r="34" spans="2:6" x14ac:dyDescent="0.25">
      <c r="B34" t="s">
        <v>21</v>
      </c>
      <c r="C34" s="1">
        <v>982</v>
      </c>
      <c r="D34" s="1" t="s">
        <v>9</v>
      </c>
      <c r="E34" s="2">
        <v>360</v>
      </c>
      <c r="F34" s="2">
        <f t="shared" si="0"/>
        <v>353520</v>
      </c>
    </row>
    <row r="35" spans="2:6" x14ac:dyDescent="0.25">
      <c r="C35" s="1"/>
      <c r="D35" s="1"/>
      <c r="E35" s="2"/>
      <c r="F35" s="2"/>
    </row>
    <row r="36" spans="2:6" x14ac:dyDescent="0.25">
      <c r="B36" t="s">
        <v>27</v>
      </c>
      <c r="C36" s="1">
        <v>3</v>
      </c>
      <c r="D36" s="1" t="s">
        <v>9</v>
      </c>
      <c r="E36" s="2">
        <v>9500</v>
      </c>
      <c r="F36" s="2">
        <f t="shared" si="0"/>
        <v>28500</v>
      </c>
    </row>
    <row r="37" spans="2:6" x14ac:dyDescent="0.25">
      <c r="C37" s="1"/>
      <c r="D37" s="1"/>
      <c r="E37" s="2"/>
      <c r="F37" s="2"/>
    </row>
    <row r="38" spans="2:6" x14ac:dyDescent="0.25">
      <c r="B38" t="s">
        <v>26</v>
      </c>
      <c r="C38" s="1">
        <v>1</v>
      </c>
      <c r="D38" s="1" t="s">
        <v>22</v>
      </c>
      <c r="E38" s="2">
        <v>1500000</v>
      </c>
      <c r="F38" s="2">
        <f t="shared" ref="F38" si="1">E38*C38</f>
        <v>1500000</v>
      </c>
    </row>
    <row r="39" spans="2:6" x14ac:dyDescent="0.25">
      <c r="C39" s="1"/>
      <c r="D39" s="1"/>
      <c r="E39" s="2"/>
      <c r="F39" s="2"/>
    </row>
    <row r="40" spans="2:6" x14ac:dyDescent="0.25">
      <c r="B40" s="3" t="s">
        <v>23</v>
      </c>
      <c r="C40" s="1"/>
      <c r="D40" s="1"/>
      <c r="E40" s="2"/>
      <c r="F40" s="2"/>
    </row>
    <row r="41" spans="2:6" x14ac:dyDescent="0.25">
      <c r="C41" s="1"/>
      <c r="D41" s="1"/>
      <c r="E41" s="2"/>
      <c r="F41" s="2"/>
    </row>
    <row r="42" spans="2:6" x14ac:dyDescent="0.25">
      <c r="B42" t="s">
        <v>24</v>
      </c>
      <c r="C42" s="1">
        <v>8</v>
      </c>
      <c r="D42" s="1" t="s">
        <v>9</v>
      </c>
      <c r="E42" s="2">
        <v>8250</v>
      </c>
      <c r="F42" s="2">
        <f t="shared" si="0"/>
        <v>66000</v>
      </c>
    </row>
    <row r="43" spans="2:6" x14ac:dyDescent="0.25">
      <c r="B43" t="s">
        <v>20</v>
      </c>
      <c r="C43" s="1">
        <v>400</v>
      </c>
      <c r="D43" s="1" t="s">
        <v>19</v>
      </c>
      <c r="E43" s="2">
        <v>209.25</v>
      </c>
      <c r="F43" s="2">
        <f t="shared" si="0"/>
        <v>83700</v>
      </c>
    </row>
    <row r="44" spans="2:6" x14ac:dyDescent="0.25">
      <c r="B44" t="s">
        <v>28</v>
      </c>
      <c r="C44" s="4">
        <v>0.4</v>
      </c>
      <c r="D44" s="1"/>
      <c r="E44" s="2"/>
      <c r="F44" s="2">
        <f>SUM(F43)*C44</f>
        <v>33480</v>
      </c>
    </row>
    <row r="45" spans="2:6" x14ac:dyDescent="0.25">
      <c r="C45" s="1"/>
      <c r="D45" s="1"/>
      <c r="E45" s="2"/>
      <c r="F45" s="2"/>
    </row>
    <row r="46" spans="2:6" x14ac:dyDescent="0.25">
      <c r="B46" t="s">
        <v>25</v>
      </c>
      <c r="C46" s="1">
        <v>1</v>
      </c>
      <c r="D46" s="1" t="s">
        <v>8</v>
      </c>
      <c r="E46" s="2">
        <v>3500000</v>
      </c>
      <c r="F46" s="2">
        <f t="shared" ref="F46" si="2">E46*C46</f>
        <v>3500000</v>
      </c>
    </row>
    <row r="47" spans="2:6" x14ac:dyDescent="0.25">
      <c r="C47" s="1"/>
      <c r="D47" s="1"/>
      <c r="E47" s="2"/>
      <c r="F47" s="2"/>
    </row>
    <row r="48" spans="2:6" x14ac:dyDescent="0.25">
      <c r="B48" s="3" t="s">
        <v>38</v>
      </c>
      <c r="C48" s="1"/>
      <c r="D48" s="1"/>
      <c r="E48" s="2"/>
      <c r="F48" s="2"/>
    </row>
    <row r="49" spans="2:6" x14ac:dyDescent="0.25">
      <c r="C49" s="1"/>
      <c r="D49" s="1"/>
      <c r="E49" s="2"/>
      <c r="F49" s="2"/>
    </row>
    <row r="50" spans="2:6" x14ac:dyDescent="0.25">
      <c r="B50" t="s">
        <v>39</v>
      </c>
      <c r="C50" s="1">
        <v>1</v>
      </c>
      <c r="D50" s="1" t="s">
        <v>8</v>
      </c>
      <c r="E50" s="2">
        <v>25000</v>
      </c>
      <c r="F50" s="2">
        <f>C50*E50</f>
        <v>25000</v>
      </c>
    </row>
    <row r="51" spans="2:6" x14ac:dyDescent="0.25">
      <c r="B51" t="s">
        <v>40</v>
      </c>
      <c r="C51" s="1">
        <v>6</v>
      </c>
      <c r="D51" s="1" t="s">
        <v>9</v>
      </c>
      <c r="E51" s="2">
        <v>4500</v>
      </c>
      <c r="F51" s="2">
        <f>C51*E51</f>
        <v>27000</v>
      </c>
    </row>
    <row r="52" spans="2:6" x14ac:dyDescent="0.25">
      <c r="C52" s="1"/>
      <c r="D52" s="1"/>
      <c r="E52" s="2"/>
      <c r="F52" s="2"/>
    </row>
    <row r="53" spans="2:6" x14ac:dyDescent="0.25">
      <c r="B53" t="s">
        <v>41</v>
      </c>
      <c r="C53" s="1">
        <v>1</v>
      </c>
      <c r="D53" s="1" t="s">
        <v>8</v>
      </c>
      <c r="E53" s="2">
        <v>55000</v>
      </c>
      <c r="F53" s="2">
        <v>55000</v>
      </c>
    </row>
    <row r="54" spans="2:6" x14ac:dyDescent="0.25">
      <c r="C54" s="1"/>
      <c r="D54" s="1"/>
      <c r="E54" s="2"/>
      <c r="F54" s="2"/>
    </row>
    <row r="55" spans="2:6" x14ac:dyDescent="0.25">
      <c r="B55" s="3" t="s">
        <v>42</v>
      </c>
      <c r="C55" s="1"/>
      <c r="D55" s="1"/>
      <c r="E55" s="2"/>
      <c r="F55" s="2"/>
    </row>
    <row r="56" spans="2:6" x14ac:dyDescent="0.25">
      <c r="C56" s="1"/>
      <c r="D56" s="1"/>
      <c r="E56" s="2"/>
      <c r="F56" s="2"/>
    </row>
    <row r="57" spans="2:6" x14ac:dyDescent="0.25">
      <c r="B57" t="s">
        <v>43</v>
      </c>
      <c r="C57" s="1">
        <v>9</v>
      </c>
      <c r="D57" s="1" t="s">
        <v>9</v>
      </c>
      <c r="E57" s="2">
        <v>35000</v>
      </c>
      <c r="F57" s="2">
        <f t="shared" ref="F57:F61" si="3">E57*C57</f>
        <v>315000</v>
      </c>
    </row>
    <row r="58" spans="2:6" x14ac:dyDescent="0.25">
      <c r="B58" t="s">
        <v>44</v>
      </c>
      <c r="C58" s="1">
        <v>2</v>
      </c>
      <c r="D58" s="1" t="s">
        <v>9</v>
      </c>
      <c r="E58" s="2">
        <v>22000</v>
      </c>
      <c r="F58" s="2">
        <f t="shared" si="3"/>
        <v>44000</v>
      </c>
    </row>
    <row r="59" spans="2:6" x14ac:dyDescent="0.25">
      <c r="B59" t="s">
        <v>45</v>
      </c>
      <c r="C59" s="1">
        <v>1</v>
      </c>
      <c r="D59" s="1" t="s">
        <v>8</v>
      </c>
      <c r="E59" s="2">
        <v>45000</v>
      </c>
      <c r="F59" s="2">
        <f t="shared" si="3"/>
        <v>45000</v>
      </c>
    </row>
    <row r="60" spans="2:6" x14ac:dyDescent="0.25">
      <c r="C60" s="1"/>
      <c r="D60" s="1"/>
      <c r="E60" s="2"/>
      <c r="F60" s="2"/>
    </row>
    <row r="61" spans="2:6" x14ac:dyDescent="0.25">
      <c r="B61" t="s">
        <v>46</v>
      </c>
      <c r="C61" s="1">
        <v>1</v>
      </c>
      <c r="D61" s="1" t="s">
        <v>8</v>
      </c>
      <c r="E61" s="2">
        <v>150000</v>
      </c>
      <c r="F61" s="2">
        <f t="shared" si="3"/>
        <v>150000</v>
      </c>
    </row>
    <row r="62" spans="2:6" x14ac:dyDescent="0.25">
      <c r="C62" s="1"/>
      <c r="D62" s="1"/>
      <c r="E62" s="2"/>
      <c r="F62" s="2"/>
    </row>
    <row r="63" spans="2:6" x14ac:dyDescent="0.25">
      <c r="C63" s="1"/>
      <c r="D63" s="1"/>
      <c r="E63" s="2"/>
      <c r="F63" s="2"/>
    </row>
    <row r="64" spans="2:6" x14ac:dyDescent="0.25">
      <c r="C64" s="1"/>
      <c r="D64" s="1"/>
      <c r="E64" s="2"/>
      <c r="F64" s="2"/>
    </row>
    <row r="65" spans="1:6" x14ac:dyDescent="0.25">
      <c r="A65" s="7" t="s">
        <v>48</v>
      </c>
      <c r="B65" s="7"/>
      <c r="C65" s="7"/>
      <c r="D65" s="7"/>
      <c r="E65" s="7"/>
      <c r="F65" s="7"/>
    </row>
    <row r="66" spans="1:6" x14ac:dyDescent="0.25">
      <c r="A66" s="7"/>
      <c r="B66" s="7"/>
      <c r="C66" s="7"/>
      <c r="D66" s="7"/>
      <c r="E66" s="7"/>
      <c r="F66" s="7"/>
    </row>
    <row r="67" spans="1:6" x14ac:dyDescent="0.25">
      <c r="A67" s="3" t="s">
        <v>0</v>
      </c>
      <c r="B67" s="3" t="s">
        <v>1</v>
      </c>
      <c r="C67" s="3" t="s">
        <v>2</v>
      </c>
      <c r="D67" s="3" t="s">
        <v>3</v>
      </c>
      <c r="E67" s="3" t="s">
        <v>11</v>
      </c>
      <c r="F67" s="3" t="s">
        <v>4</v>
      </c>
    </row>
    <row r="68" spans="1:6" x14ac:dyDescent="0.25">
      <c r="E68" s="2"/>
    </row>
    <row r="69" spans="1:6" x14ac:dyDescent="0.25">
      <c r="B69" s="3" t="s">
        <v>5</v>
      </c>
      <c r="E69" s="2"/>
    </row>
    <row r="70" spans="1:6" x14ac:dyDescent="0.25">
      <c r="B70" t="s">
        <v>49</v>
      </c>
      <c r="C70" s="5">
        <v>1</v>
      </c>
      <c r="D70" s="5" t="s">
        <v>8</v>
      </c>
      <c r="E70" s="6">
        <v>2100000</v>
      </c>
      <c r="F70" s="6">
        <f>C70*E70</f>
        <v>2100000</v>
      </c>
    </row>
    <row r="71" spans="1:6" x14ac:dyDescent="0.25">
      <c r="B71" t="s">
        <v>50</v>
      </c>
      <c r="C71" s="5"/>
      <c r="D71" s="5"/>
      <c r="E71" s="6"/>
      <c r="F71" s="6"/>
    </row>
    <row r="72" spans="1:6" x14ac:dyDescent="0.25">
      <c r="C72" s="1"/>
      <c r="D72" s="1"/>
      <c r="E72" s="2"/>
      <c r="F72" s="2"/>
    </row>
    <row r="73" spans="1:6" x14ac:dyDescent="0.25">
      <c r="B73" t="s">
        <v>52</v>
      </c>
      <c r="C73" s="1">
        <v>1</v>
      </c>
      <c r="D73" s="1" t="s">
        <v>9</v>
      </c>
      <c r="E73" s="2">
        <v>1250000</v>
      </c>
      <c r="F73" s="2">
        <f>E73*C73</f>
        <v>1250000</v>
      </c>
    </row>
    <row r="74" spans="1:6" x14ac:dyDescent="0.25">
      <c r="C74" s="1"/>
      <c r="D74" s="1"/>
      <c r="E74" s="2"/>
      <c r="F74" s="2"/>
    </row>
    <row r="75" spans="1:6" x14ac:dyDescent="0.25">
      <c r="B75" t="s">
        <v>30</v>
      </c>
      <c r="C75" s="1">
        <v>2</v>
      </c>
      <c r="D75" s="1" t="s">
        <v>9</v>
      </c>
      <c r="E75" s="2">
        <v>22250</v>
      </c>
      <c r="F75" s="2">
        <f>E75*C75</f>
        <v>44500</v>
      </c>
    </row>
    <row r="76" spans="1:6" x14ac:dyDescent="0.25">
      <c r="B76" t="s">
        <v>10</v>
      </c>
      <c r="C76" s="1">
        <v>3</v>
      </c>
      <c r="D76" s="1" t="s">
        <v>9</v>
      </c>
      <c r="E76" s="2">
        <v>32500</v>
      </c>
      <c r="F76" s="2">
        <f>E76*C76</f>
        <v>97500</v>
      </c>
    </row>
    <row r="77" spans="1:6" x14ac:dyDescent="0.25">
      <c r="B77" t="s">
        <v>12</v>
      </c>
      <c r="C77" s="1">
        <v>8</v>
      </c>
      <c r="D77" s="1" t="s">
        <v>9</v>
      </c>
      <c r="E77" s="2">
        <v>10125</v>
      </c>
      <c r="F77" s="2">
        <f t="shared" ref="F77:F80" si="4">E77*C77</f>
        <v>81000</v>
      </c>
    </row>
    <row r="78" spans="1:6" x14ac:dyDescent="0.25">
      <c r="B78" t="s">
        <v>13</v>
      </c>
      <c r="C78" s="1">
        <v>3</v>
      </c>
      <c r="D78" s="1" t="s">
        <v>9</v>
      </c>
      <c r="E78" s="2">
        <v>4050</v>
      </c>
      <c r="F78" s="2">
        <f t="shared" si="4"/>
        <v>12150</v>
      </c>
    </row>
    <row r="79" spans="1:6" x14ac:dyDescent="0.25">
      <c r="B79" t="s">
        <v>14</v>
      </c>
      <c r="C79" s="1">
        <v>1</v>
      </c>
      <c r="D79" s="1" t="s">
        <v>9</v>
      </c>
      <c r="E79" s="2">
        <v>8100</v>
      </c>
      <c r="F79" s="2">
        <f t="shared" si="4"/>
        <v>8100</v>
      </c>
    </row>
    <row r="80" spans="1:6" x14ac:dyDescent="0.25">
      <c r="B80" t="s">
        <v>15</v>
      </c>
      <c r="C80" s="1">
        <v>1</v>
      </c>
      <c r="D80" s="1" t="s">
        <v>9</v>
      </c>
      <c r="E80" s="2">
        <v>56250</v>
      </c>
      <c r="F80" s="2">
        <f t="shared" si="4"/>
        <v>56250</v>
      </c>
    </row>
    <row r="81" spans="2:6" x14ac:dyDescent="0.25">
      <c r="B81" t="s">
        <v>29</v>
      </c>
      <c r="C81" s="1">
        <v>2</v>
      </c>
      <c r="D81" s="1" t="s">
        <v>9</v>
      </c>
      <c r="E81" s="2">
        <v>5850</v>
      </c>
      <c r="F81" s="2">
        <f>E81*C81</f>
        <v>11700</v>
      </c>
    </row>
    <row r="82" spans="2:6" x14ac:dyDescent="0.25">
      <c r="B82" t="s">
        <v>31</v>
      </c>
      <c r="C82" s="1">
        <v>1</v>
      </c>
      <c r="D82" s="1" t="s">
        <v>9</v>
      </c>
      <c r="E82" s="2">
        <v>2700</v>
      </c>
      <c r="F82" s="2">
        <f>E82*C82</f>
        <v>2700</v>
      </c>
    </row>
    <row r="83" spans="2:6" x14ac:dyDescent="0.25">
      <c r="C83" s="1"/>
      <c r="D83" s="1"/>
      <c r="E83" s="2"/>
      <c r="F83" s="2"/>
    </row>
    <row r="84" spans="2:6" x14ac:dyDescent="0.25">
      <c r="B84" t="s">
        <v>32</v>
      </c>
      <c r="C84" s="1">
        <v>6</v>
      </c>
      <c r="D84" s="1" t="s">
        <v>19</v>
      </c>
      <c r="E84" s="2">
        <v>1162</v>
      </c>
      <c r="F84" s="2">
        <f t="shared" ref="F84:F87" si="5">E84*C84</f>
        <v>6972</v>
      </c>
    </row>
    <row r="85" spans="2:6" x14ac:dyDescent="0.25">
      <c r="B85" t="s">
        <v>33</v>
      </c>
      <c r="C85" s="1">
        <v>42</v>
      </c>
      <c r="D85" s="1" t="s">
        <v>19</v>
      </c>
      <c r="E85" s="2">
        <v>821.07</v>
      </c>
      <c r="F85" s="2">
        <f t="shared" si="5"/>
        <v>34484.94</v>
      </c>
    </row>
    <row r="86" spans="2:6" x14ac:dyDescent="0.25">
      <c r="B86" t="s">
        <v>34</v>
      </c>
      <c r="C86" s="1">
        <v>18</v>
      </c>
      <c r="D86" s="1" t="s">
        <v>19</v>
      </c>
      <c r="E86" s="2">
        <v>502</v>
      </c>
      <c r="F86" s="2">
        <f t="shared" si="5"/>
        <v>9036</v>
      </c>
    </row>
    <row r="87" spans="2:6" x14ac:dyDescent="0.25">
      <c r="B87" t="s">
        <v>35</v>
      </c>
      <c r="C87" s="1">
        <v>12</v>
      </c>
      <c r="D87" s="1" t="s">
        <v>19</v>
      </c>
      <c r="E87" s="2">
        <v>209.25</v>
      </c>
      <c r="F87" s="2">
        <f t="shared" si="5"/>
        <v>2511</v>
      </c>
    </row>
    <row r="88" spans="2:6" x14ac:dyDescent="0.25">
      <c r="C88" s="1"/>
      <c r="D88" s="1"/>
      <c r="E88" s="2"/>
      <c r="F88" s="2"/>
    </row>
    <row r="89" spans="2:6" x14ac:dyDescent="0.25">
      <c r="B89" t="s">
        <v>36</v>
      </c>
      <c r="C89" s="1">
        <v>1</v>
      </c>
      <c r="D89" s="1" t="s">
        <v>37</v>
      </c>
      <c r="E89" s="2">
        <v>95000</v>
      </c>
      <c r="F89" s="2">
        <f t="shared" ref="F89" si="6">E89*C89</f>
        <v>95000</v>
      </c>
    </row>
    <row r="90" spans="2:6" x14ac:dyDescent="0.25">
      <c r="C90" s="1"/>
      <c r="D90" s="1"/>
      <c r="E90" s="2"/>
      <c r="F90" s="2"/>
    </row>
    <row r="91" spans="2:6" x14ac:dyDescent="0.25">
      <c r="B91" s="3" t="s">
        <v>17</v>
      </c>
      <c r="C91" s="1"/>
      <c r="D91" s="1"/>
      <c r="E91" s="2"/>
      <c r="F91" s="2"/>
    </row>
    <row r="92" spans="2:6" x14ac:dyDescent="0.25">
      <c r="C92" s="1"/>
      <c r="D92" s="1"/>
      <c r="E92" s="2"/>
      <c r="F92" s="2"/>
    </row>
    <row r="93" spans="2:6" x14ac:dyDescent="0.25">
      <c r="B93" t="s">
        <v>18</v>
      </c>
      <c r="C93" s="1">
        <v>488</v>
      </c>
      <c r="D93" s="1" t="s">
        <v>19</v>
      </c>
      <c r="E93" s="2">
        <v>821.07</v>
      </c>
      <c r="F93" s="2">
        <f t="shared" ref="F93:F94" si="7">E93*C93</f>
        <v>400682.16000000003</v>
      </c>
    </row>
    <row r="94" spans="2:6" x14ac:dyDescent="0.25">
      <c r="B94" t="s">
        <v>20</v>
      </c>
      <c r="C94" s="1">
        <v>882</v>
      </c>
      <c r="D94" s="1" t="s">
        <v>19</v>
      </c>
      <c r="E94" s="2">
        <v>209.25</v>
      </c>
      <c r="F94" s="2">
        <f t="shared" si="7"/>
        <v>184558.5</v>
      </c>
    </row>
    <row r="95" spans="2:6" x14ac:dyDescent="0.25">
      <c r="B95" t="s">
        <v>28</v>
      </c>
      <c r="C95" s="4">
        <v>0.4</v>
      </c>
      <c r="D95" s="1"/>
      <c r="E95" s="2"/>
      <c r="F95" s="2">
        <f>SUM(F93:F94)*C95</f>
        <v>234096.26400000002</v>
      </c>
    </row>
    <row r="96" spans="2:6" x14ac:dyDescent="0.25">
      <c r="C96" s="4"/>
      <c r="D96" s="1"/>
      <c r="E96" s="2"/>
      <c r="F96" s="2"/>
    </row>
    <row r="97" spans="2:6" x14ac:dyDescent="0.25">
      <c r="B97" t="s">
        <v>16</v>
      </c>
      <c r="C97" s="1">
        <v>3</v>
      </c>
      <c r="D97" s="1" t="s">
        <v>9</v>
      </c>
      <c r="E97" s="2">
        <v>4500</v>
      </c>
      <c r="F97" s="2">
        <f t="shared" ref="F97:F98" si="8">E97*C97</f>
        <v>13500</v>
      </c>
    </row>
    <row r="98" spans="2:6" x14ac:dyDescent="0.25">
      <c r="B98" t="s">
        <v>21</v>
      </c>
      <c r="C98" s="1">
        <v>315</v>
      </c>
      <c r="D98" s="1" t="s">
        <v>9</v>
      </c>
      <c r="E98" s="2">
        <v>360</v>
      </c>
      <c r="F98" s="2">
        <f t="shared" si="8"/>
        <v>113400</v>
      </c>
    </row>
    <row r="99" spans="2:6" x14ac:dyDescent="0.25">
      <c r="C99" s="1"/>
      <c r="D99" s="1"/>
      <c r="E99" s="2"/>
      <c r="F99" s="2"/>
    </row>
    <row r="100" spans="2:6" x14ac:dyDescent="0.25">
      <c r="B100" t="s">
        <v>26</v>
      </c>
      <c r="C100" s="1">
        <v>1</v>
      </c>
      <c r="D100" s="1" t="s">
        <v>22</v>
      </c>
      <c r="E100" s="2">
        <v>750000</v>
      </c>
      <c r="F100" s="2">
        <f t="shared" ref="F100" si="9">E100*C100</f>
        <v>750000</v>
      </c>
    </row>
    <row r="101" spans="2:6" x14ac:dyDescent="0.25">
      <c r="C101" s="1"/>
      <c r="D101" s="1"/>
      <c r="E101" s="2"/>
      <c r="F101" s="2"/>
    </row>
    <row r="102" spans="2:6" x14ac:dyDescent="0.25">
      <c r="B102" s="3" t="s">
        <v>23</v>
      </c>
      <c r="C102" s="1"/>
      <c r="D102" s="1"/>
      <c r="E102" s="2"/>
      <c r="F102" s="2"/>
    </row>
    <row r="103" spans="2:6" x14ac:dyDescent="0.25">
      <c r="C103" s="1"/>
      <c r="D103" s="1"/>
      <c r="E103" s="2"/>
      <c r="F103" s="2"/>
    </row>
    <row r="104" spans="2:6" x14ac:dyDescent="0.25">
      <c r="B104" t="s">
        <v>24</v>
      </c>
      <c r="C104" s="1">
        <v>0</v>
      </c>
      <c r="D104" s="1" t="s">
        <v>9</v>
      </c>
      <c r="E104" s="2">
        <v>8250</v>
      </c>
      <c r="F104" s="2">
        <f t="shared" ref="F104:F105" si="10">E104*C104</f>
        <v>0</v>
      </c>
    </row>
    <row r="105" spans="2:6" x14ac:dyDescent="0.25">
      <c r="B105" t="s">
        <v>20</v>
      </c>
      <c r="C105" s="1">
        <v>50</v>
      </c>
      <c r="D105" s="1" t="s">
        <v>19</v>
      </c>
      <c r="E105" s="2">
        <v>209.25</v>
      </c>
      <c r="F105" s="2">
        <f t="shared" si="10"/>
        <v>10462.5</v>
      </c>
    </row>
    <row r="106" spans="2:6" x14ac:dyDescent="0.25">
      <c r="B106" t="s">
        <v>28</v>
      </c>
      <c r="C106" s="4">
        <v>0.4</v>
      </c>
      <c r="D106" s="1"/>
      <c r="E106" s="2"/>
      <c r="F106" s="2">
        <f>SUM(F104:F105)*C106</f>
        <v>4185</v>
      </c>
    </row>
    <row r="107" spans="2:6" x14ac:dyDescent="0.25">
      <c r="C107" s="4"/>
      <c r="D107" s="1"/>
      <c r="E107" s="2"/>
      <c r="F107" s="2"/>
    </row>
    <row r="108" spans="2:6" x14ac:dyDescent="0.25">
      <c r="B108" t="s">
        <v>25</v>
      </c>
      <c r="C108" s="1">
        <v>1</v>
      </c>
      <c r="D108" s="1" t="s">
        <v>8</v>
      </c>
      <c r="E108" s="2">
        <v>1500000</v>
      </c>
      <c r="F108" s="2">
        <f t="shared" ref="F108" si="11">E108*C108</f>
        <v>1500000</v>
      </c>
    </row>
    <row r="109" spans="2:6" x14ac:dyDescent="0.25">
      <c r="C109" s="1"/>
      <c r="D109" s="1"/>
      <c r="E109" s="2"/>
      <c r="F109" s="2"/>
    </row>
  </sheetData>
  <mergeCells count="10">
    <mergeCell ref="C70:C71"/>
    <mergeCell ref="D70:D71"/>
    <mergeCell ref="E70:E71"/>
    <mergeCell ref="F70:F71"/>
    <mergeCell ref="A1:F2"/>
    <mergeCell ref="A65:F66"/>
    <mergeCell ref="C6:C7"/>
    <mergeCell ref="D6:D7"/>
    <mergeCell ref="E6:E7"/>
    <mergeCell ref="F6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ANONIM</dc:creator>
  <cp:lastModifiedBy>ANONIM</cp:lastModifiedBy>
  <dcterms:created xsi:type="dcterms:W3CDTF">2015-06-05T18:19:34Z</dcterms:created>
  <dcterms:modified xsi:type="dcterms:W3CDTF">2026-08-01T10:17:34Z</dcterms:modified>
</cp:coreProperties>
</file>