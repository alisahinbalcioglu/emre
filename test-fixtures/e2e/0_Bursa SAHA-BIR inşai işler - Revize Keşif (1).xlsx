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basar\Desktop\TEKLİF VERİLEN PROJELER\DEMİRTAŞ OSB BURSA\"/>
    </mc:Choice>
  </mc:AlternateContent>
  <xr:revisionPtr revIDLastSave="0" documentId="13_ncr:1_{207809E2-C298-4AC5-949F-807CCF45571C}" xr6:coauthVersionLast="47" xr6:coauthVersionMax="47" xr10:uidLastSave="{00000000-0000-0000-0000-000000000000}"/>
  <bookViews>
    <workbookView xWindow="-120" yWindow="-120" windowWidth="29040" windowHeight="15720" activeTab="3" xr2:uid="{00000000-000D-0000-FFFF-FFFF00000000}"/>
  </bookViews>
  <sheets>
    <sheet name="İCMAL" sheetId="6" r:id="rId1"/>
    <sheet name="İnşai işler BİNA" sheetId="1" r:id="rId2"/>
    <sheet name="İnşai işler SAHA" sheetId="3" r:id="rId3"/>
    <sheet name="Mekanik" sheetId="4" r:id="rId4"/>
    <sheet name="Elektrik" sheetId="5" r:id="rId5"/>
    <sheet name="Enerji temini" sheetId="7" r:id="rId6"/>
    <sheet name="Asansör" sheetId="8" r:id="rId7"/>
  </sheets>
  <definedNames>
    <definedName name="_xlnm.Print_Area" localSheetId="4">Elektrik!$A$1:$AU$714</definedName>
    <definedName name="_xlnm.Print_Area" localSheetId="0">İCMAL!$B$2:$H$15</definedName>
    <definedName name="_xlnm.Print_Area" localSheetId="1">'İnşai işler BİNA'!$A$1:$M$223</definedName>
    <definedName name="_xlnm.Print_Area" localSheetId="2">'İnşai işler SAHA'!$A$1:$M$63</definedName>
    <definedName name="_xlnm.Print_Area" localSheetId="3">Mekanik!$A$1:$M$656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71" i="4" l="1"/>
  <c r="M171" i="4" s="1"/>
  <c r="I574" i="4"/>
  <c r="M21" i="3" l="1"/>
  <c r="K21" i="3"/>
  <c r="I21" i="3"/>
  <c r="I3" i="8"/>
  <c r="L4" i="8"/>
  <c r="M4" i="8" s="1"/>
  <c r="M3" i="8" s="1"/>
  <c r="K4" i="8"/>
  <c r="I4" i="8"/>
  <c r="L7" i="7"/>
  <c r="D9" i="6" s="1" a="1"/>
  <c r="D9" i="6" s="1"/>
  <c r="L5" i="7"/>
  <c r="M5" i="7" s="1"/>
  <c r="K5" i="7"/>
  <c r="I5" i="7"/>
  <c r="L4" i="7"/>
  <c r="M4" i="7" s="1"/>
  <c r="K4" i="7"/>
  <c r="I4" i="7"/>
  <c r="I3" i="7" s="1"/>
  <c r="AO698" i="5"/>
  <c r="AO697" i="5"/>
  <c r="AO696" i="5"/>
  <c r="AO695" i="5"/>
  <c r="AO694" i="5"/>
  <c r="AO693" i="5"/>
  <c r="AO692" i="5"/>
  <c r="AO691" i="5"/>
  <c r="AO690" i="5"/>
  <c r="AO689" i="5"/>
  <c r="AO688" i="5"/>
  <c r="AO687" i="5"/>
  <c r="AO686" i="5"/>
  <c r="AO685" i="5"/>
  <c r="AO684" i="5"/>
  <c r="AO683" i="5"/>
  <c r="AO682" i="5"/>
  <c r="AO681" i="5"/>
  <c r="AO680" i="5"/>
  <c r="AO679" i="5"/>
  <c r="AO677" i="5"/>
  <c r="AO676" i="5"/>
  <c r="AO675" i="5"/>
  <c r="AO674" i="5"/>
  <c r="AO673" i="5"/>
  <c r="AO672" i="5"/>
  <c r="AO671" i="5"/>
  <c r="AO669" i="5"/>
  <c r="AO667" i="5"/>
  <c r="AO666" i="5"/>
  <c r="AO665" i="5"/>
  <c r="AO664" i="5"/>
  <c r="AO663" i="5"/>
  <c r="AO662" i="5"/>
  <c r="AO661" i="5"/>
  <c r="AO660" i="5"/>
  <c r="AO659" i="5"/>
  <c r="AO658" i="5"/>
  <c r="AO657" i="5"/>
  <c r="AO656" i="5"/>
  <c r="AO655" i="5"/>
  <c r="AO654" i="5"/>
  <c r="AO653" i="5"/>
  <c r="AO652" i="5"/>
  <c r="AO651" i="5"/>
  <c r="AO650" i="5"/>
  <c r="AO649" i="5"/>
  <c r="AO648" i="5"/>
  <c r="AO647" i="5"/>
  <c r="AO644" i="5"/>
  <c r="AO643" i="5"/>
  <c r="AO642" i="5"/>
  <c r="AO641" i="5"/>
  <c r="AO640" i="5"/>
  <c r="AO639" i="5"/>
  <c r="AO638" i="5"/>
  <c r="AO637" i="5"/>
  <c r="AO636" i="5"/>
  <c r="AO635" i="5"/>
  <c r="AO633" i="5"/>
  <c r="AO632" i="5"/>
  <c r="AO631" i="5"/>
  <c r="AO630" i="5"/>
  <c r="AO629" i="5"/>
  <c r="AO628" i="5"/>
  <c r="AO627" i="5"/>
  <c r="AO626" i="5"/>
  <c r="AO625" i="5"/>
  <c r="AO624" i="5"/>
  <c r="AO623" i="5"/>
  <c r="AO622" i="5"/>
  <c r="AO621" i="5"/>
  <c r="AO620" i="5"/>
  <c r="AO619" i="5"/>
  <c r="AO618" i="5"/>
  <c r="AO617" i="5"/>
  <c r="AO616" i="5"/>
  <c r="AO615" i="5"/>
  <c r="AO614" i="5"/>
  <c r="AO613" i="5"/>
  <c r="AO612" i="5"/>
  <c r="AO611" i="5"/>
  <c r="AO610" i="5"/>
  <c r="AO609" i="5"/>
  <c r="AO608" i="5"/>
  <c r="AO607" i="5"/>
  <c r="AO606" i="5"/>
  <c r="AO605" i="5"/>
  <c r="AO604" i="5"/>
  <c r="AO603" i="5"/>
  <c r="AO602" i="5"/>
  <c r="AO601" i="5"/>
  <c r="AO599" i="5"/>
  <c r="AO598" i="5"/>
  <c r="AO597" i="5"/>
  <c r="AO596" i="5"/>
  <c r="AO595" i="5"/>
  <c r="AO594" i="5"/>
  <c r="AO593" i="5"/>
  <c r="AO592" i="5"/>
  <c r="AO591" i="5"/>
  <c r="AO590" i="5"/>
  <c r="AO588" i="5"/>
  <c r="AO587" i="5"/>
  <c r="AO586" i="5"/>
  <c r="AO585" i="5"/>
  <c r="AO584" i="5"/>
  <c r="AO583" i="5"/>
  <c r="AO582" i="5"/>
  <c r="AO581" i="5"/>
  <c r="AO580" i="5"/>
  <c r="AO579" i="5"/>
  <c r="AO578" i="5"/>
  <c r="AO577" i="5"/>
  <c r="AO576" i="5"/>
  <c r="AO574" i="5"/>
  <c r="AO573" i="5"/>
  <c r="AO572" i="5"/>
  <c r="AO571" i="5"/>
  <c r="AO570" i="5"/>
  <c r="AO569" i="5"/>
  <c r="AO568" i="5"/>
  <c r="AO567" i="5"/>
  <c r="AO566" i="5"/>
  <c r="AO565" i="5"/>
  <c r="AO564" i="5"/>
  <c r="AO563" i="5"/>
  <c r="AO562" i="5"/>
  <c r="AO561" i="5"/>
  <c r="AO560" i="5"/>
  <c r="AO559" i="5"/>
  <c r="AO558" i="5"/>
  <c r="AO557" i="5"/>
  <c r="AO556" i="5"/>
  <c r="AO555" i="5"/>
  <c r="AO554" i="5"/>
  <c r="AO553" i="5"/>
  <c r="AO552" i="5"/>
  <c r="AO551" i="5"/>
  <c r="AO550" i="5"/>
  <c r="AO549" i="5"/>
  <c r="AO548" i="5"/>
  <c r="AO547" i="5"/>
  <c r="AO546" i="5"/>
  <c r="AO545" i="5"/>
  <c r="AO543" i="5"/>
  <c r="AO542" i="5"/>
  <c r="AO541" i="5"/>
  <c r="AO540" i="5"/>
  <c r="AO539" i="5"/>
  <c r="AO538" i="5"/>
  <c r="AO537" i="5"/>
  <c r="AO536" i="5"/>
  <c r="AO535" i="5"/>
  <c r="AO534" i="5"/>
  <c r="AO533" i="5"/>
  <c r="AO532" i="5"/>
  <c r="AO531" i="5"/>
  <c r="AO530" i="5"/>
  <c r="AO529" i="5"/>
  <c r="AO528" i="5"/>
  <c r="AO527" i="5"/>
  <c r="AO526" i="5"/>
  <c r="AO525" i="5"/>
  <c r="AO524" i="5"/>
  <c r="AO523" i="5"/>
  <c r="AO522" i="5"/>
  <c r="AO521" i="5"/>
  <c r="AO520" i="5"/>
  <c r="AO519" i="5"/>
  <c r="AO518" i="5"/>
  <c r="AO517" i="5"/>
  <c r="AO516" i="5"/>
  <c r="AO515" i="5"/>
  <c r="AO514" i="5"/>
  <c r="AO513" i="5"/>
  <c r="AO512" i="5"/>
  <c r="AO511" i="5"/>
  <c r="AO510" i="5"/>
  <c r="AO509" i="5"/>
  <c r="AO508" i="5"/>
  <c r="AO507" i="5"/>
  <c r="AO506" i="5"/>
  <c r="AO505" i="5"/>
  <c r="AO504" i="5"/>
  <c r="AO503" i="5"/>
  <c r="AO500" i="5"/>
  <c r="AO499" i="5"/>
  <c r="AO498" i="5"/>
  <c r="AO497" i="5"/>
  <c r="AO496" i="5"/>
  <c r="AO495" i="5"/>
  <c r="AO494" i="5"/>
  <c r="AO493" i="5"/>
  <c r="AO492" i="5"/>
  <c r="AO491" i="5"/>
  <c r="AO490" i="5"/>
  <c r="AO489" i="5"/>
  <c r="AO488" i="5"/>
  <c r="AO487" i="5"/>
  <c r="AO486" i="5"/>
  <c r="AO485" i="5"/>
  <c r="AO484" i="5"/>
  <c r="AO483" i="5"/>
  <c r="AO482" i="5"/>
  <c r="AO481" i="5"/>
  <c r="AO480" i="5"/>
  <c r="AO479" i="5"/>
  <c r="AO478" i="5"/>
  <c r="AO477" i="5"/>
  <c r="AO476" i="5"/>
  <c r="AO475" i="5"/>
  <c r="AO474" i="5"/>
  <c r="AO473" i="5"/>
  <c r="AO472" i="5"/>
  <c r="AO471" i="5"/>
  <c r="AO470" i="5"/>
  <c r="AO469" i="5"/>
  <c r="AO468" i="5"/>
  <c r="AO467" i="5"/>
  <c r="AO466" i="5"/>
  <c r="AO465" i="5"/>
  <c r="AO464" i="5"/>
  <c r="AO463" i="5"/>
  <c r="AO462" i="5"/>
  <c r="AO461" i="5"/>
  <c r="AO460" i="5"/>
  <c r="AO459" i="5"/>
  <c r="AO458" i="5"/>
  <c r="AO457" i="5"/>
  <c r="AO456" i="5"/>
  <c r="AO455" i="5"/>
  <c r="AO454" i="5"/>
  <c r="AO453" i="5"/>
  <c r="AO452" i="5"/>
  <c r="AO451" i="5"/>
  <c r="AO450" i="5"/>
  <c r="AO449" i="5"/>
  <c r="AO448" i="5"/>
  <c r="AO447" i="5"/>
  <c r="AO446" i="5"/>
  <c r="AO445" i="5"/>
  <c r="AO444" i="5"/>
  <c r="AO442" i="5"/>
  <c r="AO441" i="5"/>
  <c r="AO440" i="5"/>
  <c r="AO439" i="5"/>
  <c r="AO438" i="5"/>
  <c r="AO437" i="5"/>
  <c r="AO436" i="5"/>
  <c r="AO435" i="5"/>
  <c r="AO434" i="5"/>
  <c r="AO433" i="5"/>
  <c r="AO432" i="5"/>
  <c r="AO431" i="5"/>
  <c r="AO430" i="5"/>
  <c r="AO429" i="5"/>
  <c r="AO428" i="5"/>
  <c r="AO427" i="5"/>
  <c r="AO426" i="5"/>
  <c r="AO425" i="5"/>
  <c r="AO424" i="5"/>
  <c r="AO423" i="5"/>
  <c r="AO422" i="5"/>
  <c r="AO421" i="5"/>
  <c r="AO420" i="5"/>
  <c r="AO419" i="5"/>
  <c r="AO418" i="5"/>
  <c r="AO417" i="5"/>
  <c r="AO416" i="5"/>
  <c r="AO415" i="5"/>
  <c r="AO414" i="5"/>
  <c r="AO413" i="5"/>
  <c r="AO411" i="5"/>
  <c r="AO410" i="5"/>
  <c r="AO409" i="5"/>
  <c r="AO408" i="5"/>
  <c r="AO407" i="5"/>
  <c r="AO406" i="5"/>
  <c r="AO405" i="5"/>
  <c r="AO404" i="5"/>
  <c r="AO403" i="5"/>
  <c r="AO402" i="5"/>
  <c r="AO401" i="5"/>
  <c r="AO400" i="5"/>
  <c r="AO399" i="5"/>
  <c r="AO398" i="5"/>
  <c r="AO397" i="5"/>
  <c r="AO396" i="5"/>
  <c r="AO395" i="5"/>
  <c r="AO394" i="5"/>
  <c r="AO393" i="5"/>
  <c r="AO392" i="5"/>
  <c r="AO391" i="5"/>
  <c r="AO390" i="5"/>
  <c r="AO389" i="5"/>
  <c r="AO388" i="5"/>
  <c r="AO387" i="5"/>
  <c r="AO386" i="5"/>
  <c r="AO385" i="5"/>
  <c r="AO384" i="5"/>
  <c r="AO383" i="5"/>
  <c r="AO382" i="5"/>
  <c r="AO381" i="5"/>
  <c r="AO380" i="5"/>
  <c r="AO379" i="5"/>
  <c r="AO378" i="5"/>
  <c r="AO377" i="5"/>
  <c r="AO376" i="5"/>
  <c r="AO375" i="5"/>
  <c r="AO374" i="5"/>
  <c r="AO373" i="5"/>
  <c r="AO372" i="5"/>
  <c r="AO371" i="5"/>
  <c r="AO370" i="5"/>
  <c r="AO369" i="5"/>
  <c r="AO368" i="5"/>
  <c r="AO367" i="5"/>
  <c r="AO366" i="5"/>
  <c r="AO365" i="5"/>
  <c r="AO364" i="5"/>
  <c r="AO363" i="5"/>
  <c r="AO362" i="5"/>
  <c r="AO361" i="5"/>
  <c r="AO360" i="5"/>
  <c r="AO359" i="5"/>
  <c r="AO358" i="5"/>
  <c r="AO357" i="5"/>
  <c r="AO356" i="5"/>
  <c r="AO355" i="5"/>
  <c r="AO354" i="5"/>
  <c r="AO353" i="5"/>
  <c r="AO352" i="5"/>
  <c r="AO351" i="5"/>
  <c r="AO350" i="5"/>
  <c r="AO349" i="5"/>
  <c r="AO348" i="5"/>
  <c r="AO346" i="5"/>
  <c r="AO345" i="5"/>
  <c r="AO344" i="5"/>
  <c r="AO343" i="5"/>
  <c r="AO342" i="5"/>
  <c r="AO341" i="5"/>
  <c r="AO340" i="5"/>
  <c r="AO339" i="5"/>
  <c r="AO338" i="5"/>
  <c r="AO337" i="5"/>
  <c r="AO336" i="5"/>
  <c r="AO335" i="5"/>
  <c r="AO334" i="5"/>
  <c r="AO333" i="5"/>
  <c r="AO332" i="5"/>
  <c r="AO331" i="5"/>
  <c r="AO330" i="5"/>
  <c r="AO329" i="5"/>
  <c r="AO328" i="5"/>
  <c r="AO327" i="5"/>
  <c r="AO326" i="5"/>
  <c r="AO325" i="5"/>
  <c r="AO324" i="5"/>
  <c r="AO323" i="5"/>
  <c r="AO322" i="5"/>
  <c r="AO321" i="5"/>
  <c r="AO320" i="5"/>
  <c r="AO319" i="5"/>
  <c r="AO318" i="5"/>
  <c r="AO317" i="5"/>
  <c r="AO316" i="5"/>
  <c r="AO315" i="5"/>
  <c r="AO313" i="5"/>
  <c r="AO312" i="5"/>
  <c r="AO311" i="5"/>
  <c r="AO310" i="5"/>
  <c r="AO309" i="5"/>
  <c r="AO308" i="5"/>
  <c r="AO307" i="5"/>
  <c r="AO306" i="5"/>
  <c r="AO305" i="5"/>
  <c r="AO304" i="5"/>
  <c r="AO303" i="5"/>
  <c r="AO302" i="5"/>
  <c r="AO301" i="5"/>
  <c r="AO300" i="5"/>
  <c r="AO299" i="5"/>
  <c r="AO298" i="5"/>
  <c r="AO297" i="5"/>
  <c r="AO296" i="5"/>
  <c r="AO295" i="5"/>
  <c r="AO294" i="5"/>
  <c r="AO293" i="5"/>
  <c r="AO292" i="5"/>
  <c r="AO291" i="5"/>
  <c r="AO290" i="5"/>
  <c r="AO289" i="5"/>
  <c r="AO288" i="5"/>
  <c r="AO287" i="5"/>
  <c r="AO286" i="5"/>
  <c r="AO285" i="5"/>
  <c r="AO284" i="5"/>
  <c r="AO283" i="5"/>
  <c r="AO282" i="5"/>
  <c r="AO281" i="5"/>
  <c r="AO280" i="5"/>
  <c r="AO279" i="5"/>
  <c r="AO278" i="5"/>
  <c r="AO276" i="5"/>
  <c r="AO275" i="5"/>
  <c r="AO274" i="5"/>
  <c r="AO273" i="5"/>
  <c r="AO272" i="5"/>
  <c r="AO271" i="5"/>
  <c r="AO270" i="5"/>
  <c r="AO269" i="5"/>
  <c r="AO268" i="5"/>
  <c r="AO267" i="5"/>
  <c r="AO266" i="5"/>
  <c r="AO265" i="5"/>
  <c r="AO264" i="5"/>
  <c r="AO263" i="5"/>
  <c r="AO262" i="5"/>
  <c r="AO261" i="5"/>
  <c r="AO260" i="5"/>
  <c r="AO259" i="5"/>
  <c r="AO258" i="5"/>
  <c r="AO257" i="5"/>
  <c r="AO256" i="5"/>
  <c r="AO255" i="5"/>
  <c r="AO254" i="5"/>
  <c r="AO253" i="5"/>
  <c r="AO252" i="5"/>
  <c r="AO251" i="5"/>
  <c r="AO250" i="5"/>
  <c r="AO249" i="5"/>
  <c r="AO248" i="5"/>
  <c r="AO247" i="5"/>
  <c r="AO246" i="5"/>
  <c r="AO245" i="5"/>
  <c r="AO244" i="5"/>
  <c r="AO243" i="5"/>
  <c r="AO242" i="5"/>
  <c r="AO241" i="5"/>
  <c r="AO240" i="5"/>
  <c r="AO239" i="5"/>
  <c r="AO237" i="5"/>
  <c r="AO236" i="5"/>
  <c r="AO235" i="5"/>
  <c r="AO234" i="5"/>
  <c r="AO233" i="5"/>
  <c r="AO232" i="5"/>
  <c r="AO231" i="5"/>
  <c r="AO230" i="5"/>
  <c r="AO229" i="5"/>
  <c r="AO228" i="5"/>
  <c r="AO227" i="5"/>
  <c r="AO226" i="5"/>
  <c r="AO225" i="5"/>
  <c r="AO224" i="5"/>
  <c r="AO223" i="5"/>
  <c r="AO222" i="5"/>
  <c r="AO221" i="5"/>
  <c r="AO220" i="5"/>
  <c r="AO219" i="5"/>
  <c r="AO218" i="5"/>
  <c r="AO217" i="5"/>
  <c r="AO216" i="5"/>
  <c r="AO215" i="5"/>
  <c r="AO214" i="5"/>
  <c r="AO213" i="5"/>
  <c r="AO212" i="5"/>
  <c r="AO211" i="5"/>
  <c r="AO210" i="5"/>
  <c r="AO209" i="5"/>
  <c r="AO208" i="5"/>
  <c r="AO207" i="5"/>
  <c r="AO206" i="5"/>
  <c r="AO205" i="5"/>
  <c r="AO204" i="5"/>
  <c r="AO203" i="5"/>
  <c r="AO202" i="5"/>
  <c r="AO200" i="5"/>
  <c r="AO199" i="5"/>
  <c r="AO198" i="5"/>
  <c r="AO197" i="5"/>
  <c r="AO196" i="5"/>
  <c r="AO195" i="5"/>
  <c r="AO194" i="5"/>
  <c r="AO193" i="5"/>
  <c r="AO192" i="5"/>
  <c r="AO191" i="5"/>
  <c r="AO190" i="5"/>
  <c r="AO189" i="5"/>
  <c r="AO188" i="5"/>
  <c r="AO187" i="5"/>
  <c r="AO186" i="5"/>
  <c r="AO185" i="5"/>
  <c r="AO184" i="5"/>
  <c r="AO183" i="5"/>
  <c r="AO182" i="5"/>
  <c r="AO181" i="5"/>
  <c r="AO180" i="5"/>
  <c r="AO179" i="5"/>
  <c r="AO178" i="5"/>
  <c r="AO177" i="5"/>
  <c r="AO176" i="5"/>
  <c r="AO175" i="5"/>
  <c r="AO174" i="5"/>
  <c r="AO173" i="5"/>
  <c r="AO172" i="5"/>
  <c r="AO171" i="5"/>
  <c r="AO170" i="5"/>
  <c r="AO169" i="5"/>
  <c r="AO168" i="5"/>
  <c r="AO167" i="5"/>
  <c r="AO166" i="5"/>
  <c r="AO165" i="5"/>
  <c r="AO164" i="5"/>
  <c r="AO163" i="5"/>
  <c r="AO162" i="5"/>
  <c r="AO161" i="5"/>
  <c r="AO160" i="5"/>
  <c r="AO159" i="5"/>
  <c r="AO158" i="5"/>
  <c r="AO157" i="5"/>
  <c r="AO156" i="5"/>
  <c r="AO155" i="5"/>
  <c r="AO154" i="5"/>
  <c r="AO153" i="5"/>
  <c r="AO152" i="5"/>
  <c r="AO151" i="5"/>
  <c r="AO150" i="5"/>
  <c r="AO149" i="5"/>
  <c r="AO148" i="5"/>
  <c r="AO147" i="5"/>
  <c r="AO146" i="5"/>
  <c r="AO145" i="5"/>
  <c r="AO144" i="5"/>
  <c r="AO143" i="5"/>
  <c r="AO142" i="5"/>
  <c r="AO141" i="5"/>
  <c r="AO140" i="5"/>
  <c r="AO139" i="5"/>
  <c r="AO138" i="5"/>
  <c r="AO137" i="5"/>
  <c r="AO136" i="5"/>
  <c r="AO135" i="5"/>
  <c r="AO134" i="5"/>
  <c r="AO133" i="5"/>
  <c r="AO132" i="5"/>
  <c r="AO131" i="5"/>
  <c r="AO130" i="5"/>
  <c r="AO129" i="5"/>
  <c r="AO128" i="5"/>
  <c r="AO127" i="5"/>
  <c r="AO126" i="5"/>
  <c r="AO125" i="5"/>
  <c r="AO124" i="5"/>
  <c r="AO123" i="5"/>
  <c r="AO122" i="5"/>
  <c r="AO121" i="5"/>
  <c r="AO120" i="5"/>
  <c r="AO119" i="5"/>
  <c r="AO118" i="5"/>
  <c r="AO117" i="5"/>
  <c r="AO116" i="5"/>
  <c r="AO115" i="5"/>
  <c r="AO114" i="5"/>
  <c r="AO113" i="5"/>
  <c r="AO112" i="5"/>
  <c r="AO111" i="5"/>
  <c r="AO110" i="5"/>
  <c r="AO109" i="5"/>
  <c r="AO108" i="5"/>
  <c r="AO107" i="5"/>
  <c r="AO106" i="5"/>
  <c r="AO105" i="5"/>
  <c r="AO104" i="5"/>
  <c r="AO103" i="5"/>
  <c r="AO102" i="5"/>
  <c r="AO101" i="5"/>
  <c r="AO100" i="5"/>
  <c r="AO99" i="5"/>
  <c r="AO98" i="5"/>
  <c r="AO97" i="5"/>
  <c r="AO96" i="5"/>
  <c r="AO95" i="5"/>
  <c r="AO94" i="5"/>
  <c r="AO93" i="5"/>
  <c r="AO92" i="5"/>
  <c r="AO91" i="5"/>
  <c r="AO90" i="5"/>
  <c r="AO89" i="5"/>
  <c r="AO88" i="5"/>
  <c r="AO87" i="5"/>
  <c r="AO86" i="5"/>
  <c r="AO85" i="5"/>
  <c r="AO84" i="5"/>
  <c r="AO83" i="5"/>
  <c r="AO82" i="5"/>
  <c r="AO81" i="5"/>
  <c r="AO80" i="5"/>
  <c r="AO79" i="5"/>
  <c r="AO78" i="5"/>
  <c r="AO77" i="5"/>
  <c r="AO76" i="5"/>
  <c r="AO75" i="5"/>
  <c r="AO74" i="5"/>
  <c r="AO73" i="5"/>
  <c r="AO72" i="5"/>
  <c r="AO71" i="5"/>
  <c r="AO70" i="5"/>
  <c r="AO69" i="5"/>
  <c r="AO68" i="5"/>
  <c r="AO67" i="5"/>
  <c r="AO66" i="5"/>
  <c r="AO65" i="5"/>
  <c r="AO64" i="5"/>
  <c r="AO63" i="5"/>
  <c r="AO62" i="5"/>
  <c r="AO61" i="5"/>
  <c r="AO60" i="5"/>
  <c r="AO59" i="5"/>
  <c r="AO58" i="5"/>
  <c r="AO56" i="5"/>
  <c r="AO55" i="5"/>
  <c r="AO54" i="5"/>
  <c r="AO53" i="5"/>
  <c r="AO52" i="5"/>
  <c r="AO51" i="5"/>
  <c r="AO50" i="5"/>
  <c r="AO49" i="5"/>
  <c r="AO48" i="5"/>
  <c r="AO47" i="5"/>
  <c r="AO46" i="5"/>
  <c r="AO45" i="5"/>
  <c r="AO44" i="5"/>
  <c r="AO42" i="5"/>
  <c r="AO41" i="5"/>
  <c r="AO40" i="5"/>
  <c r="AO39" i="5"/>
  <c r="AO38" i="5"/>
  <c r="AO36" i="5"/>
  <c r="AO35" i="5"/>
  <c r="AO34" i="5"/>
  <c r="AO33" i="5"/>
  <c r="AO32" i="5"/>
  <c r="AO31" i="5"/>
  <c r="AO30" i="5"/>
  <c r="AO29" i="5"/>
  <c r="AO28" i="5"/>
  <c r="AO27" i="5"/>
  <c r="AO26" i="5"/>
  <c r="AO25" i="5"/>
  <c r="AO24" i="5"/>
  <c r="AO23" i="5"/>
  <c r="AO22" i="5"/>
  <c r="AO21" i="5"/>
  <c r="AO20" i="5"/>
  <c r="AO19" i="5"/>
  <c r="AO18" i="5"/>
  <c r="AO17" i="5"/>
  <c r="AO16" i="5"/>
  <c r="AO15" i="5"/>
  <c r="AO14" i="5"/>
  <c r="AO13" i="5"/>
  <c r="AO12" i="5"/>
  <c r="AO11" i="5"/>
  <c r="AO9" i="5"/>
  <c r="AO7" i="5"/>
  <c r="M3" i="7" l="1"/>
  <c r="K3" i="8"/>
  <c r="L7" i="8" s="1"/>
  <c r="F10" i="6" s="1"/>
  <c r="L6" i="8"/>
  <c r="K3" i="7"/>
  <c r="L8" i="7" s="1"/>
  <c r="F9" i="6" s="1" a="1"/>
  <c r="F9" i="6" s="1"/>
  <c r="H9" i="6" s="1"/>
  <c r="L8" i="8" l="1"/>
  <c r="D10" i="6"/>
  <c r="H10" i="6" s="1"/>
  <c r="L9" i="7"/>
  <c r="L401" i="4" l="1"/>
  <c r="M401" i="4" s="1"/>
  <c r="K401" i="4"/>
  <c r="I401" i="4"/>
  <c r="L197" i="4"/>
  <c r="M197" i="4" s="1"/>
  <c r="K197" i="4"/>
  <c r="I197" i="4"/>
  <c r="I171" i="4"/>
  <c r="K171" i="4"/>
  <c r="L566" i="4"/>
  <c r="M566" i="4" s="1"/>
  <c r="M565" i="4" s="1"/>
  <c r="K566" i="4"/>
  <c r="K565" i="4" s="1"/>
  <c r="I566" i="4"/>
  <c r="I565" i="4" s="1"/>
  <c r="L564" i="4"/>
  <c r="M564" i="4" s="1"/>
  <c r="M563" i="4" s="1"/>
  <c r="K564" i="4"/>
  <c r="K563" i="4" s="1"/>
  <c r="I564" i="4"/>
  <c r="I563" i="4" s="1"/>
  <c r="L562" i="4"/>
  <c r="M562" i="4" s="1"/>
  <c r="M561" i="4" s="1"/>
  <c r="K562" i="4"/>
  <c r="K561" i="4" s="1"/>
  <c r="I562" i="4"/>
  <c r="I561" i="4" s="1"/>
  <c r="L59" i="3"/>
  <c r="L58" i="3"/>
  <c r="G58" i="3"/>
  <c r="L44" i="3"/>
  <c r="M44" i="3" s="1"/>
  <c r="K44" i="3"/>
  <c r="I44" i="3"/>
  <c r="L43" i="3"/>
  <c r="M43" i="3" s="1"/>
  <c r="M42" i="3" s="1"/>
  <c r="K43" i="3"/>
  <c r="I43" i="3"/>
  <c r="I40" i="3"/>
  <c r="K40" i="3"/>
  <c r="L40" i="3"/>
  <c r="M40" i="3" s="1"/>
  <c r="I41" i="3"/>
  <c r="K41" i="3"/>
  <c r="L41" i="3"/>
  <c r="M41" i="3" s="1"/>
  <c r="L39" i="3"/>
  <c r="M39" i="3" s="1"/>
  <c r="K39" i="3"/>
  <c r="I39" i="3"/>
  <c r="L38" i="3"/>
  <c r="M38" i="3" s="1"/>
  <c r="K38" i="3"/>
  <c r="I38" i="3"/>
  <c r="I35" i="3"/>
  <c r="K35" i="3"/>
  <c r="L35" i="3"/>
  <c r="M35" i="3"/>
  <c r="I36" i="3"/>
  <c r="K36" i="3"/>
  <c r="L36" i="3"/>
  <c r="M36" i="3" s="1"/>
  <c r="L34" i="3"/>
  <c r="M34" i="3" s="1"/>
  <c r="K34" i="3"/>
  <c r="I34" i="3"/>
  <c r="L219" i="1"/>
  <c r="G218" i="1"/>
  <c r="K188" i="1"/>
  <c r="L189" i="1"/>
  <c r="M189" i="1" s="1"/>
  <c r="M188" i="1" s="1"/>
  <c r="K189" i="1"/>
  <c r="I189" i="1"/>
  <c r="I188" i="1" s="1"/>
  <c r="L218" i="1" s="1"/>
  <c r="L187" i="1"/>
  <c r="M187" i="1" s="1"/>
  <c r="K187" i="1"/>
  <c r="I187" i="1"/>
  <c r="L186" i="1"/>
  <c r="M186" i="1" s="1"/>
  <c r="K186" i="1"/>
  <c r="I186" i="1"/>
  <c r="L185" i="1"/>
  <c r="M185" i="1" s="1"/>
  <c r="K185" i="1"/>
  <c r="I185" i="1"/>
  <c r="L183" i="1"/>
  <c r="M183" i="1" s="1"/>
  <c r="K183" i="1"/>
  <c r="I183" i="1"/>
  <c r="L182" i="1"/>
  <c r="M182" i="1" s="1"/>
  <c r="K182" i="1"/>
  <c r="I182" i="1"/>
  <c r="L181" i="1"/>
  <c r="M181" i="1" s="1"/>
  <c r="K181" i="1"/>
  <c r="I181" i="1"/>
  <c r="L180" i="1"/>
  <c r="M180" i="1" s="1"/>
  <c r="K180" i="1"/>
  <c r="I180" i="1"/>
  <c r="L179" i="1"/>
  <c r="M179" i="1" s="1"/>
  <c r="K179" i="1"/>
  <c r="I179" i="1"/>
  <c r="L178" i="1"/>
  <c r="M178" i="1" s="1"/>
  <c r="K178" i="1"/>
  <c r="I178" i="1"/>
  <c r="L177" i="1"/>
  <c r="M177" i="1" s="1"/>
  <c r="K177" i="1"/>
  <c r="I177" i="1"/>
  <c r="L176" i="1"/>
  <c r="M176" i="1" s="1"/>
  <c r="K176" i="1"/>
  <c r="I176" i="1"/>
  <c r="L175" i="1"/>
  <c r="M175" i="1" s="1"/>
  <c r="K175" i="1"/>
  <c r="I175" i="1"/>
  <c r="L174" i="1"/>
  <c r="M174" i="1" s="1"/>
  <c r="K174" i="1"/>
  <c r="I174" i="1"/>
  <c r="L173" i="1"/>
  <c r="M173" i="1" s="1"/>
  <c r="K173" i="1"/>
  <c r="I173" i="1"/>
  <c r="L172" i="1"/>
  <c r="M172" i="1" s="1"/>
  <c r="K172" i="1"/>
  <c r="I172" i="1"/>
  <c r="L171" i="1"/>
  <c r="M171" i="1" s="1"/>
  <c r="K171" i="1"/>
  <c r="I171" i="1"/>
  <c r="I68" i="1"/>
  <c r="K68" i="1"/>
  <c r="L68" i="1"/>
  <c r="M68" i="1" s="1"/>
  <c r="I69" i="1"/>
  <c r="K69" i="1"/>
  <c r="L69" i="1"/>
  <c r="M69" i="1"/>
  <c r="K42" i="3" l="1"/>
  <c r="I42" i="3"/>
  <c r="K37" i="3"/>
  <c r="I37" i="3"/>
  <c r="M37" i="3"/>
  <c r="I33" i="3"/>
  <c r="M33" i="3"/>
  <c r="M32" i="3" s="1"/>
  <c r="K33" i="3"/>
  <c r="I184" i="1"/>
  <c r="M170" i="1"/>
  <c r="K184" i="1"/>
  <c r="M184" i="1"/>
  <c r="I170" i="1"/>
  <c r="K170" i="1"/>
  <c r="K32" i="3" l="1"/>
  <c r="L60" i="3"/>
  <c r="I32" i="3"/>
  <c r="AP706" i="5" l="1"/>
  <c r="AP703" i="5"/>
  <c r="AP700" i="5"/>
  <c r="AT695" i="5"/>
  <c r="AU695" i="5" s="1"/>
  <c r="AS695" i="5"/>
  <c r="AQ695" i="5"/>
  <c r="AT694" i="5"/>
  <c r="AU694" i="5" s="1"/>
  <c r="AS694" i="5"/>
  <c r="AQ694" i="5"/>
  <c r="AT693" i="5"/>
  <c r="AU693" i="5" s="1"/>
  <c r="AS693" i="5"/>
  <c r="AQ693" i="5"/>
  <c r="AT692" i="5"/>
  <c r="AU692" i="5" s="1"/>
  <c r="AS692" i="5"/>
  <c r="AQ692" i="5"/>
  <c r="AT691" i="5"/>
  <c r="AU691" i="5" s="1"/>
  <c r="AS691" i="5"/>
  <c r="AQ691" i="5"/>
  <c r="AT690" i="5"/>
  <c r="AU690" i="5" s="1"/>
  <c r="AS690" i="5"/>
  <c r="AQ690" i="5"/>
  <c r="AT689" i="5"/>
  <c r="AU689" i="5" s="1"/>
  <c r="AS689" i="5"/>
  <c r="AQ689" i="5"/>
  <c r="AT688" i="5"/>
  <c r="AU688" i="5" s="1"/>
  <c r="AS688" i="5"/>
  <c r="AQ688" i="5"/>
  <c r="AT687" i="5"/>
  <c r="AU687" i="5" s="1"/>
  <c r="AS687" i="5"/>
  <c r="AQ687" i="5"/>
  <c r="AQ681" i="5"/>
  <c r="AS681" i="5"/>
  <c r="AT681" i="5"/>
  <c r="AU681" i="5" s="1"/>
  <c r="AQ682" i="5"/>
  <c r="AS682" i="5"/>
  <c r="AT682" i="5"/>
  <c r="AU682" i="5" s="1"/>
  <c r="AQ683" i="5"/>
  <c r="AS683" i="5"/>
  <c r="AT683" i="5"/>
  <c r="AU683" i="5" s="1"/>
  <c r="AQ684" i="5"/>
  <c r="AS684" i="5"/>
  <c r="AT684" i="5"/>
  <c r="AU684" i="5" s="1"/>
  <c r="AQ685" i="5"/>
  <c r="AS685" i="5"/>
  <c r="AT685" i="5"/>
  <c r="AU685" i="5" s="1"/>
  <c r="AQ686" i="5"/>
  <c r="AS686" i="5"/>
  <c r="AT686" i="5"/>
  <c r="AU686" i="5" s="1"/>
  <c r="AQ696" i="5"/>
  <c r="AS696" i="5"/>
  <c r="AT696" i="5"/>
  <c r="AU696" i="5" s="1"/>
  <c r="AQ697" i="5"/>
  <c r="AS697" i="5"/>
  <c r="AT697" i="5"/>
  <c r="AU697" i="5" s="1"/>
  <c r="AQ698" i="5"/>
  <c r="AS698" i="5"/>
  <c r="AT698" i="5"/>
  <c r="AU698" i="5" s="1"/>
  <c r="AT680" i="5"/>
  <c r="AU680" i="5" s="1"/>
  <c r="AS680" i="5"/>
  <c r="AQ680" i="5"/>
  <c r="AT679" i="5"/>
  <c r="AU679" i="5" s="1"/>
  <c r="AS679" i="5"/>
  <c r="AQ679" i="5"/>
  <c r="AT677" i="5"/>
  <c r="AU677" i="5" s="1"/>
  <c r="AS677" i="5"/>
  <c r="AQ677" i="5"/>
  <c r="AT676" i="5"/>
  <c r="AU676" i="5" s="1"/>
  <c r="AS676" i="5"/>
  <c r="AQ676" i="5"/>
  <c r="AT671" i="5"/>
  <c r="AU671" i="5" s="1"/>
  <c r="AS671" i="5"/>
  <c r="AQ671" i="5"/>
  <c r="AT675" i="5"/>
  <c r="AU675" i="5" s="1"/>
  <c r="AS675" i="5"/>
  <c r="AQ675" i="5"/>
  <c r="AT674" i="5"/>
  <c r="AU674" i="5" s="1"/>
  <c r="AS674" i="5"/>
  <c r="AQ674" i="5"/>
  <c r="AT673" i="5"/>
  <c r="AU673" i="5" s="1"/>
  <c r="AS673" i="5"/>
  <c r="AQ673" i="5"/>
  <c r="AT672" i="5"/>
  <c r="AU672" i="5" s="1"/>
  <c r="AS672" i="5"/>
  <c r="AQ672" i="5"/>
  <c r="AT669" i="5"/>
  <c r="AU669" i="5" s="1"/>
  <c r="AU668" i="5" s="1"/>
  <c r="AS669" i="5"/>
  <c r="AS668" i="5" s="1"/>
  <c r="AQ669" i="5"/>
  <c r="AQ668" i="5" s="1"/>
  <c r="AT667" i="5"/>
  <c r="AU667" i="5" s="1"/>
  <c r="AS667" i="5"/>
  <c r="AQ667" i="5"/>
  <c r="AT666" i="5"/>
  <c r="AU666" i="5" s="1"/>
  <c r="AS666" i="5"/>
  <c r="AQ666" i="5"/>
  <c r="AT665" i="5"/>
  <c r="AU665" i="5" s="1"/>
  <c r="AS665" i="5"/>
  <c r="AQ665" i="5"/>
  <c r="AT664" i="5"/>
  <c r="AU664" i="5" s="1"/>
  <c r="AS664" i="5"/>
  <c r="AQ664" i="5"/>
  <c r="AT663" i="5"/>
  <c r="AU663" i="5" s="1"/>
  <c r="AS663" i="5"/>
  <c r="AQ663" i="5"/>
  <c r="AT662" i="5"/>
  <c r="AU662" i="5" s="1"/>
  <c r="AS662" i="5"/>
  <c r="AQ662" i="5"/>
  <c r="AT661" i="5"/>
  <c r="AU661" i="5" s="1"/>
  <c r="AS661" i="5"/>
  <c r="AQ661" i="5"/>
  <c r="AT660" i="5"/>
  <c r="AU660" i="5" s="1"/>
  <c r="AS660" i="5"/>
  <c r="AQ660" i="5"/>
  <c r="AT658" i="5"/>
  <c r="AU658" i="5" s="1"/>
  <c r="AS658" i="5"/>
  <c r="AQ658" i="5"/>
  <c r="AT657" i="5"/>
  <c r="AU657" i="5" s="1"/>
  <c r="AS657" i="5"/>
  <c r="AQ657" i="5"/>
  <c r="AT659" i="5"/>
  <c r="AU659" i="5" s="1"/>
  <c r="AS659" i="5"/>
  <c r="AQ659" i="5"/>
  <c r="AT656" i="5"/>
  <c r="AU656" i="5" s="1"/>
  <c r="AS656" i="5"/>
  <c r="AQ656" i="5"/>
  <c r="AT655" i="5"/>
  <c r="AU655" i="5" s="1"/>
  <c r="AS655" i="5"/>
  <c r="AQ655" i="5"/>
  <c r="AT654" i="5"/>
  <c r="AU654" i="5" s="1"/>
  <c r="AS654" i="5"/>
  <c r="AQ654" i="5"/>
  <c r="AT651" i="5"/>
  <c r="AU651" i="5" s="1"/>
  <c r="AS651" i="5"/>
  <c r="AQ651" i="5"/>
  <c r="AT650" i="5"/>
  <c r="AU650" i="5" s="1"/>
  <c r="AS650" i="5"/>
  <c r="AQ650" i="5"/>
  <c r="AT649" i="5"/>
  <c r="AU649" i="5" s="1"/>
  <c r="AS649" i="5"/>
  <c r="AQ649" i="5"/>
  <c r="AT648" i="5"/>
  <c r="AU648" i="5" s="1"/>
  <c r="AS648" i="5"/>
  <c r="AQ648" i="5"/>
  <c r="AT653" i="5"/>
  <c r="AU653" i="5" s="1"/>
  <c r="AS653" i="5"/>
  <c r="AQ653" i="5"/>
  <c r="AT652" i="5"/>
  <c r="AU652" i="5" s="1"/>
  <c r="AS652" i="5"/>
  <c r="AQ652" i="5"/>
  <c r="AT647" i="5"/>
  <c r="AU647" i="5" s="1"/>
  <c r="AS647" i="5"/>
  <c r="AQ647" i="5"/>
  <c r="AT644" i="5"/>
  <c r="AU644" i="5" s="1"/>
  <c r="AS644" i="5"/>
  <c r="AQ644" i="5"/>
  <c r="AT643" i="5"/>
  <c r="AU643" i="5" s="1"/>
  <c r="AS643" i="5"/>
  <c r="AQ643" i="5"/>
  <c r="AT642" i="5"/>
  <c r="AU642" i="5" s="1"/>
  <c r="AS642" i="5"/>
  <c r="AQ642" i="5"/>
  <c r="AT641" i="5"/>
  <c r="AU641" i="5" s="1"/>
  <c r="AS641" i="5"/>
  <c r="AQ641" i="5"/>
  <c r="AT640" i="5"/>
  <c r="AU640" i="5" s="1"/>
  <c r="AS640" i="5"/>
  <c r="AQ640" i="5"/>
  <c r="AT639" i="5"/>
  <c r="AU639" i="5" s="1"/>
  <c r="AS639" i="5"/>
  <c r="AQ639" i="5"/>
  <c r="AT638" i="5"/>
  <c r="AU638" i="5" s="1"/>
  <c r="AS638" i="5"/>
  <c r="AQ638" i="5"/>
  <c r="AT637" i="5"/>
  <c r="AU637" i="5" s="1"/>
  <c r="AS637" i="5"/>
  <c r="AQ637" i="5"/>
  <c r="AT636" i="5"/>
  <c r="AU636" i="5" s="1"/>
  <c r="AS636" i="5"/>
  <c r="AQ636" i="5"/>
  <c r="AT635" i="5"/>
  <c r="AU635" i="5" s="1"/>
  <c r="AS635" i="5"/>
  <c r="AQ635" i="5"/>
  <c r="AT633" i="5"/>
  <c r="AU633" i="5" s="1"/>
  <c r="AS633" i="5"/>
  <c r="AQ633" i="5"/>
  <c r="AT632" i="5"/>
  <c r="AU632" i="5" s="1"/>
  <c r="AS632" i="5"/>
  <c r="AQ632" i="5"/>
  <c r="AT631" i="5"/>
  <c r="AU631" i="5" s="1"/>
  <c r="AS631" i="5"/>
  <c r="AQ631" i="5"/>
  <c r="AT630" i="5"/>
  <c r="AU630" i="5" s="1"/>
  <c r="AS630" i="5"/>
  <c r="AQ630" i="5"/>
  <c r="AT629" i="5"/>
  <c r="AU629" i="5" s="1"/>
  <c r="AS629" i="5"/>
  <c r="AQ629" i="5"/>
  <c r="AT628" i="5"/>
  <c r="AU628" i="5" s="1"/>
  <c r="AS628" i="5"/>
  <c r="AQ628" i="5"/>
  <c r="AT627" i="5"/>
  <c r="AU627" i="5" s="1"/>
  <c r="AS627" i="5"/>
  <c r="AQ627" i="5"/>
  <c r="AT626" i="5"/>
  <c r="AU626" i="5" s="1"/>
  <c r="AS626" i="5"/>
  <c r="AQ626" i="5"/>
  <c r="AT625" i="5"/>
  <c r="AU625" i="5" s="1"/>
  <c r="AS625" i="5"/>
  <c r="AQ625" i="5"/>
  <c r="AT624" i="5"/>
  <c r="AU624" i="5" s="1"/>
  <c r="AS624" i="5"/>
  <c r="AQ624" i="5"/>
  <c r="AT623" i="5"/>
  <c r="AU623" i="5" s="1"/>
  <c r="AS623" i="5"/>
  <c r="AQ623" i="5"/>
  <c r="AT622" i="5"/>
  <c r="AU622" i="5" s="1"/>
  <c r="AS622" i="5"/>
  <c r="AQ622" i="5"/>
  <c r="AT615" i="5"/>
  <c r="AU615" i="5" s="1"/>
  <c r="AS615" i="5"/>
  <c r="AQ615" i="5"/>
  <c r="AT614" i="5"/>
  <c r="AU614" i="5" s="1"/>
  <c r="AS614" i="5"/>
  <c r="AQ614" i="5"/>
  <c r="AT613" i="5"/>
  <c r="AU613" i="5" s="1"/>
  <c r="AS613" i="5"/>
  <c r="AQ613" i="5"/>
  <c r="AT612" i="5"/>
  <c r="AU612" i="5" s="1"/>
  <c r="AS612" i="5"/>
  <c r="AQ612" i="5"/>
  <c r="AT611" i="5"/>
  <c r="AU611" i="5" s="1"/>
  <c r="AS611" i="5"/>
  <c r="AQ611" i="5"/>
  <c r="AT610" i="5"/>
  <c r="AU610" i="5" s="1"/>
  <c r="AS610" i="5"/>
  <c r="AQ610" i="5"/>
  <c r="AT609" i="5"/>
  <c r="AU609" i="5" s="1"/>
  <c r="AS609" i="5"/>
  <c r="AQ609" i="5"/>
  <c r="AT621" i="5"/>
  <c r="AU621" i="5" s="1"/>
  <c r="AS621" i="5"/>
  <c r="AQ621" i="5"/>
  <c r="AT620" i="5"/>
  <c r="AU620" i="5" s="1"/>
  <c r="AS620" i="5"/>
  <c r="AQ620" i="5"/>
  <c r="AT619" i="5"/>
  <c r="AU619" i="5" s="1"/>
  <c r="AS619" i="5"/>
  <c r="AQ619" i="5"/>
  <c r="AT618" i="5"/>
  <c r="AU618" i="5" s="1"/>
  <c r="AS618" i="5"/>
  <c r="AQ618" i="5"/>
  <c r="AT617" i="5"/>
  <c r="AU617" i="5" s="1"/>
  <c r="AS617" i="5"/>
  <c r="AQ617" i="5"/>
  <c r="AT616" i="5"/>
  <c r="AU616" i="5" s="1"/>
  <c r="AS616" i="5"/>
  <c r="AQ616" i="5"/>
  <c r="AT608" i="5"/>
  <c r="AU608" i="5" s="1"/>
  <c r="AS608" i="5"/>
  <c r="AQ608" i="5"/>
  <c r="AT605" i="5"/>
  <c r="AU605" i="5" s="1"/>
  <c r="AS605" i="5"/>
  <c r="AQ605" i="5"/>
  <c r="AT604" i="5"/>
  <c r="AU604" i="5" s="1"/>
  <c r="AS604" i="5"/>
  <c r="AQ604" i="5"/>
  <c r="AT607" i="5"/>
  <c r="AU607" i="5" s="1"/>
  <c r="AS607" i="5"/>
  <c r="AQ607" i="5"/>
  <c r="AT606" i="5"/>
  <c r="AU606" i="5" s="1"/>
  <c r="AS606" i="5"/>
  <c r="AQ606" i="5"/>
  <c r="AT603" i="5"/>
  <c r="AU603" i="5" s="1"/>
  <c r="AS603" i="5"/>
  <c r="AQ603" i="5"/>
  <c r="AT602" i="5"/>
  <c r="AU602" i="5" s="1"/>
  <c r="AS602" i="5"/>
  <c r="AQ602" i="5"/>
  <c r="AT601" i="5"/>
  <c r="AU601" i="5" s="1"/>
  <c r="AS601" i="5"/>
  <c r="AQ601" i="5"/>
  <c r="AT599" i="5"/>
  <c r="AU599" i="5" s="1"/>
  <c r="AS599" i="5"/>
  <c r="AQ599" i="5"/>
  <c r="AT598" i="5"/>
  <c r="AU598" i="5" s="1"/>
  <c r="AS598" i="5"/>
  <c r="AQ598" i="5"/>
  <c r="AT597" i="5"/>
  <c r="AU597" i="5" s="1"/>
  <c r="AS597" i="5"/>
  <c r="AQ597" i="5"/>
  <c r="AT596" i="5"/>
  <c r="AU596" i="5" s="1"/>
  <c r="AS596" i="5"/>
  <c r="AQ596" i="5"/>
  <c r="AT595" i="5"/>
  <c r="AU595" i="5" s="1"/>
  <c r="AS595" i="5"/>
  <c r="AQ595" i="5"/>
  <c r="AT593" i="5"/>
  <c r="AU593" i="5" s="1"/>
  <c r="AS593" i="5"/>
  <c r="AQ593" i="5"/>
  <c r="AT594" i="5"/>
  <c r="AU594" i="5" s="1"/>
  <c r="AS594" i="5"/>
  <c r="AQ594" i="5"/>
  <c r="AT592" i="5"/>
  <c r="AU592" i="5" s="1"/>
  <c r="AS592" i="5"/>
  <c r="AQ592" i="5"/>
  <c r="AT591" i="5"/>
  <c r="AU591" i="5" s="1"/>
  <c r="AS591" i="5"/>
  <c r="AQ591" i="5"/>
  <c r="AT590" i="5"/>
  <c r="AU590" i="5" s="1"/>
  <c r="AS590" i="5"/>
  <c r="AQ590" i="5"/>
  <c r="AT586" i="5"/>
  <c r="AU586" i="5" s="1"/>
  <c r="AS586" i="5"/>
  <c r="AQ586" i="5"/>
  <c r="AT588" i="5"/>
  <c r="AU588" i="5" s="1"/>
  <c r="AS588" i="5"/>
  <c r="AQ588" i="5"/>
  <c r="AT587" i="5"/>
  <c r="AU587" i="5" s="1"/>
  <c r="AS587" i="5"/>
  <c r="AQ587" i="5"/>
  <c r="AT585" i="5"/>
  <c r="AU585" i="5" s="1"/>
  <c r="AS585" i="5"/>
  <c r="AQ585" i="5"/>
  <c r="AT583" i="5"/>
  <c r="AU583" i="5" s="1"/>
  <c r="AS583" i="5"/>
  <c r="AQ583" i="5"/>
  <c r="AT584" i="5"/>
  <c r="AU584" i="5" s="1"/>
  <c r="AS584" i="5"/>
  <c r="AQ584" i="5"/>
  <c r="AT582" i="5"/>
  <c r="AU582" i="5" s="1"/>
  <c r="AS582" i="5"/>
  <c r="AQ582" i="5"/>
  <c r="AT581" i="5"/>
  <c r="AU581" i="5" s="1"/>
  <c r="AS581" i="5"/>
  <c r="AQ581" i="5"/>
  <c r="AT580" i="5"/>
  <c r="AU580" i="5" s="1"/>
  <c r="AS580" i="5"/>
  <c r="AQ580" i="5"/>
  <c r="AT579" i="5"/>
  <c r="AU579" i="5" s="1"/>
  <c r="AS579" i="5"/>
  <c r="AQ579" i="5"/>
  <c r="AT578" i="5"/>
  <c r="AU578" i="5" s="1"/>
  <c r="AS578" i="5"/>
  <c r="AQ578" i="5"/>
  <c r="AT577" i="5"/>
  <c r="AU577" i="5" s="1"/>
  <c r="AS577" i="5"/>
  <c r="AQ577" i="5"/>
  <c r="AT576" i="5"/>
  <c r="AU576" i="5" s="1"/>
  <c r="AS576" i="5"/>
  <c r="AQ576" i="5"/>
  <c r="AT574" i="5"/>
  <c r="AU574" i="5" s="1"/>
  <c r="AS574" i="5"/>
  <c r="AQ574" i="5"/>
  <c r="AT573" i="5"/>
  <c r="AU573" i="5" s="1"/>
  <c r="AS573" i="5"/>
  <c r="AQ573" i="5"/>
  <c r="AT572" i="5"/>
  <c r="AU572" i="5" s="1"/>
  <c r="AS572" i="5"/>
  <c r="AQ572" i="5"/>
  <c r="AT571" i="5"/>
  <c r="AU571" i="5" s="1"/>
  <c r="AS571" i="5"/>
  <c r="AQ571" i="5"/>
  <c r="AT570" i="5"/>
  <c r="AU570" i="5" s="1"/>
  <c r="AS570" i="5"/>
  <c r="AQ570" i="5"/>
  <c r="AT569" i="5"/>
  <c r="AU569" i="5" s="1"/>
  <c r="AS569" i="5"/>
  <c r="AQ569" i="5"/>
  <c r="AT568" i="5"/>
  <c r="AU568" i="5" s="1"/>
  <c r="AS568" i="5"/>
  <c r="AQ568" i="5"/>
  <c r="AT567" i="5"/>
  <c r="AU567" i="5" s="1"/>
  <c r="AS567" i="5"/>
  <c r="AQ567" i="5"/>
  <c r="AT566" i="5"/>
  <c r="AU566" i="5" s="1"/>
  <c r="AS566" i="5"/>
  <c r="AQ566" i="5"/>
  <c r="AT565" i="5"/>
  <c r="AU565" i="5" s="1"/>
  <c r="AS565" i="5"/>
  <c r="AQ565" i="5"/>
  <c r="AT564" i="5"/>
  <c r="AU564" i="5" s="1"/>
  <c r="AS564" i="5"/>
  <c r="AQ564" i="5"/>
  <c r="AT563" i="5"/>
  <c r="AU563" i="5" s="1"/>
  <c r="AS563" i="5"/>
  <c r="AQ563" i="5"/>
  <c r="AT562" i="5"/>
  <c r="AU562" i="5" s="1"/>
  <c r="AS562" i="5"/>
  <c r="AQ562" i="5"/>
  <c r="AT561" i="5"/>
  <c r="AU561" i="5" s="1"/>
  <c r="AS561" i="5"/>
  <c r="AQ561" i="5"/>
  <c r="AT560" i="5"/>
  <c r="AU560" i="5" s="1"/>
  <c r="AS560" i="5"/>
  <c r="AQ560" i="5"/>
  <c r="AT559" i="5"/>
  <c r="AU559" i="5" s="1"/>
  <c r="AS559" i="5"/>
  <c r="AQ559" i="5"/>
  <c r="AT558" i="5"/>
  <c r="AU558" i="5" s="1"/>
  <c r="AS558" i="5"/>
  <c r="AQ558" i="5"/>
  <c r="AT557" i="5"/>
  <c r="AU557" i="5" s="1"/>
  <c r="AS557" i="5"/>
  <c r="AQ557" i="5"/>
  <c r="AT556" i="5"/>
  <c r="AU556" i="5" s="1"/>
  <c r="AS556" i="5"/>
  <c r="AQ556" i="5"/>
  <c r="AT555" i="5"/>
  <c r="AU555" i="5" s="1"/>
  <c r="AS555" i="5"/>
  <c r="AQ555" i="5"/>
  <c r="AT554" i="5"/>
  <c r="AU554" i="5" s="1"/>
  <c r="AS554" i="5"/>
  <c r="AQ554" i="5"/>
  <c r="AT551" i="5"/>
  <c r="AU551" i="5" s="1"/>
  <c r="AS551" i="5"/>
  <c r="AQ551" i="5"/>
  <c r="AT550" i="5"/>
  <c r="AU550" i="5" s="1"/>
  <c r="AS550" i="5"/>
  <c r="AQ550" i="5"/>
  <c r="AT549" i="5"/>
  <c r="AU549" i="5" s="1"/>
  <c r="AS549" i="5"/>
  <c r="AQ549" i="5"/>
  <c r="AT553" i="5"/>
  <c r="AU553" i="5" s="1"/>
  <c r="AS553" i="5"/>
  <c r="AQ553" i="5"/>
  <c r="AT552" i="5"/>
  <c r="AU552" i="5" s="1"/>
  <c r="AS552" i="5"/>
  <c r="AQ552" i="5"/>
  <c r="AT548" i="5"/>
  <c r="AU548" i="5" s="1"/>
  <c r="AS548" i="5"/>
  <c r="AQ548" i="5"/>
  <c r="AT547" i="5"/>
  <c r="AU547" i="5" s="1"/>
  <c r="AS547" i="5"/>
  <c r="AQ547" i="5"/>
  <c r="AT546" i="5"/>
  <c r="AU546" i="5" s="1"/>
  <c r="AS546" i="5"/>
  <c r="AQ546" i="5"/>
  <c r="AT545" i="5"/>
  <c r="AU545" i="5" s="1"/>
  <c r="AS545" i="5"/>
  <c r="AQ545" i="5"/>
  <c r="AT543" i="5"/>
  <c r="AU543" i="5" s="1"/>
  <c r="AS543" i="5"/>
  <c r="AQ543" i="5"/>
  <c r="AT541" i="5"/>
  <c r="AU541" i="5" s="1"/>
  <c r="AS541" i="5"/>
  <c r="AQ541" i="5"/>
  <c r="AT540" i="5"/>
  <c r="AU540" i="5" s="1"/>
  <c r="AS540" i="5"/>
  <c r="AQ540" i="5"/>
  <c r="AT539" i="5"/>
  <c r="AU539" i="5" s="1"/>
  <c r="AS539" i="5"/>
  <c r="AQ539" i="5"/>
  <c r="AT538" i="5"/>
  <c r="AU538" i="5" s="1"/>
  <c r="AS538" i="5"/>
  <c r="AQ538" i="5"/>
  <c r="AT542" i="5"/>
  <c r="AU542" i="5" s="1"/>
  <c r="AS542" i="5"/>
  <c r="AQ542" i="5"/>
  <c r="AT537" i="5"/>
  <c r="AU537" i="5" s="1"/>
  <c r="AS537" i="5"/>
  <c r="AQ537" i="5"/>
  <c r="AT536" i="5"/>
  <c r="AU536" i="5" s="1"/>
  <c r="AS536" i="5"/>
  <c r="AQ536" i="5"/>
  <c r="AT535" i="5"/>
  <c r="AU535" i="5" s="1"/>
  <c r="AS535" i="5"/>
  <c r="AQ535" i="5"/>
  <c r="AT534" i="5"/>
  <c r="AU534" i="5" s="1"/>
  <c r="AS534" i="5"/>
  <c r="AQ534" i="5"/>
  <c r="AT533" i="5"/>
  <c r="AU533" i="5" s="1"/>
  <c r="AS533" i="5"/>
  <c r="AQ533" i="5"/>
  <c r="AT532" i="5"/>
  <c r="AU532" i="5" s="1"/>
  <c r="AS532" i="5"/>
  <c r="AQ532" i="5"/>
  <c r="AT531" i="5"/>
  <c r="AU531" i="5" s="1"/>
  <c r="AS531" i="5"/>
  <c r="AQ531" i="5"/>
  <c r="AT530" i="5"/>
  <c r="AU530" i="5" s="1"/>
  <c r="AS530" i="5"/>
  <c r="AQ530" i="5"/>
  <c r="AT529" i="5"/>
  <c r="AU529" i="5" s="1"/>
  <c r="AS529" i="5"/>
  <c r="AQ529" i="5"/>
  <c r="AT524" i="5"/>
  <c r="AU524" i="5" s="1"/>
  <c r="AS524" i="5"/>
  <c r="AQ524" i="5"/>
  <c r="AT523" i="5"/>
  <c r="AU523" i="5" s="1"/>
  <c r="AS523" i="5"/>
  <c r="AQ523" i="5"/>
  <c r="AT522" i="5"/>
  <c r="AU522" i="5" s="1"/>
  <c r="AS522" i="5"/>
  <c r="AQ522" i="5"/>
  <c r="AT521" i="5"/>
  <c r="AU521" i="5" s="1"/>
  <c r="AS521" i="5"/>
  <c r="AQ521" i="5"/>
  <c r="AT520" i="5"/>
  <c r="AU520" i="5" s="1"/>
  <c r="AS520" i="5"/>
  <c r="AQ520" i="5"/>
  <c r="AT519" i="5"/>
  <c r="AU519" i="5" s="1"/>
  <c r="AS519" i="5"/>
  <c r="AQ519" i="5"/>
  <c r="AT518" i="5"/>
  <c r="AU518" i="5" s="1"/>
  <c r="AS518" i="5"/>
  <c r="AQ518" i="5"/>
  <c r="AT517" i="5"/>
  <c r="AU517" i="5" s="1"/>
  <c r="AS517" i="5"/>
  <c r="AQ517" i="5"/>
  <c r="AT516" i="5"/>
  <c r="AU516" i="5" s="1"/>
  <c r="AS516" i="5"/>
  <c r="AQ516" i="5"/>
  <c r="AT515" i="5"/>
  <c r="AU515" i="5" s="1"/>
  <c r="AS515" i="5"/>
  <c r="AQ515" i="5"/>
  <c r="AT514" i="5"/>
  <c r="AU514" i="5" s="1"/>
  <c r="AS514" i="5"/>
  <c r="AQ514" i="5"/>
  <c r="AT513" i="5"/>
  <c r="AU513" i="5" s="1"/>
  <c r="AS513" i="5"/>
  <c r="AQ513" i="5"/>
  <c r="AT512" i="5"/>
  <c r="AU512" i="5" s="1"/>
  <c r="AS512" i="5"/>
  <c r="AQ512" i="5"/>
  <c r="AT511" i="5"/>
  <c r="AU511" i="5" s="1"/>
  <c r="AS511" i="5"/>
  <c r="AQ511" i="5"/>
  <c r="AT510" i="5"/>
  <c r="AU510" i="5" s="1"/>
  <c r="AS510" i="5"/>
  <c r="AQ510" i="5"/>
  <c r="AT509" i="5"/>
  <c r="AU509" i="5" s="1"/>
  <c r="AS509" i="5"/>
  <c r="AQ509" i="5"/>
  <c r="AT508" i="5"/>
  <c r="AU508" i="5" s="1"/>
  <c r="AS508" i="5"/>
  <c r="AQ508" i="5"/>
  <c r="AT507" i="5"/>
  <c r="AU507" i="5" s="1"/>
  <c r="AS507" i="5"/>
  <c r="AQ507" i="5"/>
  <c r="AT506" i="5"/>
  <c r="AU506" i="5" s="1"/>
  <c r="AS506" i="5"/>
  <c r="AQ506" i="5"/>
  <c r="AT528" i="5"/>
  <c r="AU528" i="5" s="1"/>
  <c r="AS528" i="5"/>
  <c r="AQ528" i="5"/>
  <c r="AT527" i="5"/>
  <c r="AU527" i="5" s="1"/>
  <c r="AS527" i="5"/>
  <c r="AQ527" i="5"/>
  <c r="AT526" i="5"/>
  <c r="AU526" i="5" s="1"/>
  <c r="AS526" i="5"/>
  <c r="AQ526" i="5"/>
  <c r="AT525" i="5"/>
  <c r="AU525" i="5" s="1"/>
  <c r="AS525" i="5"/>
  <c r="AQ525" i="5"/>
  <c r="AT505" i="5"/>
  <c r="AU505" i="5" s="1"/>
  <c r="AS505" i="5"/>
  <c r="AQ505" i="5"/>
  <c r="AT504" i="5"/>
  <c r="AU504" i="5" s="1"/>
  <c r="AS504" i="5"/>
  <c r="AQ504" i="5"/>
  <c r="AT503" i="5"/>
  <c r="AU503" i="5" s="1"/>
  <c r="AS503" i="5"/>
  <c r="AQ503" i="5"/>
  <c r="AT500" i="5"/>
  <c r="AU500" i="5" s="1"/>
  <c r="AS500" i="5"/>
  <c r="AQ500" i="5"/>
  <c r="AT499" i="5"/>
  <c r="AU499" i="5" s="1"/>
  <c r="AS499" i="5"/>
  <c r="AQ499" i="5"/>
  <c r="AT498" i="5"/>
  <c r="AU498" i="5" s="1"/>
  <c r="AS498" i="5"/>
  <c r="AQ498" i="5"/>
  <c r="AT497" i="5"/>
  <c r="AU497" i="5" s="1"/>
  <c r="AS497" i="5"/>
  <c r="AQ497" i="5"/>
  <c r="AT496" i="5"/>
  <c r="AU496" i="5" s="1"/>
  <c r="AS496" i="5"/>
  <c r="AQ496" i="5"/>
  <c r="AT495" i="5"/>
  <c r="AU495" i="5" s="1"/>
  <c r="AS495" i="5"/>
  <c r="AQ495" i="5"/>
  <c r="AT494" i="5"/>
  <c r="AU494" i="5" s="1"/>
  <c r="AS494" i="5"/>
  <c r="AQ494" i="5"/>
  <c r="AT493" i="5"/>
  <c r="AU493" i="5" s="1"/>
  <c r="AS493" i="5"/>
  <c r="AQ493" i="5"/>
  <c r="AT492" i="5"/>
  <c r="AU492" i="5" s="1"/>
  <c r="AS492" i="5"/>
  <c r="AQ492" i="5"/>
  <c r="AT491" i="5"/>
  <c r="AU491" i="5" s="1"/>
  <c r="AS491" i="5"/>
  <c r="AQ491" i="5"/>
  <c r="AT490" i="5"/>
  <c r="AU490" i="5" s="1"/>
  <c r="AS490" i="5"/>
  <c r="AQ490" i="5"/>
  <c r="AT489" i="5"/>
  <c r="AU489" i="5" s="1"/>
  <c r="AS489" i="5"/>
  <c r="AQ489" i="5"/>
  <c r="AT488" i="5"/>
  <c r="AU488" i="5" s="1"/>
  <c r="AS488" i="5"/>
  <c r="AQ488" i="5"/>
  <c r="AT487" i="5"/>
  <c r="AU487" i="5" s="1"/>
  <c r="AS487" i="5"/>
  <c r="AQ487" i="5"/>
  <c r="AT486" i="5"/>
  <c r="AU486" i="5" s="1"/>
  <c r="AS486" i="5"/>
  <c r="AQ486" i="5"/>
  <c r="AT485" i="5"/>
  <c r="AU485" i="5" s="1"/>
  <c r="AS485" i="5"/>
  <c r="AQ485" i="5"/>
  <c r="AT484" i="5"/>
  <c r="AU484" i="5" s="1"/>
  <c r="AS484" i="5"/>
  <c r="AQ484" i="5"/>
  <c r="AT483" i="5"/>
  <c r="AU483" i="5" s="1"/>
  <c r="AS483" i="5"/>
  <c r="AQ483" i="5"/>
  <c r="AT482" i="5"/>
  <c r="AU482" i="5" s="1"/>
  <c r="AS482" i="5"/>
  <c r="AQ482" i="5"/>
  <c r="AT479" i="5"/>
  <c r="AU479" i="5" s="1"/>
  <c r="AS479" i="5"/>
  <c r="AQ479" i="5"/>
  <c r="AT478" i="5"/>
  <c r="AU478" i="5" s="1"/>
  <c r="AS478" i="5"/>
  <c r="AQ478" i="5"/>
  <c r="AT481" i="5"/>
  <c r="AU481" i="5" s="1"/>
  <c r="AS481" i="5"/>
  <c r="AQ481" i="5"/>
  <c r="AT480" i="5"/>
  <c r="AU480" i="5" s="1"/>
  <c r="AS480" i="5"/>
  <c r="AQ480" i="5"/>
  <c r="AT477" i="5"/>
  <c r="AU477" i="5" s="1"/>
  <c r="AS477" i="5"/>
  <c r="AQ477" i="5"/>
  <c r="AT476" i="5"/>
  <c r="AU476" i="5" s="1"/>
  <c r="AS476" i="5"/>
  <c r="AQ476" i="5"/>
  <c r="AT475" i="5"/>
  <c r="AU475" i="5" s="1"/>
  <c r="AS475" i="5"/>
  <c r="AQ475" i="5"/>
  <c r="AT474" i="5"/>
  <c r="AU474" i="5" s="1"/>
  <c r="AS474" i="5"/>
  <c r="AQ474" i="5"/>
  <c r="AT473" i="5"/>
  <c r="AU473" i="5" s="1"/>
  <c r="AS473" i="5"/>
  <c r="AQ473" i="5"/>
  <c r="AT472" i="5"/>
  <c r="AU472" i="5" s="1"/>
  <c r="AS472" i="5"/>
  <c r="AQ472" i="5"/>
  <c r="AT471" i="5"/>
  <c r="AU471" i="5" s="1"/>
  <c r="AS471" i="5"/>
  <c r="AQ471" i="5"/>
  <c r="AT470" i="5"/>
  <c r="AU470" i="5" s="1"/>
  <c r="AS470" i="5"/>
  <c r="AQ470" i="5"/>
  <c r="AT469" i="5"/>
  <c r="AU469" i="5" s="1"/>
  <c r="AS469" i="5"/>
  <c r="AQ469" i="5"/>
  <c r="AT468" i="5"/>
  <c r="AU468" i="5" s="1"/>
  <c r="AS468" i="5"/>
  <c r="AQ468" i="5"/>
  <c r="AT467" i="5"/>
  <c r="AU467" i="5" s="1"/>
  <c r="AS467" i="5"/>
  <c r="AQ467" i="5"/>
  <c r="AT466" i="5"/>
  <c r="AU466" i="5" s="1"/>
  <c r="AS466" i="5"/>
  <c r="AQ466" i="5"/>
  <c r="AT465" i="5"/>
  <c r="AU465" i="5" s="1"/>
  <c r="AS465" i="5"/>
  <c r="AQ465" i="5"/>
  <c r="AT464" i="5"/>
  <c r="AU464" i="5" s="1"/>
  <c r="AS464" i="5"/>
  <c r="AQ464" i="5"/>
  <c r="AT463" i="5"/>
  <c r="AU463" i="5" s="1"/>
  <c r="AS463" i="5"/>
  <c r="AQ463" i="5"/>
  <c r="AT462" i="5"/>
  <c r="AU462" i="5" s="1"/>
  <c r="AS462" i="5"/>
  <c r="AQ462" i="5"/>
  <c r="AT461" i="5"/>
  <c r="AU461" i="5" s="1"/>
  <c r="AS461" i="5"/>
  <c r="AQ461" i="5"/>
  <c r="AT460" i="5"/>
  <c r="AU460" i="5" s="1"/>
  <c r="AS460" i="5"/>
  <c r="AQ460" i="5"/>
  <c r="AT459" i="5"/>
  <c r="AU459" i="5" s="1"/>
  <c r="AS459" i="5"/>
  <c r="AQ459" i="5"/>
  <c r="AT458" i="5"/>
  <c r="AU458" i="5" s="1"/>
  <c r="AS458" i="5"/>
  <c r="AQ458" i="5"/>
  <c r="AT457" i="5"/>
  <c r="AU457" i="5" s="1"/>
  <c r="AS457" i="5"/>
  <c r="AQ457" i="5"/>
  <c r="AT456" i="5"/>
  <c r="AU456" i="5" s="1"/>
  <c r="AS456" i="5"/>
  <c r="AQ456" i="5"/>
  <c r="AT455" i="5"/>
  <c r="AU455" i="5" s="1"/>
  <c r="AS455" i="5"/>
  <c r="AQ455" i="5"/>
  <c r="AT454" i="5"/>
  <c r="AU454" i="5" s="1"/>
  <c r="AS454" i="5"/>
  <c r="AQ454" i="5"/>
  <c r="AT453" i="5"/>
  <c r="AU453" i="5" s="1"/>
  <c r="AS453" i="5"/>
  <c r="AQ453" i="5"/>
  <c r="AT452" i="5"/>
  <c r="AU452" i="5" s="1"/>
  <c r="AS452" i="5"/>
  <c r="AQ452" i="5"/>
  <c r="AT451" i="5"/>
  <c r="AU451" i="5" s="1"/>
  <c r="AS451" i="5"/>
  <c r="AQ451" i="5"/>
  <c r="AT450" i="5"/>
  <c r="AU450" i="5" s="1"/>
  <c r="AS450" i="5"/>
  <c r="AQ450" i="5"/>
  <c r="AT449" i="5"/>
  <c r="AU449" i="5" s="1"/>
  <c r="AS449" i="5"/>
  <c r="AQ449" i="5"/>
  <c r="AT448" i="5"/>
  <c r="AU448" i="5" s="1"/>
  <c r="AS448" i="5"/>
  <c r="AQ448" i="5"/>
  <c r="AT447" i="5"/>
  <c r="AU447" i="5" s="1"/>
  <c r="AS447" i="5"/>
  <c r="AQ447" i="5"/>
  <c r="AT446" i="5"/>
  <c r="AU446" i="5" s="1"/>
  <c r="AS446" i="5"/>
  <c r="AQ446" i="5"/>
  <c r="AT445" i="5"/>
  <c r="AU445" i="5" s="1"/>
  <c r="AS445" i="5"/>
  <c r="AQ445" i="5"/>
  <c r="AT444" i="5"/>
  <c r="AU444" i="5" s="1"/>
  <c r="AS444" i="5"/>
  <c r="AQ444" i="5"/>
  <c r="H436" i="5"/>
  <c r="G436" i="5"/>
  <c r="AT441" i="5"/>
  <c r="AU441" i="5" s="1"/>
  <c r="AS441" i="5"/>
  <c r="AQ441" i="5"/>
  <c r="AT442" i="5"/>
  <c r="AU442" i="5" s="1"/>
  <c r="AS442" i="5"/>
  <c r="AQ442" i="5"/>
  <c r="AT440" i="5"/>
  <c r="AU440" i="5" s="1"/>
  <c r="AS440" i="5"/>
  <c r="AQ440" i="5"/>
  <c r="AT439" i="5"/>
  <c r="AU439" i="5" s="1"/>
  <c r="AS439" i="5"/>
  <c r="AQ439" i="5"/>
  <c r="AT438" i="5"/>
  <c r="AU438" i="5" s="1"/>
  <c r="AS438" i="5"/>
  <c r="AQ438" i="5"/>
  <c r="AT437" i="5"/>
  <c r="AU437" i="5" s="1"/>
  <c r="AS437" i="5"/>
  <c r="AQ437" i="5"/>
  <c r="AT436" i="5"/>
  <c r="AU436" i="5" s="1"/>
  <c r="AS436" i="5"/>
  <c r="AQ436" i="5"/>
  <c r="AT433" i="5"/>
  <c r="AU433" i="5" s="1"/>
  <c r="AS433" i="5"/>
  <c r="AQ433" i="5"/>
  <c r="AT432" i="5"/>
  <c r="AU432" i="5" s="1"/>
  <c r="AS432" i="5"/>
  <c r="AQ432" i="5"/>
  <c r="AT431" i="5"/>
  <c r="AU431" i="5" s="1"/>
  <c r="AS431" i="5"/>
  <c r="AQ431" i="5"/>
  <c r="AT430" i="5"/>
  <c r="AU430" i="5" s="1"/>
  <c r="AS430" i="5"/>
  <c r="AQ430" i="5"/>
  <c r="AT429" i="5"/>
  <c r="AU429" i="5" s="1"/>
  <c r="AS429" i="5"/>
  <c r="AQ429" i="5"/>
  <c r="AT428" i="5"/>
  <c r="AU428" i="5" s="1"/>
  <c r="AS428" i="5"/>
  <c r="AQ428" i="5"/>
  <c r="AT427" i="5"/>
  <c r="AU427" i="5" s="1"/>
  <c r="AS427" i="5"/>
  <c r="AQ427" i="5"/>
  <c r="AT426" i="5"/>
  <c r="AU426" i="5" s="1"/>
  <c r="AS426" i="5"/>
  <c r="AQ426" i="5"/>
  <c r="AT425" i="5"/>
  <c r="AU425" i="5" s="1"/>
  <c r="AS425" i="5"/>
  <c r="AQ425" i="5"/>
  <c r="AT424" i="5"/>
  <c r="AU424" i="5" s="1"/>
  <c r="AS424" i="5"/>
  <c r="AQ424" i="5"/>
  <c r="AT423" i="5"/>
  <c r="AU423" i="5" s="1"/>
  <c r="AS423" i="5"/>
  <c r="AQ423" i="5"/>
  <c r="AT435" i="5"/>
  <c r="AU435" i="5" s="1"/>
  <c r="AS435" i="5"/>
  <c r="AQ435" i="5"/>
  <c r="AT434" i="5"/>
  <c r="AU434" i="5" s="1"/>
  <c r="AS434" i="5"/>
  <c r="AQ434" i="5"/>
  <c r="AT422" i="5"/>
  <c r="AU422" i="5" s="1"/>
  <c r="AS422" i="5"/>
  <c r="AQ422" i="5"/>
  <c r="AT421" i="5"/>
  <c r="AU421" i="5" s="1"/>
  <c r="AS421" i="5"/>
  <c r="AQ421" i="5"/>
  <c r="AT420" i="5"/>
  <c r="AU420" i="5" s="1"/>
  <c r="AS420" i="5"/>
  <c r="AQ420" i="5"/>
  <c r="AT419" i="5"/>
  <c r="AU419" i="5" s="1"/>
  <c r="AS419" i="5"/>
  <c r="AQ419" i="5"/>
  <c r="AT418" i="5"/>
  <c r="AU418" i="5" s="1"/>
  <c r="AS418" i="5"/>
  <c r="AQ418" i="5"/>
  <c r="AT417" i="5"/>
  <c r="AU417" i="5" s="1"/>
  <c r="AS417" i="5"/>
  <c r="AQ417" i="5"/>
  <c r="AT416" i="5"/>
  <c r="AU416" i="5" s="1"/>
  <c r="AS416" i="5"/>
  <c r="AQ416" i="5"/>
  <c r="AT415" i="5"/>
  <c r="AU415" i="5" s="1"/>
  <c r="AS415" i="5"/>
  <c r="AQ415" i="5"/>
  <c r="AT414" i="5"/>
  <c r="AU414" i="5" s="1"/>
  <c r="AS414" i="5"/>
  <c r="AQ414" i="5"/>
  <c r="AT413" i="5"/>
  <c r="AU413" i="5" s="1"/>
  <c r="AS413" i="5"/>
  <c r="AQ413" i="5"/>
  <c r="AT411" i="5"/>
  <c r="AU411" i="5" s="1"/>
  <c r="AS411" i="5"/>
  <c r="AQ411" i="5"/>
  <c r="AQ406" i="5"/>
  <c r="AS406" i="5"/>
  <c r="AT406" i="5"/>
  <c r="AU406" i="5" s="1"/>
  <c r="AQ407" i="5"/>
  <c r="AS407" i="5"/>
  <c r="AT407" i="5"/>
  <c r="AU407" i="5" s="1"/>
  <c r="AQ408" i="5"/>
  <c r="AS408" i="5"/>
  <c r="AT408" i="5"/>
  <c r="AU408" i="5" s="1"/>
  <c r="AQ409" i="5"/>
  <c r="AS409" i="5"/>
  <c r="AT409" i="5"/>
  <c r="AU409" i="5" s="1"/>
  <c r="AT410" i="5"/>
  <c r="AU410" i="5" s="1"/>
  <c r="AS410" i="5"/>
  <c r="AQ410" i="5"/>
  <c r="AT405" i="5"/>
  <c r="AU405" i="5" s="1"/>
  <c r="AS405" i="5"/>
  <c r="AQ405" i="5"/>
  <c r="AT404" i="5"/>
  <c r="AU404" i="5" s="1"/>
  <c r="AS404" i="5"/>
  <c r="AQ404" i="5"/>
  <c r="AT403" i="5"/>
  <c r="AU403" i="5" s="1"/>
  <c r="AS403" i="5"/>
  <c r="AQ403" i="5"/>
  <c r="AT402" i="5"/>
  <c r="AU402" i="5" s="1"/>
  <c r="AS402" i="5"/>
  <c r="AQ402" i="5"/>
  <c r="AT401" i="5"/>
  <c r="AU401" i="5" s="1"/>
  <c r="AS401" i="5"/>
  <c r="AQ401" i="5"/>
  <c r="AT400" i="5"/>
  <c r="AU400" i="5" s="1"/>
  <c r="AS400" i="5"/>
  <c r="AQ400" i="5"/>
  <c r="AT399" i="5"/>
  <c r="AU399" i="5" s="1"/>
  <c r="AS399" i="5"/>
  <c r="AQ399" i="5"/>
  <c r="AT398" i="5"/>
  <c r="AU398" i="5" s="1"/>
  <c r="AS398" i="5"/>
  <c r="AQ398" i="5"/>
  <c r="AT397" i="5"/>
  <c r="AU397" i="5" s="1"/>
  <c r="AS397" i="5"/>
  <c r="AQ397" i="5"/>
  <c r="AT396" i="5"/>
  <c r="AU396" i="5" s="1"/>
  <c r="AS396" i="5"/>
  <c r="AQ396" i="5"/>
  <c r="AT395" i="5"/>
  <c r="AU395" i="5" s="1"/>
  <c r="AS395" i="5"/>
  <c r="AQ395" i="5"/>
  <c r="AT394" i="5"/>
  <c r="AU394" i="5" s="1"/>
  <c r="AS394" i="5"/>
  <c r="AQ394" i="5"/>
  <c r="AT393" i="5"/>
  <c r="AU393" i="5" s="1"/>
  <c r="AS393" i="5"/>
  <c r="AQ393" i="5"/>
  <c r="AT392" i="5"/>
  <c r="AU392" i="5" s="1"/>
  <c r="AS392" i="5"/>
  <c r="AQ392" i="5"/>
  <c r="AT391" i="5"/>
  <c r="AU391" i="5" s="1"/>
  <c r="AS391" i="5"/>
  <c r="AQ391" i="5"/>
  <c r="AT390" i="5"/>
  <c r="AU390" i="5" s="1"/>
  <c r="AS390" i="5"/>
  <c r="AQ390" i="5"/>
  <c r="AT389" i="5"/>
  <c r="AU389" i="5" s="1"/>
  <c r="AS389" i="5"/>
  <c r="AQ389" i="5"/>
  <c r="AT388" i="5"/>
  <c r="AU388" i="5" s="1"/>
  <c r="AS388" i="5"/>
  <c r="AQ388" i="5"/>
  <c r="AT387" i="5"/>
  <c r="AU387" i="5" s="1"/>
  <c r="AS387" i="5"/>
  <c r="AQ387" i="5"/>
  <c r="AT386" i="5"/>
  <c r="AU386" i="5" s="1"/>
  <c r="AS386" i="5"/>
  <c r="AQ386" i="5"/>
  <c r="AT385" i="5"/>
  <c r="AU385" i="5" s="1"/>
  <c r="AS385" i="5"/>
  <c r="AQ385" i="5"/>
  <c r="AT384" i="5"/>
  <c r="AU384" i="5" s="1"/>
  <c r="AS384" i="5"/>
  <c r="AQ384" i="5"/>
  <c r="AQ367" i="5"/>
  <c r="AS367" i="5"/>
  <c r="AT367" i="5"/>
  <c r="AU367" i="5" s="1"/>
  <c r="AQ368" i="5"/>
  <c r="AS368" i="5"/>
  <c r="AT368" i="5"/>
  <c r="AU368" i="5" s="1"/>
  <c r="AQ369" i="5"/>
  <c r="AS369" i="5"/>
  <c r="AT369" i="5"/>
  <c r="AU369" i="5" s="1"/>
  <c r="AQ370" i="5"/>
  <c r="AS370" i="5"/>
  <c r="AT370" i="5"/>
  <c r="AU370" i="5" s="1"/>
  <c r="AQ371" i="5"/>
  <c r="AS371" i="5"/>
  <c r="AT371" i="5"/>
  <c r="AU371" i="5" s="1"/>
  <c r="AQ372" i="5"/>
  <c r="AS372" i="5"/>
  <c r="AT372" i="5"/>
  <c r="AU372" i="5" s="1"/>
  <c r="AQ373" i="5"/>
  <c r="AS373" i="5"/>
  <c r="AT373" i="5"/>
  <c r="AU373" i="5" s="1"/>
  <c r="AQ374" i="5"/>
  <c r="AS374" i="5"/>
  <c r="AT374" i="5"/>
  <c r="AU374" i="5" s="1"/>
  <c r="AQ375" i="5"/>
  <c r="AS375" i="5"/>
  <c r="AT375" i="5"/>
  <c r="AU375" i="5" s="1"/>
  <c r="AQ376" i="5"/>
  <c r="AS376" i="5"/>
  <c r="AT376" i="5"/>
  <c r="AU376" i="5" s="1"/>
  <c r="AQ377" i="5"/>
  <c r="AS377" i="5"/>
  <c r="AT377" i="5"/>
  <c r="AU377" i="5" s="1"/>
  <c r="AQ378" i="5"/>
  <c r="AS378" i="5"/>
  <c r="AT378" i="5"/>
  <c r="AU378" i="5" s="1"/>
  <c r="AQ379" i="5"/>
  <c r="AS379" i="5"/>
  <c r="AT379" i="5"/>
  <c r="AU379" i="5" s="1"/>
  <c r="AQ380" i="5"/>
  <c r="AS380" i="5"/>
  <c r="AT380" i="5"/>
  <c r="AU380" i="5" s="1"/>
  <c r="AQ381" i="5"/>
  <c r="AS381" i="5"/>
  <c r="AT381" i="5"/>
  <c r="AU381" i="5" s="1"/>
  <c r="AQ382" i="5"/>
  <c r="AS382" i="5"/>
  <c r="AT382" i="5"/>
  <c r="AU382" i="5" s="1"/>
  <c r="AT383" i="5"/>
  <c r="AU383" i="5" s="1"/>
  <c r="AS383" i="5"/>
  <c r="AQ383" i="5"/>
  <c r="AT366" i="5"/>
  <c r="AU366" i="5" s="1"/>
  <c r="AS366" i="5"/>
  <c r="AQ366" i="5"/>
  <c r="AT365" i="5"/>
  <c r="AU365" i="5" s="1"/>
  <c r="AS365" i="5"/>
  <c r="AQ365" i="5"/>
  <c r="AT364" i="5"/>
  <c r="AU364" i="5" s="1"/>
  <c r="AS364" i="5"/>
  <c r="AQ364" i="5"/>
  <c r="AT363" i="5"/>
  <c r="AU363" i="5" s="1"/>
  <c r="AS363" i="5"/>
  <c r="AQ363" i="5"/>
  <c r="AT362" i="5"/>
  <c r="AU362" i="5" s="1"/>
  <c r="AS362" i="5"/>
  <c r="AQ362" i="5"/>
  <c r="AT361" i="5"/>
  <c r="AU361" i="5" s="1"/>
  <c r="AS361" i="5"/>
  <c r="AQ361" i="5"/>
  <c r="AQ354" i="5"/>
  <c r="AS354" i="5"/>
  <c r="AT354" i="5"/>
  <c r="AU354" i="5" s="1"/>
  <c r="AQ355" i="5"/>
  <c r="AS355" i="5"/>
  <c r="AT355" i="5"/>
  <c r="AU355" i="5" s="1"/>
  <c r="AQ356" i="5"/>
  <c r="AS356" i="5"/>
  <c r="AT356" i="5"/>
  <c r="AU356" i="5" s="1"/>
  <c r="AQ357" i="5"/>
  <c r="AS357" i="5"/>
  <c r="AT357" i="5"/>
  <c r="AU357" i="5" s="1"/>
  <c r="AQ358" i="5"/>
  <c r="AS358" i="5"/>
  <c r="AT358" i="5"/>
  <c r="AU358" i="5" s="1"/>
  <c r="AQ359" i="5"/>
  <c r="AS359" i="5"/>
  <c r="AT359" i="5"/>
  <c r="AU359" i="5" s="1"/>
  <c r="AT360" i="5"/>
  <c r="AU360" i="5" s="1"/>
  <c r="AS360" i="5"/>
  <c r="AQ360" i="5"/>
  <c r="AT353" i="5"/>
  <c r="AU353" i="5" s="1"/>
  <c r="AS353" i="5"/>
  <c r="AQ353" i="5"/>
  <c r="AT352" i="5"/>
  <c r="AU352" i="5" s="1"/>
  <c r="AS352" i="5"/>
  <c r="AQ352" i="5"/>
  <c r="AT351" i="5"/>
  <c r="AU351" i="5" s="1"/>
  <c r="AS351" i="5"/>
  <c r="AQ351" i="5"/>
  <c r="AT350" i="5"/>
  <c r="AU350" i="5" s="1"/>
  <c r="AS350" i="5"/>
  <c r="AQ350" i="5"/>
  <c r="AT349" i="5"/>
  <c r="AU349" i="5" s="1"/>
  <c r="AS349" i="5"/>
  <c r="AQ349" i="5"/>
  <c r="AT348" i="5"/>
  <c r="AU348" i="5" s="1"/>
  <c r="AS348" i="5"/>
  <c r="AQ348" i="5"/>
  <c r="AT346" i="5"/>
  <c r="AU346" i="5" s="1"/>
  <c r="AS346" i="5"/>
  <c r="AQ346" i="5"/>
  <c r="AT345" i="5"/>
  <c r="AU345" i="5" s="1"/>
  <c r="AS345" i="5"/>
  <c r="AQ345" i="5"/>
  <c r="AT344" i="5"/>
  <c r="AU344" i="5" s="1"/>
  <c r="AS344" i="5"/>
  <c r="AQ344" i="5"/>
  <c r="AT343" i="5"/>
  <c r="AU343" i="5" s="1"/>
  <c r="AS343" i="5"/>
  <c r="AQ343" i="5"/>
  <c r="AT342" i="5"/>
  <c r="AU342" i="5" s="1"/>
  <c r="AS342" i="5"/>
  <c r="AQ342" i="5"/>
  <c r="AT341" i="5"/>
  <c r="AU341" i="5" s="1"/>
  <c r="AS341" i="5"/>
  <c r="AQ341" i="5"/>
  <c r="AT340" i="5"/>
  <c r="AU340" i="5" s="1"/>
  <c r="AS340" i="5"/>
  <c r="AQ340" i="5"/>
  <c r="AT339" i="5"/>
  <c r="AU339" i="5" s="1"/>
  <c r="AS339" i="5"/>
  <c r="AQ339" i="5"/>
  <c r="AT338" i="5"/>
  <c r="AU338" i="5" s="1"/>
  <c r="AS338" i="5"/>
  <c r="AQ338" i="5"/>
  <c r="AT337" i="5"/>
  <c r="AU337" i="5" s="1"/>
  <c r="AS337" i="5"/>
  <c r="AQ337" i="5"/>
  <c r="AT336" i="5"/>
  <c r="AU336" i="5" s="1"/>
  <c r="AS336" i="5"/>
  <c r="AQ336" i="5"/>
  <c r="AT335" i="5"/>
  <c r="AU335" i="5" s="1"/>
  <c r="AS335" i="5"/>
  <c r="AQ335" i="5"/>
  <c r="AT334" i="5"/>
  <c r="AU334" i="5" s="1"/>
  <c r="AS334" i="5"/>
  <c r="AQ334" i="5"/>
  <c r="AT333" i="5"/>
  <c r="AU333" i="5" s="1"/>
  <c r="AS333" i="5"/>
  <c r="AQ333" i="5"/>
  <c r="AT332" i="5"/>
  <c r="AU332" i="5" s="1"/>
  <c r="AS332" i="5"/>
  <c r="AQ332" i="5"/>
  <c r="AT331" i="5"/>
  <c r="AU331" i="5" s="1"/>
  <c r="AS331" i="5"/>
  <c r="AQ331" i="5"/>
  <c r="AT330" i="5"/>
  <c r="AU330" i="5" s="1"/>
  <c r="AS330" i="5"/>
  <c r="AQ330" i="5"/>
  <c r="AT329" i="5"/>
  <c r="AU329" i="5" s="1"/>
  <c r="AS329" i="5"/>
  <c r="AQ329" i="5"/>
  <c r="AT328" i="5"/>
  <c r="AU328" i="5" s="1"/>
  <c r="AS328" i="5"/>
  <c r="AQ328" i="5"/>
  <c r="AT327" i="5"/>
  <c r="AU327" i="5" s="1"/>
  <c r="AS327" i="5"/>
  <c r="AQ327" i="5"/>
  <c r="AQ318" i="5"/>
  <c r="AS318" i="5"/>
  <c r="AT318" i="5"/>
  <c r="AU318" i="5" s="1"/>
  <c r="AQ319" i="5"/>
  <c r="AS319" i="5"/>
  <c r="AT319" i="5"/>
  <c r="AU319" i="5" s="1"/>
  <c r="AQ320" i="5"/>
  <c r="AS320" i="5"/>
  <c r="AT320" i="5"/>
  <c r="AU320" i="5" s="1"/>
  <c r="AQ321" i="5"/>
  <c r="AS321" i="5"/>
  <c r="AT321" i="5"/>
  <c r="AU321" i="5" s="1"/>
  <c r="AQ322" i="5"/>
  <c r="AS322" i="5"/>
  <c r="AT322" i="5"/>
  <c r="AU322" i="5" s="1"/>
  <c r="AQ323" i="5"/>
  <c r="AS323" i="5"/>
  <c r="AT323" i="5"/>
  <c r="AU323" i="5" s="1"/>
  <c r="AQ324" i="5"/>
  <c r="AS324" i="5"/>
  <c r="AT324" i="5"/>
  <c r="AU324" i="5" s="1"/>
  <c r="AQ325" i="5"/>
  <c r="AS325" i="5"/>
  <c r="AT325" i="5"/>
  <c r="AU325" i="5" s="1"/>
  <c r="AT326" i="5"/>
  <c r="AU326" i="5" s="1"/>
  <c r="AS326" i="5"/>
  <c r="AQ326" i="5"/>
  <c r="AT317" i="5"/>
  <c r="AU317" i="5" s="1"/>
  <c r="AS317" i="5"/>
  <c r="AQ317" i="5"/>
  <c r="AT316" i="5"/>
  <c r="AU316" i="5" s="1"/>
  <c r="AS316" i="5"/>
  <c r="AQ316" i="5"/>
  <c r="AT315" i="5"/>
  <c r="AU315" i="5" s="1"/>
  <c r="AS315" i="5"/>
  <c r="AQ315" i="5"/>
  <c r="AQ306" i="5"/>
  <c r="AS306" i="5"/>
  <c r="AT306" i="5"/>
  <c r="AU306" i="5" s="1"/>
  <c r="AQ307" i="5"/>
  <c r="AS307" i="5"/>
  <c r="AT307" i="5"/>
  <c r="AU307" i="5" s="1"/>
  <c r="AQ308" i="5"/>
  <c r="AS308" i="5"/>
  <c r="AT308" i="5"/>
  <c r="AU308" i="5" s="1"/>
  <c r="AQ309" i="5"/>
  <c r="AS309" i="5"/>
  <c r="AT309" i="5"/>
  <c r="AU309" i="5" s="1"/>
  <c r="AQ310" i="5"/>
  <c r="AS310" i="5"/>
  <c r="AT310" i="5"/>
  <c r="AU310" i="5" s="1"/>
  <c r="AQ311" i="5"/>
  <c r="AS311" i="5"/>
  <c r="AT311" i="5"/>
  <c r="AU311" i="5" s="1"/>
  <c r="AQ312" i="5"/>
  <c r="AS312" i="5"/>
  <c r="AT312" i="5"/>
  <c r="AU312" i="5" s="1"/>
  <c r="AQ313" i="5"/>
  <c r="AS313" i="5"/>
  <c r="AT313" i="5"/>
  <c r="AU313" i="5" s="1"/>
  <c r="AT305" i="5"/>
  <c r="AU305" i="5" s="1"/>
  <c r="AS305" i="5"/>
  <c r="AQ305" i="5"/>
  <c r="AT304" i="5"/>
  <c r="AU304" i="5" s="1"/>
  <c r="AS304" i="5"/>
  <c r="AQ304" i="5"/>
  <c r="AT303" i="5"/>
  <c r="AU303" i="5" s="1"/>
  <c r="AS303" i="5"/>
  <c r="AQ303" i="5"/>
  <c r="AQ297" i="5"/>
  <c r="AS297" i="5"/>
  <c r="AT297" i="5"/>
  <c r="AU297" i="5" s="1"/>
  <c r="AT302" i="5"/>
  <c r="AU302" i="5" s="1"/>
  <c r="AS302" i="5"/>
  <c r="AQ302" i="5"/>
  <c r="AT301" i="5"/>
  <c r="AU301" i="5" s="1"/>
  <c r="AS301" i="5"/>
  <c r="AQ301" i="5"/>
  <c r="AT300" i="5"/>
  <c r="AU300" i="5" s="1"/>
  <c r="AS300" i="5"/>
  <c r="AQ300" i="5"/>
  <c r="AT299" i="5"/>
  <c r="AU299" i="5" s="1"/>
  <c r="AS299" i="5"/>
  <c r="AQ299" i="5"/>
  <c r="AT298" i="5"/>
  <c r="AU298" i="5" s="1"/>
  <c r="AS298" i="5"/>
  <c r="AQ298" i="5"/>
  <c r="AT296" i="5"/>
  <c r="AU296" i="5" s="1"/>
  <c r="AS296" i="5"/>
  <c r="AQ296" i="5"/>
  <c r="AT295" i="5"/>
  <c r="AU295" i="5" s="1"/>
  <c r="AS295" i="5"/>
  <c r="AQ295" i="5"/>
  <c r="AT294" i="5"/>
  <c r="AU294" i="5" s="1"/>
  <c r="AS294" i="5"/>
  <c r="AQ294" i="5"/>
  <c r="AT293" i="5"/>
  <c r="AU293" i="5" s="1"/>
  <c r="AS293" i="5"/>
  <c r="AQ293" i="5"/>
  <c r="AT292" i="5"/>
  <c r="AU292" i="5" s="1"/>
  <c r="AS292" i="5"/>
  <c r="AQ292" i="5"/>
  <c r="AT291" i="5"/>
  <c r="AU291" i="5" s="1"/>
  <c r="AS291" i="5"/>
  <c r="AQ291" i="5"/>
  <c r="AT290" i="5"/>
  <c r="AU290" i="5" s="1"/>
  <c r="AS290" i="5"/>
  <c r="AQ290" i="5"/>
  <c r="AT289" i="5"/>
  <c r="AU289" i="5" s="1"/>
  <c r="AS289" i="5"/>
  <c r="AQ289" i="5"/>
  <c r="AT288" i="5"/>
  <c r="AU288" i="5" s="1"/>
  <c r="AS288" i="5"/>
  <c r="AQ288" i="5"/>
  <c r="AT287" i="5"/>
  <c r="AU287" i="5" s="1"/>
  <c r="AS287" i="5"/>
  <c r="AQ287" i="5"/>
  <c r="AT286" i="5"/>
  <c r="AU286" i="5" s="1"/>
  <c r="AS286" i="5"/>
  <c r="AQ286" i="5"/>
  <c r="AT285" i="5"/>
  <c r="AU285" i="5" s="1"/>
  <c r="AS285" i="5"/>
  <c r="AQ285" i="5"/>
  <c r="AT284" i="5"/>
  <c r="AU284" i="5" s="1"/>
  <c r="AS284" i="5"/>
  <c r="AQ284" i="5"/>
  <c r="AT283" i="5"/>
  <c r="AU283" i="5" s="1"/>
  <c r="AS283" i="5"/>
  <c r="AQ283" i="5"/>
  <c r="AT282" i="5"/>
  <c r="AU282" i="5" s="1"/>
  <c r="AS282" i="5"/>
  <c r="AQ282" i="5"/>
  <c r="AT281" i="5"/>
  <c r="AU281" i="5" s="1"/>
  <c r="AS281" i="5"/>
  <c r="AQ281" i="5"/>
  <c r="AT280" i="5"/>
  <c r="AU280" i="5" s="1"/>
  <c r="AS280" i="5"/>
  <c r="AQ280" i="5"/>
  <c r="AT279" i="5"/>
  <c r="AU279" i="5" s="1"/>
  <c r="AS279" i="5"/>
  <c r="AQ279" i="5"/>
  <c r="AT278" i="5"/>
  <c r="AU278" i="5" s="1"/>
  <c r="AS278" i="5"/>
  <c r="AQ278" i="5"/>
  <c r="AT276" i="5"/>
  <c r="AU276" i="5" s="1"/>
  <c r="AS276" i="5"/>
  <c r="AQ276" i="5"/>
  <c r="AT275" i="5"/>
  <c r="AU275" i="5" s="1"/>
  <c r="AS275" i="5"/>
  <c r="AQ275" i="5"/>
  <c r="AT274" i="5"/>
  <c r="AU274" i="5" s="1"/>
  <c r="AS274" i="5"/>
  <c r="AQ274" i="5"/>
  <c r="AT273" i="5"/>
  <c r="AU273" i="5" s="1"/>
  <c r="AS273" i="5"/>
  <c r="AQ273" i="5"/>
  <c r="AT272" i="5"/>
  <c r="AU272" i="5" s="1"/>
  <c r="AS272" i="5"/>
  <c r="AQ272" i="5"/>
  <c r="AT271" i="5"/>
  <c r="AU271" i="5" s="1"/>
  <c r="AS271" i="5"/>
  <c r="AQ271" i="5"/>
  <c r="AT270" i="5"/>
  <c r="AU270" i="5" s="1"/>
  <c r="AS270" i="5"/>
  <c r="AQ270" i="5"/>
  <c r="AT269" i="5"/>
  <c r="AU269" i="5" s="1"/>
  <c r="AS269" i="5"/>
  <c r="AQ269" i="5"/>
  <c r="AT268" i="5"/>
  <c r="AU268" i="5" s="1"/>
  <c r="AS268" i="5"/>
  <c r="AQ268" i="5"/>
  <c r="AQ261" i="5"/>
  <c r="AS261" i="5"/>
  <c r="AT261" i="5"/>
  <c r="AU261" i="5" s="1"/>
  <c r="AQ262" i="5"/>
  <c r="AS262" i="5"/>
  <c r="AT262" i="5"/>
  <c r="AU262" i="5" s="1"/>
  <c r="AQ263" i="5"/>
  <c r="AS263" i="5"/>
  <c r="AT263" i="5"/>
  <c r="AU263" i="5" s="1"/>
  <c r="AQ264" i="5"/>
  <c r="AS264" i="5"/>
  <c r="AT264" i="5"/>
  <c r="AU264" i="5" s="1"/>
  <c r="AQ265" i="5"/>
  <c r="AS265" i="5"/>
  <c r="AT265" i="5"/>
  <c r="AU265" i="5" s="1"/>
  <c r="AQ266" i="5"/>
  <c r="AS266" i="5"/>
  <c r="AT266" i="5"/>
  <c r="AU266" i="5" s="1"/>
  <c r="AQ267" i="5"/>
  <c r="AS267" i="5"/>
  <c r="AT267" i="5"/>
  <c r="AU267" i="5" s="1"/>
  <c r="AT260" i="5"/>
  <c r="AU260" i="5" s="1"/>
  <c r="AS260" i="5"/>
  <c r="AQ260" i="5"/>
  <c r="AT259" i="5"/>
  <c r="AU259" i="5" s="1"/>
  <c r="AS259" i="5"/>
  <c r="AQ259" i="5"/>
  <c r="AT258" i="5"/>
  <c r="AU258" i="5" s="1"/>
  <c r="AS258" i="5"/>
  <c r="AQ258" i="5"/>
  <c r="AT257" i="5"/>
  <c r="AU257" i="5" s="1"/>
  <c r="AS257" i="5"/>
  <c r="AQ257" i="5"/>
  <c r="AT256" i="5"/>
  <c r="AU256" i="5" s="1"/>
  <c r="AS256" i="5"/>
  <c r="AQ256" i="5"/>
  <c r="AT255" i="5"/>
  <c r="AU255" i="5" s="1"/>
  <c r="AS255" i="5"/>
  <c r="AQ255" i="5"/>
  <c r="AT254" i="5"/>
  <c r="AU254" i="5" s="1"/>
  <c r="AS254" i="5"/>
  <c r="AQ254" i="5"/>
  <c r="AT253" i="5"/>
  <c r="AU253" i="5" s="1"/>
  <c r="AS253" i="5"/>
  <c r="AQ253" i="5"/>
  <c r="AT252" i="5"/>
  <c r="AU252" i="5" s="1"/>
  <c r="AS252" i="5"/>
  <c r="AQ252" i="5"/>
  <c r="AT251" i="5"/>
  <c r="AU251" i="5" s="1"/>
  <c r="AS251" i="5"/>
  <c r="AQ251" i="5"/>
  <c r="AT250" i="5"/>
  <c r="AU250" i="5" s="1"/>
  <c r="AS250" i="5"/>
  <c r="AQ250" i="5"/>
  <c r="AQ678" i="5" l="1"/>
  <c r="AT709" i="5" s="1"/>
  <c r="AS678" i="5"/>
  <c r="AT710" i="5" s="1"/>
  <c r="AU678" i="5"/>
  <c r="AQ670" i="5"/>
  <c r="AS670" i="5"/>
  <c r="AU670" i="5"/>
  <c r="AS646" i="5"/>
  <c r="AU646" i="5"/>
  <c r="AQ646" i="5"/>
  <c r="AS634" i="5"/>
  <c r="AU634" i="5"/>
  <c r="AS502" i="5"/>
  <c r="AQ634" i="5"/>
  <c r="AU502" i="5"/>
  <c r="AU600" i="5"/>
  <c r="AQ600" i="5"/>
  <c r="AS600" i="5"/>
  <c r="AS589" i="5"/>
  <c r="AU589" i="5"/>
  <c r="AQ589" i="5"/>
  <c r="AU575" i="5"/>
  <c r="AQ575" i="5"/>
  <c r="AS575" i="5"/>
  <c r="AQ544" i="5"/>
  <c r="AU544" i="5"/>
  <c r="AS544" i="5"/>
  <c r="AQ502" i="5"/>
  <c r="AS443" i="5"/>
  <c r="AU443" i="5"/>
  <c r="AQ443" i="5"/>
  <c r="AQ412" i="5"/>
  <c r="AS412" i="5"/>
  <c r="AU412" i="5"/>
  <c r="AS347" i="5"/>
  <c r="AU347" i="5"/>
  <c r="AQ347" i="5"/>
  <c r="AQ314" i="5"/>
  <c r="AS314" i="5"/>
  <c r="AU314" i="5"/>
  <c r="AU277" i="5"/>
  <c r="AQ277" i="5"/>
  <c r="AS277" i="5"/>
  <c r="AQ245" i="5"/>
  <c r="AS245" i="5"/>
  <c r="AT245" i="5"/>
  <c r="AU245" i="5" s="1"/>
  <c r="AQ246" i="5"/>
  <c r="AS246" i="5"/>
  <c r="AT246" i="5"/>
  <c r="AU246" i="5" s="1"/>
  <c r="AQ247" i="5"/>
  <c r="AS247" i="5"/>
  <c r="AT247" i="5"/>
  <c r="AU247" i="5" s="1"/>
  <c r="AQ248" i="5"/>
  <c r="AS248" i="5"/>
  <c r="AT248" i="5"/>
  <c r="AU248" i="5" s="1"/>
  <c r="AQ249" i="5"/>
  <c r="AS249" i="5"/>
  <c r="AT249" i="5"/>
  <c r="AU249" i="5" s="1"/>
  <c r="AT244" i="5"/>
  <c r="AU244" i="5" s="1"/>
  <c r="AS244" i="5"/>
  <c r="AQ244" i="5"/>
  <c r="AT243" i="5"/>
  <c r="AU243" i="5" s="1"/>
  <c r="AS243" i="5"/>
  <c r="AQ243" i="5"/>
  <c r="AT242" i="5"/>
  <c r="AU242" i="5" s="1"/>
  <c r="AS242" i="5"/>
  <c r="AQ242" i="5"/>
  <c r="AT241" i="5"/>
  <c r="AU241" i="5" s="1"/>
  <c r="AS241" i="5"/>
  <c r="AQ241" i="5"/>
  <c r="AT240" i="5"/>
  <c r="AU240" i="5" s="1"/>
  <c r="AS240" i="5"/>
  <c r="AQ240" i="5"/>
  <c r="AT239" i="5"/>
  <c r="AU239" i="5" s="1"/>
  <c r="AS239" i="5"/>
  <c r="AQ239" i="5"/>
  <c r="AT711" i="5" l="1"/>
  <c r="AU645" i="5"/>
  <c r="AS645" i="5"/>
  <c r="AT707" i="5" s="1"/>
  <c r="AQ645" i="5"/>
  <c r="AT706" i="5" s="1"/>
  <c r="AS501" i="5"/>
  <c r="AT704" i="5" s="1"/>
  <c r="AU501" i="5"/>
  <c r="AQ501" i="5"/>
  <c r="AT703" i="5" s="1"/>
  <c r="AQ238" i="5"/>
  <c r="AS238" i="5"/>
  <c r="AU238" i="5"/>
  <c r="G651" i="4"/>
  <c r="F651" i="4"/>
  <c r="G648" i="4"/>
  <c r="F648" i="4"/>
  <c r="G645" i="4"/>
  <c r="F645" i="4"/>
  <c r="G642" i="4"/>
  <c r="F642" i="4"/>
  <c r="G639" i="4"/>
  <c r="F639" i="4"/>
  <c r="G636" i="4"/>
  <c r="F636" i="4"/>
  <c r="G52" i="3"/>
  <c r="G49" i="3"/>
  <c r="G46" i="3"/>
  <c r="G215" i="1"/>
  <c r="G212" i="1"/>
  <c r="G209" i="1"/>
  <c r="G206" i="1"/>
  <c r="G203" i="1"/>
  <c r="G200" i="1"/>
  <c r="G197" i="1"/>
  <c r="G194" i="1"/>
  <c r="G191" i="1"/>
  <c r="H236" i="5"/>
  <c r="G236" i="5"/>
  <c r="AT237" i="5"/>
  <c r="AU237" i="5" s="1"/>
  <c r="AS237" i="5"/>
  <c r="AQ237" i="5"/>
  <c r="AT236" i="5"/>
  <c r="AU236" i="5" s="1"/>
  <c r="AS236" i="5"/>
  <c r="AQ236" i="5"/>
  <c r="AT235" i="5"/>
  <c r="AU235" i="5" s="1"/>
  <c r="AS235" i="5"/>
  <c r="AQ235" i="5"/>
  <c r="AT234" i="5"/>
  <c r="AU234" i="5" s="1"/>
  <c r="AS234" i="5"/>
  <c r="AQ234" i="5"/>
  <c r="AT233" i="5"/>
  <c r="AU233" i="5" s="1"/>
  <c r="AS233" i="5"/>
  <c r="AQ233" i="5"/>
  <c r="AT232" i="5"/>
  <c r="AU232" i="5" s="1"/>
  <c r="AS232" i="5"/>
  <c r="AQ232" i="5"/>
  <c r="AT231" i="5"/>
  <c r="AU231" i="5" s="1"/>
  <c r="AS231" i="5"/>
  <c r="AQ231" i="5"/>
  <c r="AT230" i="5"/>
  <c r="AU230" i="5" s="1"/>
  <c r="AS230" i="5"/>
  <c r="AQ230" i="5"/>
  <c r="AT229" i="5"/>
  <c r="AU229" i="5" s="1"/>
  <c r="AS229" i="5"/>
  <c r="AQ229" i="5"/>
  <c r="AT228" i="5"/>
  <c r="AU228" i="5" s="1"/>
  <c r="AS228" i="5"/>
  <c r="AQ228" i="5"/>
  <c r="AT227" i="5"/>
  <c r="AU227" i="5" s="1"/>
  <c r="AS227" i="5"/>
  <c r="AQ227" i="5"/>
  <c r="AT226" i="5"/>
  <c r="AU226" i="5" s="1"/>
  <c r="AS226" i="5"/>
  <c r="AQ226" i="5"/>
  <c r="AT225" i="5"/>
  <c r="AU225" i="5" s="1"/>
  <c r="AS225" i="5"/>
  <c r="AQ225" i="5"/>
  <c r="AT224" i="5"/>
  <c r="AU224" i="5" s="1"/>
  <c r="AS224" i="5"/>
  <c r="AQ224" i="5"/>
  <c r="AT223" i="5"/>
  <c r="AU223" i="5" s="1"/>
  <c r="AS223" i="5"/>
  <c r="AQ223" i="5"/>
  <c r="AT222" i="5"/>
  <c r="AU222" i="5" s="1"/>
  <c r="AS222" i="5"/>
  <c r="AQ222" i="5"/>
  <c r="AT221" i="5"/>
  <c r="AU221" i="5" s="1"/>
  <c r="AS221" i="5"/>
  <c r="AQ221" i="5"/>
  <c r="AT220" i="5"/>
  <c r="AU220" i="5" s="1"/>
  <c r="AS220" i="5"/>
  <c r="AQ220" i="5"/>
  <c r="AT219" i="5"/>
  <c r="AU219" i="5" s="1"/>
  <c r="AS219" i="5"/>
  <c r="AQ219" i="5"/>
  <c r="AT218" i="5"/>
  <c r="AU218" i="5" s="1"/>
  <c r="AS218" i="5"/>
  <c r="AQ218" i="5"/>
  <c r="AT217" i="5"/>
  <c r="AU217" i="5" s="1"/>
  <c r="AS217" i="5"/>
  <c r="AQ217" i="5"/>
  <c r="AT216" i="5"/>
  <c r="AU216" i="5" s="1"/>
  <c r="AS216" i="5"/>
  <c r="AQ216" i="5"/>
  <c r="AT215" i="5"/>
  <c r="AU215" i="5" s="1"/>
  <c r="AS215" i="5"/>
  <c r="AQ215" i="5"/>
  <c r="H214" i="5"/>
  <c r="G214" i="5"/>
  <c r="AT214" i="5"/>
  <c r="AU214" i="5" s="1"/>
  <c r="AS214" i="5"/>
  <c r="AQ214" i="5"/>
  <c r="AT213" i="5"/>
  <c r="AU213" i="5" s="1"/>
  <c r="AS213" i="5"/>
  <c r="AQ213" i="5"/>
  <c r="AT212" i="5"/>
  <c r="AU212" i="5" s="1"/>
  <c r="AS212" i="5"/>
  <c r="AQ212" i="5"/>
  <c r="AT211" i="5"/>
  <c r="AU211" i="5" s="1"/>
  <c r="AS211" i="5"/>
  <c r="AQ211" i="5"/>
  <c r="AT210" i="5"/>
  <c r="AU210" i="5" s="1"/>
  <c r="AS210" i="5"/>
  <c r="AQ210" i="5"/>
  <c r="AT209" i="5"/>
  <c r="AU209" i="5" s="1"/>
  <c r="AS209" i="5"/>
  <c r="AQ209" i="5"/>
  <c r="AT208" i="5"/>
  <c r="AU208" i="5" s="1"/>
  <c r="AS208" i="5"/>
  <c r="AQ208" i="5"/>
  <c r="AT207" i="5"/>
  <c r="AU207" i="5" s="1"/>
  <c r="AS207" i="5"/>
  <c r="AQ207" i="5"/>
  <c r="AT206" i="5"/>
  <c r="AU206" i="5" s="1"/>
  <c r="AS206" i="5"/>
  <c r="AQ206" i="5"/>
  <c r="AT205" i="5"/>
  <c r="AU205" i="5" s="1"/>
  <c r="AS205" i="5"/>
  <c r="AQ205" i="5"/>
  <c r="AT204" i="5"/>
  <c r="AU204" i="5" s="1"/>
  <c r="AS204" i="5"/>
  <c r="AQ204" i="5"/>
  <c r="AT203" i="5"/>
  <c r="AU203" i="5" s="1"/>
  <c r="AS203" i="5"/>
  <c r="AQ203" i="5"/>
  <c r="AT202" i="5"/>
  <c r="AU202" i="5" s="1"/>
  <c r="AS202" i="5"/>
  <c r="AQ202" i="5"/>
  <c r="AT200" i="5"/>
  <c r="AU200" i="5" s="1"/>
  <c r="AS200" i="5"/>
  <c r="AQ200" i="5"/>
  <c r="AT199" i="5"/>
  <c r="AU199" i="5" s="1"/>
  <c r="AS199" i="5"/>
  <c r="AQ199" i="5"/>
  <c r="AT198" i="5"/>
  <c r="AU198" i="5" s="1"/>
  <c r="AS198" i="5"/>
  <c r="AQ198" i="5"/>
  <c r="AT197" i="5"/>
  <c r="AU197" i="5" s="1"/>
  <c r="AS197" i="5"/>
  <c r="AQ197" i="5"/>
  <c r="AT196" i="5"/>
  <c r="AU196" i="5" s="1"/>
  <c r="AS196" i="5"/>
  <c r="AQ196" i="5"/>
  <c r="AT195" i="5"/>
  <c r="AU195" i="5" s="1"/>
  <c r="AS195" i="5"/>
  <c r="AQ195" i="5"/>
  <c r="AT194" i="5"/>
  <c r="AU194" i="5" s="1"/>
  <c r="AS194" i="5"/>
  <c r="AQ194" i="5"/>
  <c r="AT193" i="5"/>
  <c r="AU193" i="5" s="1"/>
  <c r="AS193" i="5"/>
  <c r="AQ193" i="5"/>
  <c r="AT192" i="5"/>
  <c r="AU192" i="5" s="1"/>
  <c r="AS192" i="5"/>
  <c r="AQ192" i="5"/>
  <c r="AT190" i="5"/>
  <c r="AU190" i="5" s="1"/>
  <c r="AS190" i="5"/>
  <c r="AQ190" i="5"/>
  <c r="AT189" i="5"/>
  <c r="AU189" i="5" s="1"/>
  <c r="AS189" i="5"/>
  <c r="AQ189" i="5"/>
  <c r="AT188" i="5"/>
  <c r="AU188" i="5" s="1"/>
  <c r="AS188" i="5"/>
  <c r="AQ188" i="5"/>
  <c r="AT187" i="5"/>
  <c r="AU187" i="5" s="1"/>
  <c r="AS187" i="5"/>
  <c r="AQ187" i="5"/>
  <c r="AT186" i="5"/>
  <c r="AU186" i="5" s="1"/>
  <c r="AS186" i="5"/>
  <c r="AQ186" i="5"/>
  <c r="AT185" i="5"/>
  <c r="AU185" i="5" s="1"/>
  <c r="AS185" i="5"/>
  <c r="AQ185" i="5"/>
  <c r="AT184" i="5"/>
  <c r="AU184" i="5" s="1"/>
  <c r="AS184" i="5"/>
  <c r="AQ184" i="5"/>
  <c r="AT183" i="5"/>
  <c r="AU183" i="5" s="1"/>
  <c r="AS183" i="5"/>
  <c r="AQ183" i="5"/>
  <c r="AT182" i="5"/>
  <c r="AU182" i="5" s="1"/>
  <c r="AS182" i="5"/>
  <c r="AQ182" i="5"/>
  <c r="AT181" i="5"/>
  <c r="AU181" i="5" s="1"/>
  <c r="AS181" i="5"/>
  <c r="AQ181" i="5"/>
  <c r="AT180" i="5"/>
  <c r="AU180" i="5" s="1"/>
  <c r="AS180" i="5"/>
  <c r="AQ180" i="5"/>
  <c r="AT179" i="5"/>
  <c r="AU179" i="5" s="1"/>
  <c r="AS179" i="5"/>
  <c r="AQ179" i="5"/>
  <c r="AT178" i="5"/>
  <c r="AU178" i="5" s="1"/>
  <c r="AS178" i="5"/>
  <c r="AQ178" i="5"/>
  <c r="AT177" i="5"/>
  <c r="AU177" i="5" s="1"/>
  <c r="AS177" i="5"/>
  <c r="AQ177" i="5"/>
  <c r="AT176" i="5"/>
  <c r="AU176" i="5" s="1"/>
  <c r="AS176" i="5"/>
  <c r="AQ176" i="5"/>
  <c r="AT175" i="5"/>
  <c r="AU175" i="5" s="1"/>
  <c r="AS175" i="5"/>
  <c r="AQ175" i="5"/>
  <c r="AT174" i="5"/>
  <c r="AU174" i="5" s="1"/>
  <c r="AS174" i="5"/>
  <c r="AQ174" i="5"/>
  <c r="AT173" i="5"/>
  <c r="AU173" i="5" s="1"/>
  <c r="AS173" i="5"/>
  <c r="AQ173" i="5"/>
  <c r="AT172" i="5"/>
  <c r="AU172" i="5" s="1"/>
  <c r="AS172" i="5"/>
  <c r="AQ172" i="5"/>
  <c r="AT171" i="5"/>
  <c r="AU171" i="5" s="1"/>
  <c r="AS171" i="5"/>
  <c r="AQ171" i="5"/>
  <c r="AT170" i="5"/>
  <c r="AU170" i="5" s="1"/>
  <c r="AS170" i="5"/>
  <c r="AQ170" i="5"/>
  <c r="AT169" i="5"/>
  <c r="AU169" i="5" s="1"/>
  <c r="AS169" i="5"/>
  <c r="AQ169" i="5"/>
  <c r="AT168" i="5"/>
  <c r="AU168" i="5" s="1"/>
  <c r="AS168" i="5"/>
  <c r="AQ168" i="5"/>
  <c r="AT167" i="5"/>
  <c r="AU167" i="5" s="1"/>
  <c r="AS167" i="5"/>
  <c r="AQ167" i="5"/>
  <c r="AT166" i="5"/>
  <c r="AU166" i="5" s="1"/>
  <c r="AS166" i="5"/>
  <c r="AQ166" i="5"/>
  <c r="AT165" i="5"/>
  <c r="AU165" i="5" s="1"/>
  <c r="AS165" i="5"/>
  <c r="AQ165" i="5"/>
  <c r="AT164" i="5"/>
  <c r="AU164" i="5" s="1"/>
  <c r="AS164" i="5"/>
  <c r="AQ164" i="5"/>
  <c r="AT163" i="5"/>
  <c r="AU163" i="5" s="1"/>
  <c r="AS163" i="5"/>
  <c r="AQ163" i="5"/>
  <c r="AT162" i="5"/>
  <c r="AU162" i="5" s="1"/>
  <c r="AS162" i="5"/>
  <c r="AQ162" i="5"/>
  <c r="AT161" i="5"/>
  <c r="AU161" i="5" s="1"/>
  <c r="AS161" i="5"/>
  <c r="AQ161" i="5"/>
  <c r="AT160" i="5"/>
  <c r="AU160" i="5" s="1"/>
  <c r="AS160" i="5"/>
  <c r="AQ160" i="5"/>
  <c r="AT159" i="5"/>
  <c r="AU159" i="5" s="1"/>
  <c r="AS159" i="5"/>
  <c r="AQ159" i="5"/>
  <c r="AT158" i="5"/>
  <c r="AU158" i="5" s="1"/>
  <c r="AS158" i="5"/>
  <c r="AQ158" i="5"/>
  <c r="AT191" i="5"/>
  <c r="AU191" i="5" s="1"/>
  <c r="AS191" i="5"/>
  <c r="AQ191" i="5"/>
  <c r="AT157" i="5"/>
  <c r="AU157" i="5" s="1"/>
  <c r="AS157" i="5"/>
  <c r="AQ157" i="5"/>
  <c r="AT156" i="5"/>
  <c r="AU156" i="5" s="1"/>
  <c r="AS156" i="5"/>
  <c r="AQ156" i="5"/>
  <c r="AT155" i="5"/>
  <c r="AU155" i="5" s="1"/>
  <c r="AS155" i="5"/>
  <c r="AQ155" i="5"/>
  <c r="AT154" i="5"/>
  <c r="AU154" i="5" s="1"/>
  <c r="AS154" i="5"/>
  <c r="AQ154" i="5"/>
  <c r="AT153" i="5"/>
  <c r="AU153" i="5" s="1"/>
  <c r="AS153" i="5"/>
  <c r="AQ153" i="5"/>
  <c r="AT152" i="5"/>
  <c r="AU152" i="5" s="1"/>
  <c r="AS152" i="5"/>
  <c r="AQ152" i="5"/>
  <c r="AT151" i="5"/>
  <c r="AU151" i="5" s="1"/>
  <c r="AS151" i="5"/>
  <c r="AQ151" i="5"/>
  <c r="AT150" i="5"/>
  <c r="AU150" i="5" s="1"/>
  <c r="AS150" i="5"/>
  <c r="AQ150" i="5"/>
  <c r="AT149" i="5"/>
  <c r="AU149" i="5" s="1"/>
  <c r="AS149" i="5"/>
  <c r="AQ149" i="5"/>
  <c r="AT148" i="5"/>
  <c r="AU148" i="5" s="1"/>
  <c r="AS148" i="5"/>
  <c r="AQ148" i="5"/>
  <c r="AT147" i="5"/>
  <c r="AU147" i="5" s="1"/>
  <c r="AS147" i="5"/>
  <c r="AQ147" i="5"/>
  <c r="AT146" i="5"/>
  <c r="AU146" i="5" s="1"/>
  <c r="AS146" i="5"/>
  <c r="AQ146" i="5"/>
  <c r="AT145" i="5"/>
  <c r="AU145" i="5" s="1"/>
  <c r="AS145" i="5"/>
  <c r="AQ145" i="5"/>
  <c r="AT144" i="5"/>
  <c r="AU144" i="5" s="1"/>
  <c r="AS144" i="5"/>
  <c r="AQ144" i="5"/>
  <c r="AT143" i="5"/>
  <c r="AU143" i="5" s="1"/>
  <c r="AS143" i="5"/>
  <c r="AQ143" i="5"/>
  <c r="AT142" i="5"/>
  <c r="AU142" i="5" s="1"/>
  <c r="AS142" i="5"/>
  <c r="AQ142" i="5"/>
  <c r="AT141" i="5"/>
  <c r="AU141" i="5" s="1"/>
  <c r="AS141" i="5"/>
  <c r="AQ141" i="5"/>
  <c r="AT140" i="5"/>
  <c r="AU140" i="5" s="1"/>
  <c r="AS140" i="5"/>
  <c r="AQ140" i="5"/>
  <c r="AT139" i="5"/>
  <c r="AU139" i="5" s="1"/>
  <c r="AS139" i="5"/>
  <c r="AQ139" i="5"/>
  <c r="AT138" i="5"/>
  <c r="AU138" i="5" s="1"/>
  <c r="AS138" i="5"/>
  <c r="AQ138" i="5"/>
  <c r="AT137" i="5"/>
  <c r="AU137" i="5" s="1"/>
  <c r="AS137" i="5"/>
  <c r="AQ137" i="5"/>
  <c r="AT136" i="5"/>
  <c r="AU136" i="5" s="1"/>
  <c r="AS136" i="5"/>
  <c r="AQ136" i="5"/>
  <c r="AT135" i="5"/>
  <c r="AU135" i="5" s="1"/>
  <c r="AS135" i="5"/>
  <c r="AQ135" i="5"/>
  <c r="AT134" i="5"/>
  <c r="AU134" i="5" s="1"/>
  <c r="AS134" i="5"/>
  <c r="AQ134" i="5"/>
  <c r="AT133" i="5"/>
  <c r="AU133" i="5" s="1"/>
  <c r="AS133" i="5"/>
  <c r="AQ133" i="5"/>
  <c r="AT132" i="5"/>
  <c r="AU132" i="5" s="1"/>
  <c r="AS132" i="5"/>
  <c r="AQ132" i="5"/>
  <c r="AT131" i="5"/>
  <c r="AU131" i="5" s="1"/>
  <c r="AS131" i="5"/>
  <c r="AQ131" i="5"/>
  <c r="AT130" i="5"/>
  <c r="AU130" i="5" s="1"/>
  <c r="AS130" i="5"/>
  <c r="AQ130" i="5"/>
  <c r="AT129" i="5"/>
  <c r="AU129" i="5" s="1"/>
  <c r="AS129" i="5"/>
  <c r="AQ129" i="5"/>
  <c r="AT128" i="5"/>
  <c r="AU128" i="5" s="1"/>
  <c r="AS128" i="5"/>
  <c r="AQ128" i="5"/>
  <c r="AT127" i="5"/>
  <c r="AU127" i="5" s="1"/>
  <c r="AS127" i="5"/>
  <c r="AQ127" i="5"/>
  <c r="AT126" i="5"/>
  <c r="AU126" i="5" s="1"/>
  <c r="AS126" i="5"/>
  <c r="AQ126" i="5"/>
  <c r="AT125" i="5"/>
  <c r="AU125" i="5" s="1"/>
  <c r="AS125" i="5"/>
  <c r="AQ125" i="5"/>
  <c r="AT124" i="5"/>
  <c r="AU124" i="5" s="1"/>
  <c r="AS124" i="5"/>
  <c r="AQ124" i="5"/>
  <c r="AT123" i="5"/>
  <c r="AU123" i="5" s="1"/>
  <c r="AS123" i="5"/>
  <c r="AQ123" i="5"/>
  <c r="AT122" i="5"/>
  <c r="AU122" i="5" s="1"/>
  <c r="AS122" i="5"/>
  <c r="AQ122" i="5"/>
  <c r="AT121" i="5"/>
  <c r="AU121" i="5" s="1"/>
  <c r="AS121" i="5"/>
  <c r="AQ121" i="5"/>
  <c r="AT120" i="5"/>
  <c r="AU120" i="5" s="1"/>
  <c r="AS120" i="5"/>
  <c r="AQ120" i="5"/>
  <c r="AT119" i="5"/>
  <c r="AU119" i="5" s="1"/>
  <c r="AS119" i="5"/>
  <c r="AQ119" i="5"/>
  <c r="AT118" i="5"/>
  <c r="AU118" i="5" s="1"/>
  <c r="AS118" i="5"/>
  <c r="AQ118" i="5"/>
  <c r="AT117" i="5"/>
  <c r="AU117" i="5" s="1"/>
  <c r="AS117" i="5"/>
  <c r="AQ117" i="5"/>
  <c r="AT116" i="5"/>
  <c r="AU116" i="5" s="1"/>
  <c r="AS116" i="5"/>
  <c r="AQ116" i="5"/>
  <c r="AT115" i="5"/>
  <c r="AU115" i="5" s="1"/>
  <c r="AS115" i="5"/>
  <c r="AQ115" i="5"/>
  <c r="AT114" i="5"/>
  <c r="AU114" i="5" s="1"/>
  <c r="AS114" i="5"/>
  <c r="AQ114" i="5"/>
  <c r="AT113" i="5"/>
  <c r="AU113" i="5" s="1"/>
  <c r="AS113" i="5"/>
  <c r="AQ113" i="5"/>
  <c r="AT112" i="5"/>
  <c r="AU112" i="5" s="1"/>
  <c r="AS112" i="5"/>
  <c r="AQ112" i="5"/>
  <c r="AT111" i="5"/>
  <c r="AU111" i="5" s="1"/>
  <c r="AS111" i="5"/>
  <c r="AQ111" i="5"/>
  <c r="AT110" i="5"/>
  <c r="AU110" i="5" s="1"/>
  <c r="AS110" i="5"/>
  <c r="AQ110" i="5"/>
  <c r="AT109" i="5"/>
  <c r="AU109" i="5" s="1"/>
  <c r="AS109" i="5"/>
  <c r="AQ109" i="5"/>
  <c r="AT108" i="5"/>
  <c r="AU108" i="5" s="1"/>
  <c r="AS108" i="5"/>
  <c r="AQ108" i="5"/>
  <c r="AT107" i="5"/>
  <c r="AU107" i="5" s="1"/>
  <c r="AS107" i="5"/>
  <c r="AQ107" i="5"/>
  <c r="AT106" i="5"/>
  <c r="AU106" i="5" s="1"/>
  <c r="AS106" i="5"/>
  <c r="AQ106" i="5"/>
  <c r="AT105" i="5"/>
  <c r="AU105" i="5" s="1"/>
  <c r="AS105" i="5"/>
  <c r="AQ105" i="5"/>
  <c r="AT104" i="5"/>
  <c r="AU104" i="5" s="1"/>
  <c r="AS104" i="5"/>
  <c r="AQ104" i="5"/>
  <c r="AT103" i="5"/>
  <c r="AU103" i="5" s="1"/>
  <c r="AS103" i="5"/>
  <c r="AQ103" i="5"/>
  <c r="AT102" i="5"/>
  <c r="AU102" i="5" s="1"/>
  <c r="AS102" i="5"/>
  <c r="AQ102" i="5"/>
  <c r="AT101" i="5"/>
  <c r="AU101" i="5" s="1"/>
  <c r="AS101" i="5"/>
  <c r="AQ101" i="5"/>
  <c r="AT100" i="5"/>
  <c r="AU100" i="5" s="1"/>
  <c r="AS100" i="5"/>
  <c r="AQ100" i="5"/>
  <c r="AT99" i="5"/>
  <c r="AU99" i="5" s="1"/>
  <c r="AS99" i="5"/>
  <c r="AQ99" i="5"/>
  <c r="AT98" i="5"/>
  <c r="AU98" i="5" s="1"/>
  <c r="AS98" i="5"/>
  <c r="AQ98" i="5"/>
  <c r="AT97" i="5"/>
  <c r="AU97" i="5" s="1"/>
  <c r="AS97" i="5"/>
  <c r="AQ97" i="5"/>
  <c r="AT96" i="5"/>
  <c r="AU96" i="5" s="1"/>
  <c r="AS96" i="5"/>
  <c r="AQ96" i="5"/>
  <c r="AT95" i="5"/>
  <c r="AU95" i="5" s="1"/>
  <c r="AS95" i="5"/>
  <c r="AQ95" i="5"/>
  <c r="AT94" i="5"/>
  <c r="AU94" i="5" s="1"/>
  <c r="AS94" i="5"/>
  <c r="AQ94" i="5"/>
  <c r="AT93" i="5"/>
  <c r="AU93" i="5" s="1"/>
  <c r="AS93" i="5"/>
  <c r="AQ93" i="5"/>
  <c r="AT92" i="5"/>
  <c r="AU92" i="5" s="1"/>
  <c r="AS92" i="5"/>
  <c r="AQ92" i="5"/>
  <c r="AT91" i="5"/>
  <c r="AU91" i="5" s="1"/>
  <c r="AS91" i="5"/>
  <c r="AQ91" i="5"/>
  <c r="AT90" i="5"/>
  <c r="AU90" i="5" s="1"/>
  <c r="AS90" i="5"/>
  <c r="AQ90" i="5"/>
  <c r="AT89" i="5"/>
  <c r="AU89" i="5" s="1"/>
  <c r="AS89" i="5"/>
  <c r="AQ89" i="5"/>
  <c r="AT88" i="5"/>
  <c r="AU88" i="5" s="1"/>
  <c r="AS88" i="5"/>
  <c r="AQ88" i="5"/>
  <c r="AT87" i="5"/>
  <c r="AU87" i="5" s="1"/>
  <c r="AS87" i="5"/>
  <c r="AQ87" i="5"/>
  <c r="AT86" i="5"/>
  <c r="AU86" i="5" s="1"/>
  <c r="AS86" i="5"/>
  <c r="AQ86" i="5"/>
  <c r="AT85" i="5"/>
  <c r="AU85" i="5" s="1"/>
  <c r="AS85" i="5"/>
  <c r="AQ85" i="5"/>
  <c r="AT84" i="5"/>
  <c r="AU84" i="5" s="1"/>
  <c r="AS84" i="5"/>
  <c r="AQ84" i="5"/>
  <c r="AT83" i="5"/>
  <c r="AU83" i="5" s="1"/>
  <c r="AS83" i="5"/>
  <c r="AQ83" i="5"/>
  <c r="AT82" i="5"/>
  <c r="AU82" i="5" s="1"/>
  <c r="AS82" i="5"/>
  <c r="AQ82" i="5"/>
  <c r="AT81" i="5"/>
  <c r="AU81" i="5" s="1"/>
  <c r="AS81" i="5"/>
  <c r="AQ81" i="5"/>
  <c r="AT80" i="5"/>
  <c r="AU80" i="5" s="1"/>
  <c r="AS80" i="5"/>
  <c r="AQ80" i="5"/>
  <c r="AT79" i="5"/>
  <c r="AU79" i="5" s="1"/>
  <c r="AS79" i="5"/>
  <c r="AQ79" i="5"/>
  <c r="AT78" i="5"/>
  <c r="AU78" i="5" s="1"/>
  <c r="AS78" i="5"/>
  <c r="AQ78" i="5"/>
  <c r="AT77" i="5"/>
  <c r="AU77" i="5" s="1"/>
  <c r="AS77" i="5"/>
  <c r="AQ77" i="5"/>
  <c r="AQ59" i="5"/>
  <c r="AS59" i="5"/>
  <c r="AT59" i="5"/>
  <c r="AU59" i="5" s="1"/>
  <c r="AQ60" i="5"/>
  <c r="AS60" i="5"/>
  <c r="AT60" i="5"/>
  <c r="AU60" i="5" s="1"/>
  <c r="AQ61" i="5"/>
  <c r="AS61" i="5"/>
  <c r="AT61" i="5"/>
  <c r="AU61" i="5" s="1"/>
  <c r="AQ62" i="5"/>
  <c r="AS62" i="5"/>
  <c r="AT62" i="5"/>
  <c r="AU62" i="5" s="1"/>
  <c r="AQ63" i="5"/>
  <c r="AS63" i="5"/>
  <c r="AT63" i="5"/>
  <c r="AU63" i="5" s="1"/>
  <c r="AQ64" i="5"/>
  <c r="AS64" i="5"/>
  <c r="AT64" i="5"/>
  <c r="AU64" i="5" s="1"/>
  <c r="AQ65" i="5"/>
  <c r="AS65" i="5"/>
  <c r="AT65" i="5"/>
  <c r="AU65" i="5" s="1"/>
  <c r="AQ66" i="5"/>
  <c r="AS66" i="5"/>
  <c r="AT66" i="5"/>
  <c r="AU66" i="5" s="1"/>
  <c r="AQ67" i="5"/>
  <c r="AS67" i="5"/>
  <c r="AT67" i="5"/>
  <c r="AU67" i="5" s="1"/>
  <c r="AQ68" i="5"/>
  <c r="AS68" i="5"/>
  <c r="AT68" i="5"/>
  <c r="AU68" i="5" s="1"/>
  <c r="AQ69" i="5"/>
  <c r="AS69" i="5"/>
  <c r="AT69" i="5"/>
  <c r="AU69" i="5" s="1"/>
  <c r="AQ70" i="5"/>
  <c r="AS70" i="5"/>
  <c r="AT70" i="5"/>
  <c r="AU70" i="5" s="1"/>
  <c r="AQ71" i="5"/>
  <c r="AS71" i="5"/>
  <c r="AT71" i="5"/>
  <c r="AU71" i="5" s="1"/>
  <c r="AQ72" i="5"/>
  <c r="AS72" i="5"/>
  <c r="AT72" i="5"/>
  <c r="AU72" i="5" s="1"/>
  <c r="AQ73" i="5"/>
  <c r="AS73" i="5"/>
  <c r="AT73" i="5"/>
  <c r="AU73" i="5" s="1"/>
  <c r="AQ74" i="5"/>
  <c r="AS74" i="5"/>
  <c r="AT74" i="5"/>
  <c r="AU74" i="5" s="1"/>
  <c r="AQ75" i="5"/>
  <c r="AS75" i="5"/>
  <c r="AT75" i="5"/>
  <c r="AU75" i="5" s="1"/>
  <c r="AQ76" i="5"/>
  <c r="AS76" i="5"/>
  <c r="AT76" i="5"/>
  <c r="AU76" i="5" s="1"/>
  <c r="AT58" i="5"/>
  <c r="AU58" i="5" s="1"/>
  <c r="AS58" i="5"/>
  <c r="AQ58" i="5"/>
  <c r="H56" i="5"/>
  <c r="G56" i="5"/>
  <c r="AT56" i="5"/>
  <c r="AU56" i="5" s="1"/>
  <c r="AS56" i="5"/>
  <c r="AQ56" i="5"/>
  <c r="AQ45" i="5"/>
  <c r="AS45" i="5"/>
  <c r="AT45" i="5"/>
  <c r="AU45" i="5" s="1"/>
  <c r="AQ46" i="5"/>
  <c r="AS46" i="5"/>
  <c r="AT46" i="5"/>
  <c r="AU46" i="5" s="1"/>
  <c r="AQ47" i="5"/>
  <c r="AS47" i="5"/>
  <c r="AT47" i="5"/>
  <c r="AU47" i="5" s="1"/>
  <c r="AQ48" i="5"/>
  <c r="AS48" i="5"/>
  <c r="AT48" i="5"/>
  <c r="AU48" i="5" s="1"/>
  <c r="AQ49" i="5"/>
  <c r="AS49" i="5"/>
  <c r="AT49" i="5"/>
  <c r="AU49" i="5" s="1"/>
  <c r="AQ50" i="5"/>
  <c r="AS50" i="5"/>
  <c r="AT50" i="5"/>
  <c r="AU50" i="5" s="1"/>
  <c r="AQ51" i="5"/>
  <c r="AS51" i="5"/>
  <c r="AT51" i="5"/>
  <c r="AU51" i="5" s="1"/>
  <c r="AQ52" i="5"/>
  <c r="AS52" i="5"/>
  <c r="AT52" i="5"/>
  <c r="AU52" i="5" s="1"/>
  <c r="AQ53" i="5"/>
  <c r="AS53" i="5"/>
  <c r="AT53" i="5"/>
  <c r="AU53" i="5" s="1"/>
  <c r="AQ54" i="5"/>
  <c r="AS54" i="5"/>
  <c r="AT54" i="5"/>
  <c r="AU54" i="5" s="1"/>
  <c r="AQ55" i="5"/>
  <c r="AS55" i="5"/>
  <c r="AT55" i="5"/>
  <c r="AU55" i="5" s="1"/>
  <c r="AT44" i="5"/>
  <c r="AU44" i="5" s="1"/>
  <c r="AS44" i="5"/>
  <c r="AQ44" i="5"/>
  <c r="AT42" i="5"/>
  <c r="AU42" i="5" s="1"/>
  <c r="AS42" i="5"/>
  <c r="AQ42" i="5"/>
  <c r="AT41" i="5"/>
  <c r="AU41" i="5" s="1"/>
  <c r="AS41" i="5"/>
  <c r="AQ41" i="5"/>
  <c r="AT40" i="5"/>
  <c r="AU40" i="5" s="1"/>
  <c r="AS40" i="5"/>
  <c r="AQ40" i="5"/>
  <c r="AT39" i="5"/>
  <c r="AU39" i="5" s="1"/>
  <c r="AS39" i="5"/>
  <c r="AQ39" i="5"/>
  <c r="AT38" i="5"/>
  <c r="AU38" i="5" s="1"/>
  <c r="AS38" i="5"/>
  <c r="AQ38" i="5"/>
  <c r="AS13" i="5"/>
  <c r="AT13" i="5"/>
  <c r="AU13" i="5" s="1"/>
  <c r="AS14" i="5"/>
  <c r="AT14" i="5"/>
  <c r="AU14" i="5" s="1"/>
  <c r="AS15" i="5"/>
  <c r="AT15" i="5"/>
  <c r="AU15" i="5" s="1"/>
  <c r="AS16" i="5"/>
  <c r="AT16" i="5"/>
  <c r="AU16" i="5" s="1"/>
  <c r="AS17" i="5"/>
  <c r="AT17" i="5"/>
  <c r="AU17" i="5" s="1"/>
  <c r="AS18" i="5"/>
  <c r="AT18" i="5"/>
  <c r="AU18" i="5" s="1"/>
  <c r="AS19" i="5"/>
  <c r="AT19" i="5"/>
  <c r="AU19" i="5" s="1"/>
  <c r="AS20" i="5"/>
  <c r="AT20" i="5"/>
  <c r="AU20" i="5" s="1"/>
  <c r="AS21" i="5"/>
  <c r="AT21" i="5"/>
  <c r="AU21" i="5" s="1"/>
  <c r="AS22" i="5"/>
  <c r="AT22" i="5"/>
  <c r="AU22" i="5" s="1"/>
  <c r="AS23" i="5"/>
  <c r="AT23" i="5"/>
  <c r="AU23" i="5" s="1"/>
  <c r="AS24" i="5"/>
  <c r="AT24" i="5"/>
  <c r="AU24" i="5" s="1"/>
  <c r="AS25" i="5"/>
  <c r="AT25" i="5"/>
  <c r="AU25" i="5" s="1"/>
  <c r="AS26" i="5"/>
  <c r="AT26" i="5"/>
  <c r="AU26" i="5" s="1"/>
  <c r="AS27" i="5"/>
  <c r="AT27" i="5"/>
  <c r="AU27" i="5" s="1"/>
  <c r="AS28" i="5"/>
  <c r="AT28" i="5"/>
  <c r="AU28" i="5" s="1"/>
  <c r="AS29" i="5"/>
  <c r="AT29" i="5"/>
  <c r="AU29" i="5" s="1"/>
  <c r="AS30" i="5"/>
  <c r="AT30" i="5"/>
  <c r="AU30" i="5" s="1"/>
  <c r="AS31" i="5"/>
  <c r="AT31" i="5"/>
  <c r="AU31" i="5" s="1"/>
  <c r="AS32" i="5"/>
  <c r="AT32" i="5"/>
  <c r="AU32" i="5" s="1"/>
  <c r="AS33" i="5"/>
  <c r="AT33" i="5"/>
  <c r="AU33" i="5" s="1"/>
  <c r="AS34" i="5"/>
  <c r="AT34" i="5"/>
  <c r="AU34" i="5" s="1"/>
  <c r="AS35" i="5"/>
  <c r="AT35" i="5"/>
  <c r="AU35" i="5" s="1"/>
  <c r="AS36" i="5"/>
  <c r="AT36" i="5"/>
  <c r="AU36" i="5" s="1"/>
  <c r="AQ13" i="5"/>
  <c r="AQ14" i="5"/>
  <c r="AQ15" i="5"/>
  <c r="AQ16" i="5"/>
  <c r="AQ17" i="5"/>
  <c r="AQ18" i="5"/>
  <c r="AQ19" i="5"/>
  <c r="AQ20" i="5"/>
  <c r="AQ21" i="5"/>
  <c r="AQ22" i="5"/>
  <c r="AQ23" i="5"/>
  <c r="AQ24" i="5"/>
  <c r="AQ25" i="5"/>
  <c r="AQ26" i="5"/>
  <c r="AQ27" i="5"/>
  <c r="AQ28" i="5"/>
  <c r="AQ29" i="5"/>
  <c r="AQ30" i="5"/>
  <c r="AQ31" i="5"/>
  <c r="AQ32" i="5"/>
  <c r="AQ33" i="5"/>
  <c r="AQ34" i="5"/>
  <c r="AQ35" i="5"/>
  <c r="AQ36" i="5"/>
  <c r="AT12" i="5"/>
  <c r="AU12" i="5" s="1"/>
  <c r="AS12" i="5"/>
  <c r="AQ12" i="5"/>
  <c r="AT11" i="5"/>
  <c r="AU11" i="5" s="1"/>
  <c r="AS11" i="5"/>
  <c r="AQ11" i="5"/>
  <c r="AT708" i="5" l="1"/>
  <c r="AQ201" i="5"/>
  <c r="AU201" i="5"/>
  <c r="AS201" i="5"/>
  <c r="AS57" i="5"/>
  <c r="AQ57" i="5"/>
  <c r="AU57" i="5"/>
  <c r="AS43" i="5"/>
  <c r="AU43" i="5"/>
  <c r="AQ43" i="5"/>
  <c r="AU37" i="5"/>
  <c r="AS37" i="5"/>
  <c r="AQ37" i="5"/>
  <c r="AQ10" i="5"/>
  <c r="AS10" i="5"/>
  <c r="AU10" i="5"/>
  <c r="AT9" i="5" l="1"/>
  <c r="AU9" i="5" s="1"/>
  <c r="AU8" i="5" s="1"/>
  <c r="AS9" i="5"/>
  <c r="AS8" i="5" s="1"/>
  <c r="AQ9" i="5"/>
  <c r="AQ8" i="5" s="1"/>
  <c r="AT705" i="5" s="1"/>
  <c r="AT7" i="5"/>
  <c r="AU7" i="5" s="1"/>
  <c r="AU6" i="5" s="1"/>
  <c r="AS7" i="5"/>
  <c r="AS6" i="5" s="1"/>
  <c r="AQ7" i="5"/>
  <c r="AQ6" i="5" s="1"/>
  <c r="L634" i="4"/>
  <c r="M634" i="4" s="1"/>
  <c r="M633" i="4" s="1"/>
  <c r="K634" i="4"/>
  <c r="K633" i="4" s="1"/>
  <c r="I634" i="4"/>
  <c r="I633" i="4" s="1"/>
  <c r="L632" i="4"/>
  <c r="M632" i="4" s="1"/>
  <c r="M631" i="4" s="1"/>
  <c r="K632" i="4"/>
  <c r="K631" i="4" s="1"/>
  <c r="I632" i="4"/>
  <c r="I631" i="4" s="1"/>
  <c r="L630" i="4"/>
  <c r="M630" i="4" s="1"/>
  <c r="M629" i="4" s="1"/>
  <c r="K630" i="4"/>
  <c r="K629" i="4" s="1"/>
  <c r="I630" i="4"/>
  <c r="I629" i="4" s="1"/>
  <c r="L628" i="4"/>
  <c r="M628" i="4" s="1"/>
  <c r="M627" i="4" s="1"/>
  <c r="K628" i="4"/>
  <c r="K627" i="4" s="1"/>
  <c r="I628" i="4"/>
  <c r="I627" i="4" s="1"/>
  <c r="L626" i="4"/>
  <c r="M626" i="4" s="1"/>
  <c r="K626" i="4"/>
  <c r="I626" i="4"/>
  <c r="L625" i="4"/>
  <c r="M625" i="4" s="1"/>
  <c r="K625" i="4"/>
  <c r="I625" i="4"/>
  <c r="L624" i="4"/>
  <c r="M624" i="4" s="1"/>
  <c r="K624" i="4"/>
  <c r="I624" i="4"/>
  <c r="L622" i="4"/>
  <c r="M622" i="4" s="1"/>
  <c r="M621" i="4" s="1"/>
  <c r="K622" i="4"/>
  <c r="K621" i="4" s="1"/>
  <c r="I622" i="4"/>
  <c r="I621" i="4" s="1"/>
  <c r="L620" i="4"/>
  <c r="M620" i="4" s="1"/>
  <c r="M619" i="4" s="1"/>
  <c r="K620" i="4"/>
  <c r="K619" i="4" s="1"/>
  <c r="I620" i="4"/>
  <c r="I619" i="4" s="1"/>
  <c r="L618" i="4"/>
  <c r="M618" i="4" s="1"/>
  <c r="M617" i="4" s="1"/>
  <c r="K618" i="4"/>
  <c r="K617" i="4" s="1"/>
  <c r="I618" i="4"/>
  <c r="I617" i="4" s="1"/>
  <c r="L616" i="4"/>
  <c r="M616" i="4" s="1"/>
  <c r="M615" i="4" s="1"/>
  <c r="K616" i="4"/>
  <c r="K615" i="4" s="1"/>
  <c r="I616" i="4"/>
  <c r="I615" i="4" s="1"/>
  <c r="L614" i="4"/>
  <c r="M614" i="4" s="1"/>
  <c r="M613" i="4" s="1"/>
  <c r="K614" i="4"/>
  <c r="K613" i="4" s="1"/>
  <c r="I614" i="4"/>
  <c r="I613" i="4" s="1"/>
  <c r="L612" i="4"/>
  <c r="M612" i="4" s="1"/>
  <c r="M611" i="4" s="1"/>
  <c r="K612" i="4"/>
  <c r="K611" i="4" s="1"/>
  <c r="I612" i="4"/>
  <c r="I611" i="4" s="1"/>
  <c r="L606" i="4"/>
  <c r="M606" i="4" s="1"/>
  <c r="M605" i="4" s="1"/>
  <c r="K606" i="4"/>
  <c r="I606" i="4"/>
  <c r="L604" i="4"/>
  <c r="M604" i="4" s="1"/>
  <c r="K604" i="4"/>
  <c r="I604" i="4"/>
  <c r="L603" i="4"/>
  <c r="M603" i="4" s="1"/>
  <c r="K603" i="4"/>
  <c r="I603" i="4"/>
  <c r="L602" i="4"/>
  <c r="M602" i="4" s="1"/>
  <c r="K602" i="4"/>
  <c r="I602" i="4"/>
  <c r="L601" i="4"/>
  <c r="M601" i="4" s="1"/>
  <c r="K601" i="4"/>
  <c r="I601" i="4"/>
  <c r="L599" i="4"/>
  <c r="M599" i="4" s="1"/>
  <c r="M598" i="4" s="1"/>
  <c r="K599" i="4"/>
  <c r="K598" i="4" s="1"/>
  <c r="I599" i="4"/>
  <c r="I598" i="4" s="1"/>
  <c r="L597" i="4"/>
  <c r="M597" i="4" s="1"/>
  <c r="M596" i="4" s="1"/>
  <c r="K597" i="4"/>
  <c r="K596" i="4" s="1"/>
  <c r="I597" i="4"/>
  <c r="I596" i="4" s="1"/>
  <c r="L595" i="4"/>
  <c r="M595" i="4" s="1"/>
  <c r="M594" i="4" s="1"/>
  <c r="K595" i="4"/>
  <c r="K594" i="4" s="1"/>
  <c r="I595" i="4"/>
  <c r="I594" i="4" s="1"/>
  <c r="L593" i="4"/>
  <c r="M593" i="4" s="1"/>
  <c r="M592" i="4" s="1"/>
  <c r="K593" i="4"/>
  <c r="K592" i="4" s="1"/>
  <c r="I593" i="4"/>
  <c r="I592" i="4" s="1"/>
  <c r="L591" i="4"/>
  <c r="M591" i="4" s="1"/>
  <c r="K591" i="4"/>
  <c r="I591" i="4"/>
  <c r="L590" i="4"/>
  <c r="M590" i="4" s="1"/>
  <c r="K590" i="4"/>
  <c r="I590" i="4"/>
  <c r="L588" i="4"/>
  <c r="M588" i="4" s="1"/>
  <c r="K588" i="4"/>
  <c r="I588" i="4"/>
  <c r="L587" i="4"/>
  <c r="M587" i="4" s="1"/>
  <c r="K587" i="4"/>
  <c r="I587" i="4"/>
  <c r="L585" i="4"/>
  <c r="M585" i="4" s="1"/>
  <c r="M584" i="4" s="1"/>
  <c r="K585" i="4"/>
  <c r="K584" i="4" s="1"/>
  <c r="I585" i="4"/>
  <c r="I584" i="4" s="1"/>
  <c r="L583" i="4"/>
  <c r="M583" i="4" s="1"/>
  <c r="K583" i="4"/>
  <c r="I583" i="4"/>
  <c r="L582" i="4"/>
  <c r="M582" i="4" s="1"/>
  <c r="K582" i="4"/>
  <c r="I582" i="4"/>
  <c r="L580" i="4"/>
  <c r="M580" i="4" s="1"/>
  <c r="K580" i="4"/>
  <c r="I580" i="4"/>
  <c r="L579" i="4"/>
  <c r="M579" i="4" s="1"/>
  <c r="K579" i="4"/>
  <c r="I579" i="4"/>
  <c r="L578" i="4"/>
  <c r="M578" i="4" s="1"/>
  <c r="K578" i="4"/>
  <c r="I578" i="4"/>
  <c r="L577" i="4"/>
  <c r="M577" i="4" s="1"/>
  <c r="K577" i="4"/>
  <c r="I577" i="4"/>
  <c r="L572" i="4"/>
  <c r="M572" i="4" s="1"/>
  <c r="K572" i="4"/>
  <c r="I572" i="4"/>
  <c r="L571" i="4"/>
  <c r="M571" i="4" s="1"/>
  <c r="K571" i="4"/>
  <c r="I571" i="4"/>
  <c r="L570" i="4"/>
  <c r="M570" i="4" s="1"/>
  <c r="K570" i="4"/>
  <c r="I570" i="4"/>
  <c r="L569" i="4"/>
  <c r="M569" i="4" s="1"/>
  <c r="K569" i="4"/>
  <c r="I569" i="4"/>
  <c r="L560" i="4"/>
  <c r="M560" i="4" s="1"/>
  <c r="M559" i="4" s="1"/>
  <c r="K560" i="4"/>
  <c r="K559" i="4" s="1"/>
  <c r="I560" i="4"/>
  <c r="I559" i="4" s="1"/>
  <c r="L558" i="4"/>
  <c r="M558" i="4" s="1"/>
  <c r="M557" i="4" s="1"/>
  <c r="K558" i="4"/>
  <c r="K557" i="4" s="1"/>
  <c r="I558" i="4"/>
  <c r="I557" i="4" s="1"/>
  <c r="L556" i="4"/>
  <c r="M556" i="4" s="1"/>
  <c r="M555" i="4" s="1"/>
  <c r="K556" i="4"/>
  <c r="K555" i="4" s="1"/>
  <c r="I556" i="4"/>
  <c r="I555" i="4" s="1"/>
  <c r="L554" i="4"/>
  <c r="M554" i="4" s="1"/>
  <c r="K554" i="4"/>
  <c r="I554" i="4"/>
  <c r="L553" i="4"/>
  <c r="M553" i="4" s="1"/>
  <c r="K553" i="4"/>
  <c r="I553" i="4"/>
  <c r="L551" i="4"/>
  <c r="M551" i="4" s="1"/>
  <c r="K551" i="4"/>
  <c r="I551" i="4"/>
  <c r="L550" i="4"/>
  <c r="M550" i="4" s="1"/>
  <c r="K550" i="4"/>
  <c r="I550" i="4"/>
  <c r="L548" i="4"/>
  <c r="M548" i="4" s="1"/>
  <c r="M547" i="4" s="1"/>
  <c r="K548" i="4"/>
  <c r="K547" i="4" s="1"/>
  <c r="I548" i="4"/>
  <c r="I547" i="4" s="1"/>
  <c r="L546" i="4"/>
  <c r="M546" i="4" s="1"/>
  <c r="M545" i="4" s="1"/>
  <c r="K546" i="4"/>
  <c r="K545" i="4" s="1"/>
  <c r="I546" i="4"/>
  <c r="I545" i="4" s="1"/>
  <c r="L544" i="4"/>
  <c r="M544" i="4" s="1"/>
  <c r="M543" i="4" s="1"/>
  <c r="K544" i="4"/>
  <c r="K543" i="4" s="1"/>
  <c r="I544" i="4"/>
  <c r="I543" i="4" s="1"/>
  <c r="L542" i="4"/>
  <c r="M542" i="4" s="1"/>
  <c r="M541" i="4" s="1"/>
  <c r="K542" i="4"/>
  <c r="K541" i="4" s="1"/>
  <c r="I542" i="4"/>
  <c r="I541" i="4" s="1"/>
  <c r="L540" i="4"/>
  <c r="M540" i="4" s="1"/>
  <c r="M539" i="4" s="1"/>
  <c r="K540" i="4"/>
  <c r="K539" i="4" s="1"/>
  <c r="I540" i="4"/>
  <c r="I539" i="4" s="1"/>
  <c r="L538" i="4"/>
  <c r="M538" i="4" s="1"/>
  <c r="M537" i="4" s="1"/>
  <c r="K538" i="4"/>
  <c r="K537" i="4" s="1"/>
  <c r="I538" i="4"/>
  <c r="I537" i="4" s="1"/>
  <c r="I532" i="4"/>
  <c r="K532" i="4"/>
  <c r="L532" i="4"/>
  <c r="M532" i="4" s="1"/>
  <c r="I533" i="4"/>
  <c r="K533" i="4"/>
  <c r="L533" i="4"/>
  <c r="M533" i="4" s="1"/>
  <c r="I534" i="4"/>
  <c r="K534" i="4"/>
  <c r="L534" i="4"/>
  <c r="M534" i="4" s="1"/>
  <c r="I535" i="4"/>
  <c r="K535" i="4"/>
  <c r="L535" i="4"/>
  <c r="M535" i="4" s="1"/>
  <c r="I536" i="4"/>
  <c r="K536" i="4"/>
  <c r="L536" i="4"/>
  <c r="M536" i="4" s="1"/>
  <c r="L531" i="4"/>
  <c r="M531" i="4" s="1"/>
  <c r="K531" i="4"/>
  <c r="I531" i="4"/>
  <c r="L529" i="4"/>
  <c r="M529" i="4" s="1"/>
  <c r="M528" i="4" s="1"/>
  <c r="K529" i="4"/>
  <c r="K528" i="4" s="1"/>
  <c r="I529" i="4"/>
  <c r="I528" i="4" s="1"/>
  <c r="L527" i="4"/>
  <c r="M527" i="4" s="1"/>
  <c r="K527" i="4"/>
  <c r="I527" i="4"/>
  <c r="L526" i="4"/>
  <c r="M526" i="4" s="1"/>
  <c r="K526" i="4"/>
  <c r="I526" i="4"/>
  <c r="L524" i="4"/>
  <c r="M524" i="4" s="1"/>
  <c r="K524" i="4"/>
  <c r="I524" i="4"/>
  <c r="L523" i="4"/>
  <c r="M523" i="4" s="1"/>
  <c r="K523" i="4"/>
  <c r="I523" i="4"/>
  <c r="L521" i="4"/>
  <c r="M521" i="4" s="1"/>
  <c r="M520" i="4" s="1"/>
  <c r="K521" i="4"/>
  <c r="K520" i="4" s="1"/>
  <c r="I521" i="4"/>
  <c r="I520" i="4" s="1"/>
  <c r="L519" i="4"/>
  <c r="M519" i="4" s="1"/>
  <c r="K519" i="4"/>
  <c r="I519" i="4"/>
  <c r="L518" i="4"/>
  <c r="M518" i="4" s="1"/>
  <c r="K518" i="4"/>
  <c r="I518" i="4"/>
  <c r="L516" i="4"/>
  <c r="M516" i="4" s="1"/>
  <c r="K516" i="4"/>
  <c r="I516" i="4"/>
  <c r="L515" i="4"/>
  <c r="M515" i="4" s="1"/>
  <c r="K515" i="4"/>
  <c r="I515" i="4"/>
  <c r="L513" i="4"/>
  <c r="M513" i="4" s="1"/>
  <c r="K513" i="4"/>
  <c r="I513" i="4"/>
  <c r="L512" i="4"/>
  <c r="M512" i="4" s="1"/>
  <c r="K512" i="4"/>
  <c r="I512" i="4"/>
  <c r="L511" i="4"/>
  <c r="M511" i="4" s="1"/>
  <c r="K511" i="4"/>
  <c r="I511" i="4"/>
  <c r="I510" i="4" s="1"/>
  <c r="L507" i="4"/>
  <c r="M507" i="4" s="1"/>
  <c r="K507" i="4"/>
  <c r="I507" i="4"/>
  <c r="L508" i="4"/>
  <c r="M508" i="4" s="1"/>
  <c r="K508" i="4"/>
  <c r="I508" i="4"/>
  <c r="L506" i="4"/>
  <c r="M506" i="4" s="1"/>
  <c r="K506" i="4"/>
  <c r="I506" i="4"/>
  <c r="L505" i="4"/>
  <c r="M505" i="4" s="1"/>
  <c r="K505" i="4"/>
  <c r="I505" i="4"/>
  <c r="L504" i="4"/>
  <c r="M504" i="4" s="1"/>
  <c r="K504" i="4"/>
  <c r="I504" i="4"/>
  <c r="L502" i="4"/>
  <c r="M502" i="4" s="1"/>
  <c r="K502" i="4"/>
  <c r="I502" i="4"/>
  <c r="L501" i="4"/>
  <c r="M501" i="4" s="1"/>
  <c r="K501" i="4"/>
  <c r="I501" i="4"/>
  <c r="L500" i="4"/>
  <c r="M500" i="4" s="1"/>
  <c r="K500" i="4"/>
  <c r="I500" i="4"/>
  <c r="L499" i="4"/>
  <c r="M499" i="4" s="1"/>
  <c r="K499" i="4"/>
  <c r="I499" i="4"/>
  <c r="L491" i="4"/>
  <c r="M491" i="4" s="1"/>
  <c r="K491" i="4"/>
  <c r="I491" i="4"/>
  <c r="L484" i="4"/>
  <c r="M484" i="4" s="1"/>
  <c r="K484" i="4"/>
  <c r="I484" i="4"/>
  <c r="L481" i="4"/>
  <c r="M481" i="4" s="1"/>
  <c r="M480" i="4" s="1"/>
  <c r="K481" i="4"/>
  <c r="K480" i="4" s="1"/>
  <c r="I481" i="4"/>
  <c r="I480" i="4" s="1"/>
  <c r="L479" i="4"/>
  <c r="M479" i="4" s="1"/>
  <c r="M478" i="4" s="1"/>
  <c r="K479" i="4"/>
  <c r="K478" i="4" s="1"/>
  <c r="I479" i="4"/>
  <c r="I478" i="4" s="1"/>
  <c r="L477" i="4"/>
  <c r="M477" i="4" s="1"/>
  <c r="M476" i="4" s="1"/>
  <c r="K477" i="4"/>
  <c r="K476" i="4" s="1"/>
  <c r="I477" i="4"/>
  <c r="I476" i="4" s="1"/>
  <c r="L475" i="4"/>
  <c r="M475" i="4" s="1"/>
  <c r="K475" i="4"/>
  <c r="I475" i="4"/>
  <c r="L474" i="4"/>
  <c r="M474" i="4" s="1"/>
  <c r="K474" i="4"/>
  <c r="I474" i="4"/>
  <c r="L472" i="4"/>
  <c r="M472" i="4" s="1"/>
  <c r="M471" i="4" s="1"/>
  <c r="K472" i="4"/>
  <c r="K471" i="4" s="1"/>
  <c r="I472" i="4"/>
  <c r="I471" i="4" s="1"/>
  <c r="L470" i="4"/>
  <c r="M470" i="4" s="1"/>
  <c r="M469" i="4" s="1"/>
  <c r="K470" i="4"/>
  <c r="K469" i="4" s="1"/>
  <c r="I470" i="4"/>
  <c r="I469" i="4" s="1"/>
  <c r="L468" i="4"/>
  <c r="M468" i="4" s="1"/>
  <c r="M467" i="4" s="1"/>
  <c r="K468" i="4"/>
  <c r="K467" i="4" s="1"/>
  <c r="I468" i="4"/>
  <c r="I467" i="4" s="1"/>
  <c r="L466" i="4"/>
  <c r="M466" i="4" s="1"/>
  <c r="M465" i="4" s="1"/>
  <c r="K466" i="4"/>
  <c r="K465" i="4" s="1"/>
  <c r="I466" i="4"/>
  <c r="I465" i="4" s="1"/>
  <c r="L464" i="4"/>
  <c r="M464" i="4" s="1"/>
  <c r="M463" i="4" s="1"/>
  <c r="K464" i="4"/>
  <c r="K463" i="4" s="1"/>
  <c r="I464" i="4"/>
  <c r="I463" i="4" s="1"/>
  <c r="L462" i="4"/>
  <c r="M462" i="4" s="1"/>
  <c r="M461" i="4" s="1"/>
  <c r="K462" i="4"/>
  <c r="K461" i="4" s="1"/>
  <c r="I462" i="4"/>
  <c r="I461" i="4" s="1"/>
  <c r="L460" i="4"/>
  <c r="M460" i="4" s="1"/>
  <c r="K460" i="4"/>
  <c r="I460" i="4"/>
  <c r="L459" i="4"/>
  <c r="M459" i="4" s="1"/>
  <c r="K459" i="4"/>
  <c r="I459" i="4"/>
  <c r="L458" i="4"/>
  <c r="M458" i="4" s="1"/>
  <c r="K458" i="4"/>
  <c r="I458" i="4"/>
  <c r="L457" i="4"/>
  <c r="M457" i="4" s="1"/>
  <c r="K457" i="4"/>
  <c r="I457" i="4"/>
  <c r="L454" i="4"/>
  <c r="M454" i="4" s="1"/>
  <c r="K454" i="4"/>
  <c r="I454" i="4"/>
  <c r="L453" i="4"/>
  <c r="M453" i="4" s="1"/>
  <c r="K453" i="4"/>
  <c r="I453" i="4"/>
  <c r="L452" i="4"/>
  <c r="M452" i="4" s="1"/>
  <c r="K452" i="4"/>
  <c r="I452" i="4"/>
  <c r="L451" i="4"/>
  <c r="M451" i="4" s="1"/>
  <c r="K451" i="4"/>
  <c r="I451" i="4"/>
  <c r="L448" i="4"/>
  <c r="M448" i="4" s="1"/>
  <c r="M447" i="4" s="1"/>
  <c r="K448" i="4"/>
  <c r="K447" i="4" s="1"/>
  <c r="I448" i="4"/>
  <c r="I447" i="4" s="1"/>
  <c r="L446" i="4"/>
  <c r="M446" i="4" s="1"/>
  <c r="M445" i="4" s="1"/>
  <c r="K446" i="4"/>
  <c r="K445" i="4" s="1"/>
  <c r="I446" i="4"/>
  <c r="I445" i="4" s="1"/>
  <c r="L444" i="4"/>
  <c r="M444" i="4" s="1"/>
  <c r="M443" i="4" s="1"/>
  <c r="K444" i="4"/>
  <c r="K443" i="4" s="1"/>
  <c r="I444" i="4"/>
  <c r="I443" i="4" s="1"/>
  <c r="L442" i="4"/>
  <c r="M442" i="4" s="1"/>
  <c r="M441" i="4" s="1"/>
  <c r="K442" i="4"/>
  <c r="K441" i="4" s="1"/>
  <c r="I442" i="4"/>
  <c r="I441" i="4" s="1"/>
  <c r="L440" i="4"/>
  <c r="M440" i="4" s="1"/>
  <c r="M439" i="4" s="1"/>
  <c r="K440" i="4"/>
  <c r="K439" i="4" s="1"/>
  <c r="I440" i="4"/>
  <c r="I439" i="4" s="1"/>
  <c r="I433" i="4"/>
  <c r="K433" i="4"/>
  <c r="L433" i="4"/>
  <c r="M433" i="4" s="1"/>
  <c r="I434" i="4"/>
  <c r="K434" i="4"/>
  <c r="L434" i="4"/>
  <c r="M434" i="4" s="1"/>
  <c r="I435" i="4"/>
  <c r="K435" i="4"/>
  <c r="L435" i="4"/>
  <c r="M435" i="4" s="1"/>
  <c r="I436" i="4"/>
  <c r="K436" i="4"/>
  <c r="L436" i="4"/>
  <c r="M436" i="4" s="1"/>
  <c r="L437" i="4"/>
  <c r="M437" i="4" s="1"/>
  <c r="K437" i="4"/>
  <c r="I437" i="4"/>
  <c r="L432" i="4"/>
  <c r="M432" i="4" s="1"/>
  <c r="K432" i="4"/>
  <c r="I432" i="4"/>
  <c r="L431" i="4"/>
  <c r="M431" i="4" s="1"/>
  <c r="K431" i="4"/>
  <c r="I431" i="4"/>
  <c r="L429" i="4"/>
  <c r="M429" i="4" s="1"/>
  <c r="M428" i="4" s="1"/>
  <c r="K429" i="4"/>
  <c r="K428" i="4" s="1"/>
  <c r="I429" i="4"/>
  <c r="I428" i="4" s="1"/>
  <c r="L427" i="4"/>
  <c r="M427" i="4" s="1"/>
  <c r="M426" i="4" s="1"/>
  <c r="K427" i="4"/>
  <c r="K426" i="4" s="1"/>
  <c r="I427" i="4"/>
  <c r="I426" i="4" s="1"/>
  <c r="L425" i="4"/>
  <c r="M425" i="4" s="1"/>
  <c r="M424" i="4" s="1"/>
  <c r="K425" i="4"/>
  <c r="K424" i="4" s="1"/>
  <c r="I425" i="4"/>
  <c r="I424" i="4" s="1"/>
  <c r="L423" i="4"/>
  <c r="M423" i="4" s="1"/>
  <c r="M422" i="4" s="1"/>
  <c r="K423" i="4"/>
  <c r="K422" i="4" s="1"/>
  <c r="I423" i="4"/>
  <c r="I422" i="4" s="1"/>
  <c r="L421" i="4"/>
  <c r="M421" i="4" s="1"/>
  <c r="M420" i="4" s="1"/>
  <c r="K421" i="4"/>
  <c r="K420" i="4" s="1"/>
  <c r="I421" i="4"/>
  <c r="I420" i="4" s="1"/>
  <c r="L419" i="4"/>
  <c r="M419" i="4" s="1"/>
  <c r="M418" i="4" s="1"/>
  <c r="K419" i="4"/>
  <c r="K418" i="4" s="1"/>
  <c r="I419" i="4"/>
  <c r="I418" i="4" s="1"/>
  <c r="L417" i="4"/>
  <c r="M417" i="4" s="1"/>
  <c r="K417" i="4"/>
  <c r="I417" i="4"/>
  <c r="L416" i="4"/>
  <c r="M416" i="4" s="1"/>
  <c r="K416" i="4"/>
  <c r="I416" i="4"/>
  <c r="I412" i="4"/>
  <c r="K412" i="4"/>
  <c r="L412" i="4"/>
  <c r="M412" i="4" s="1"/>
  <c r="I413" i="4"/>
  <c r="K413" i="4"/>
  <c r="L413" i="4"/>
  <c r="M413" i="4" s="1"/>
  <c r="I414" i="4"/>
  <c r="K414" i="4"/>
  <c r="L414" i="4"/>
  <c r="M414" i="4" s="1"/>
  <c r="L411" i="4"/>
  <c r="M411" i="4" s="1"/>
  <c r="K411" i="4"/>
  <c r="I411" i="4"/>
  <c r="L409" i="4"/>
  <c r="M409" i="4" s="1"/>
  <c r="M408" i="4" s="1"/>
  <c r="K409" i="4"/>
  <c r="K408" i="4" s="1"/>
  <c r="I409" i="4"/>
  <c r="I408" i="4" s="1"/>
  <c r="L407" i="4"/>
  <c r="M407" i="4" s="1"/>
  <c r="M406" i="4" s="1"/>
  <c r="K407" i="4"/>
  <c r="K406" i="4" s="1"/>
  <c r="I407" i="4"/>
  <c r="I406" i="4" s="1"/>
  <c r="L405" i="4"/>
  <c r="M405" i="4" s="1"/>
  <c r="K405" i="4"/>
  <c r="I405" i="4"/>
  <c r="L404" i="4"/>
  <c r="M404" i="4" s="1"/>
  <c r="K404" i="4"/>
  <c r="I404" i="4"/>
  <c r="L402" i="4"/>
  <c r="M402" i="4" s="1"/>
  <c r="K402" i="4"/>
  <c r="I402" i="4"/>
  <c r="L400" i="4"/>
  <c r="M400" i="4" s="1"/>
  <c r="K400" i="4"/>
  <c r="I400" i="4"/>
  <c r="L398" i="4"/>
  <c r="M398" i="4" s="1"/>
  <c r="K398" i="4"/>
  <c r="I398" i="4"/>
  <c r="L397" i="4"/>
  <c r="M397" i="4" s="1"/>
  <c r="K397" i="4"/>
  <c r="I397" i="4"/>
  <c r="L395" i="4"/>
  <c r="M395" i="4" s="1"/>
  <c r="K395" i="4"/>
  <c r="I395" i="4"/>
  <c r="L394" i="4"/>
  <c r="M394" i="4" s="1"/>
  <c r="K394" i="4"/>
  <c r="I394" i="4"/>
  <c r="I386" i="4"/>
  <c r="K386" i="4"/>
  <c r="L386" i="4"/>
  <c r="M386" i="4" s="1"/>
  <c r="I387" i="4"/>
  <c r="K387" i="4"/>
  <c r="L387" i="4"/>
  <c r="M387" i="4" s="1"/>
  <c r="I388" i="4"/>
  <c r="K388" i="4"/>
  <c r="L388" i="4"/>
  <c r="M388" i="4" s="1"/>
  <c r="I389" i="4"/>
  <c r="K389" i="4"/>
  <c r="L389" i="4"/>
  <c r="M389" i="4" s="1"/>
  <c r="I390" i="4"/>
  <c r="K390" i="4"/>
  <c r="L390" i="4"/>
  <c r="M390" i="4" s="1"/>
  <c r="I391" i="4"/>
  <c r="K391" i="4"/>
  <c r="L391" i="4"/>
  <c r="M391" i="4" s="1"/>
  <c r="I392" i="4"/>
  <c r="K392" i="4"/>
  <c r="L392" i="4"/>
  <c r="M392" i="4" s="1"/>
  <c r="L385" i="4"/>
  <c r="M385" i="4" s="1"/>
  <c r="K385" i="4"/>
  <c r="I385" i="4"/>
  <c r="L382" i="4"/>
  <c r="M382" i="4" s="1"/>
  <c r="K382" i="4"/>
  <c r="I382" i="4"/>
  <c r="L381" i="4"/>
  <c r="M381" i="4" s="1"/>
  <c r="K381" i="4"/>
  <c r="I381" i="4"/>
  <c r="L380" i="4"/>
  <c r="M380" i="4" s="1"/>
  <c r="K380" i="4"/>
  <c r="I380" i="4"/>
  <c r="L379" i="4"/>
  <c r="M379" i="4" s="1"/>
  <c r="K379" i="4"/>
  <c r="I379" i="4"/>
  <c r="L376" i="4"/>
  <c r="M376" i="4" s="1"/>
  <c r="K376" i="4"/>
  <c r="I376" i="4"/>
  <c r="L377" i="4"/>
  <c r="M377" i="4" s="1"/>
  <c r="K377" i="4"/>
  <c r="I377" i="4"/>
  <c r="L374" i="4"/>
  <c r="M374" i="4" s="1"/>
  <c r="M373" i="4" s="1"/>
  <c r="K374" i="4"/>
  <c r="K373" i="4" s="1"/>
  <c r="I374" i="4"/>
  <c r="I373" i="4" s="1"/>
  <c r="L371" i="4"/>
  <c r="M371" i="4" s="1"/>
  <c r="K371" i="4"/>
  <c r="I371" i="4"/>
  <c r="L370" i="4"/>
  <c r="M370" i="4" s="1"/>
  <c r="K370" i="4"/>
  <c r="I370" i="4"/>
  <c r="L369" i="4"/>
  <c r="M369" i="4" s="1"/>
  <c r="K369" i="4"/>
  <c r="I369" i="4"/>
  <c r="L366" i="4"/>
  <c r="M366" i="4" s="1"/>
  <c r="K366" i="4"/>
  <c r="K367" i="4" s="1"/>
  <c r="I366" i="4"/>
  <c r="I367" i="4" s="1"/>
  <c r="L363" i="4"/>
  <c r="M363" i="4" s="1"/>
  <c r="K363" i="4"/>
  <c r="I363" i="4"/>
  <c r="L362" i="4"/>
  <c r="M362" i="4" s="1"/>
  <c r="K362" i="4"/>
  <c r="I362" i="4"/>
  <c r="L361" i="4"/>
  <c r="M361" i="4" s="1"/>
  <c r="K361" i="4"/>
  <c r="I361" i="4"/>
  <c r="L360" i="4"/>
  <c r="M360" i="4" s="1"/>
  <c r="K360" i="4"/>
  <c r="I360" i="4"/>
  <c r="L357" i="4"/>
  <c r="M357" i="4" s="1"/>
  <c r="K357" i="4"/>
  <c r="I357" i="4"/>
  <c r="L356" i="4"/>
  <c r="M356" i="4" s="1"/>
  <c r="K356" i="4"/>
  <c r="I356" i="4"/>
  <c r="L355" i="4"/>
  <c r="M355" i="4" s="1"/>
  <c r="K355" i="4"/>
  <c r="I355" i="4"/>
  <c r="L354" i="4"/>
  <c r="M354" i="4" s="1"/>
  <c r="K354" i="4"/>
  <c r="I354" i="4"/>
  <c r="L353" i="4"/>
  <c r="M353" i="4" s="1"/>
  <c r="K353" i="4"/>
  <c r="I353" i="4"/>
  <c r="L352" i="4"/>
  <c r="M352" i="4" s="1"/>
  <c r="K352" i="4"/>
  <c r="I352" i="4"/>
  <c r="L350" i="4"/>
  <c r="M350" i="4" s="1"/>
  <c r="K350" i="4"/>
  <c r="I350" i="4"/>
  <c r="L349" i="4"/>
  <c r="M349" i="4" s="1"/>
  <c r="K349" i="4"/>
  <c r="I349" i="4"/>
  <c r="L348" i="4"/>
  <c r="M348" i="4" s="1"/>
  <c r="K348" i="4"/>
  <c r="I348" i="4"/>
  <c r="L347" i="4"/>
  <c r="M347" i="4" s="1"/>
  <c r="K347" i="4"/>
  <c r="I347" i="4"/>
  <c r="I339" i="4"/>
  <c r="K339" i="4"/>
  <c r="L339" i="4"/>
  <c r="M339" i="4" s="1"/>
  <c r="I340" i="4"/>
  <c r="K340" i="4"/>
  <c r="L340" i="4"/>
  <c r="M340" i="4" s="1"/>
  <c r="I341" i="4"/>
  <c r="K341" i="4"/>
  <c r="L341" i="4"/>
  <c r="M341" i="4" s="1"/>
  <c r="I342" i="4"/>
  <c r="K342" i="4"/>
  <c r="L342" i="4"/>
  <c r="M342" i="4" s="1"/>
  <c r="I343" i="4"/>
  <c r="K343" i="4"/>
  <c r="L343" i="4"/>
  <c r="M343" i="4" s="1"/>
  <c r="I344" i="4"/>
  <c r="K344" i="4"/>
  <c r="L344" i="4"/>
  <c r="M344" i="4" s="1"/>
  <c r="K510" i="4" l="1"/>
  <c r="M510" i="4"/>
  <c r="M483" i="4"/>
  <c r="K483" i="4"/>
  <c r="AS5" i="5"/>
  <c r="AT701" i="5" s="1"/>
  <c r="AT713" i="5" s="1"/>
  <c r="F8" i="6" s="1"/>
  <c r="AQ5" i="5"/>
  <c r="AT700" i="5" s="1"/>
  <c r="AT712" i="5" s="1"/>
  <c r="D8" i="6" s="1"/>
  <c r="AU5" i="5"/>
  <c r="I605" i="4"/>
  <c r="K605" i="4"/>
  <c r="M623" i="4"/>
  <c r="M610" i="4" s="1"/>
  <c r="I623" i="4"/>
  <c r="I610" i="4" s="1"/>
  <c r="L651" i="4" s="1"/>
  <c r="K623" i="4"/>
  <c r="K610" i="4" s="1"/>
  <c r="L652" i="4" s="1"/>
  <c r="I600" i="4"/>
  <c r="K600" i="4"/>
  <c r="M600" i="4"/>
  <c r="K589" i="4"/>
  <c r="M589" i="4"/>
  <c r="K586" i="4"/>
  <c r="M581" i="4"/>
  <c r="I589" i="4"/>
  <c r="M586" i="4"/>
  <c r="I581" i="4"/>
  <c r="K576" i="4"/>
  <c r="K581" i="4"/>
  <c r="I586" i="4"/>
  <c r="M576" i="4"/>
  <c r="I576" i="4"/>
  <c r="I573" i="4"/>
  <c r="K573" i="4"/>
  <c r="I552" i="4"/>
  <c r="K552" i="4"/>
  <c r="K549" i="4"/>
  <c r="M549" i="4"/>
  <c r="M552" i="4"/>
  <c r="I549" i="4"/>
  <c r="K525" i="4"/>
  <c r="I530" i="4"/>
  <c r="K530" i="4"/>
  <c r="M530" i="4"/>
  <c r="I525" i="4"/>
  <c r="M525" i="4"/>
  <c r="K522" i="4"/>
  <c r="M522" i="4"/>
  <c r="I522" i="4"/>
  <c r="K517" i="4"/>
  <c r="I514" i="4"/>
  <c r="M517" i="4"/>
  <c r="K514" i="4"/>
  <c r="M514" i="4"/>
  <c r="I517" i="4"/>
  <c r="I509" i="4"/>
  <c r="I483" i="4"/>
  <c r="K509" i="4"/>
  <c r="I503" i="4"/>
  <c r="K503" i="4"/>
  <c r="K473" i="4"/>
  <c r="I473" i="4"/>
  <c r="M473" i="4"/>
  <c r="M456" i="4"/>
  <c r="I456" i="4"/>
  <c r="K456" i="4"/>
  <c r="I455" i="4"/>
  <c r="K455" i="4"/>
  <c r="K450" i="4" s="1"/>
  <c r="I438" i="4"/>
  <c r="I430" i="4" s="1"/>
  <c r="K438" i="4"/>
  <c r="K415" i="4"/>
  <c r="M415" i="4"/>
  <c r="I415" i="4"/>
  <c r="K410" i="4"/>
  <c r="I410" i="4"/>
  <c r="M410" i="4"/>
  <c r="M393" i="4"/>
  <c r="I403" i="4"/>
  <c r="K403" i="4"/>
  <c r="K396" i="4"/>
  <c r="I393" i="4"/>
  <c r="M396" i="4"/>
  <c r="K393" i="4"/>
  <c r="M403" i="4"/>
  <c r="K399" i="4"/>
  <c r="M399" i="4"/>
  <c r="I396" i="4"/>
  <c r="I399" i="4"/>
  <c r="K375" i="4"/>
  <c r="K384" i="4"/>
  <c r="I384" i="4"/>
  <c r="M384" i="4"/>
  <c r="M375" i="4"/>
  <c r="I375" i="4"/>
  <c r="I383" i="4"/>
  <c r="K383" i="4"/>
  <c r="K378" i="4" s="1"/>
  <c r="I372" i="4"/>
  <c r="I368" i="4" s="1"/>
  <c r="K372" i="4"/>
  <c r="K368" i="4" s="1"/>
  <c r="M367" i="4"/>
  <c r="M365" i="4" s="1"/>
  <c r="I365" i="4"/>
  <c r="K365" i="4"/>
  <c r="K364" i="4"/>
  <c r="I364" i="4"/>
  <c r="I359" i="4" s="1"/>
  <c r="K346" i="4"/>
  <c r="M346" i="4"/>
  <c r="I346" i="4"/>
  <c r="I358" i="4"/>
  <c r="K358" i="4"/>
  <c r="K351" i="4" s="1"/>
  <c r="L338" i="4"/>
  <c r="M338" i="4" s="1"/>
  <c r="K338" i="4"/>
  <c r="K345" i="4" s="1"/>
  <c r="I338" i="4"/>
  <c r="L330" i="4"/>
  <c r="M330" i="4" s="1"/>
  <c r="M329" i="4" s="1"/>
  <c r="K330" i="4"/>
  <c r="K329" i="4" s="1"/>
  <c r="I330" i="4"/>
  <c r="I329" i="4" s="1"/>
  <c r="L325" i="4"/>
  <c r="M325" i="4" s="1"/>
  <c r="K325" i="4"/>
  <c r="I325" i="4"/>
  <c r="L321" i="4"/>
  <c r="M321" i="4" s="1"/>
  <c r="K321" i="4"/>
  <c r="I321" i="4"/>
  <c r="L315" i="4"/>
  <c r="M315" i="4" s="1"/>
  <c r="M314" i="4" s="1"/>
  <c r="K315" i="4"/>
  <c r="K314" i="4" s="1"/>
  <c r="I315" i="4"/>
  <c r="I314" i="4" s="1"/>
  <c r="L308" i="4"/>
  <c r="M308" i="4" s="1"/>
  <c r="K308" i="4"/>
  <c r="I308" i="4"/>
  <c r="L302" i="4"/>
  <c r="M302" i="4" s="1"/>
  <c r="K302" i="4"/>
  <c r="I302" i="4"/>
  <c r="L294" i="4"/>
  <c r="M294" i="4" s="1"/>
  <c r="K294" i="4"/>
  <c r="I294" i="4"/>
  <c r="L287" i="4"/>
  <c r="M287" i="4" s="1"/>
  <c r="K287" i="4"/>
  <c r="I287" i="4"/>
  <c r="L280" i="4"/>
  <c r="M280" i="4" s="1"/>
  <c r="K280" i="4"/>
  <c r="I280" i="4"/>
  <c r="I261" i="4"/>
  <c r="K261" i="4"/>
  <c r="L261" i="4"/>
  <c r="M261" i="4" s="1"/>
  <c r="I262" i="4"/>
  <c r="K262" i="4"/>
  <c r="L262" i="4"/>
  <c r="M262" i="4" s="1"/>
  <c r="I263" i="4"/>
  <c r="K263" i="4"/>
  <c r="L263" i="4"/>
  <c r="M263" i="4" s="1"/>
  <c r="I264" i="4"/>
  <c r="K264" i="4"/>
  <c r="L264" i="4"/>
  <c r="M264" i="4" s="1"/>
  <c r="I265" i="4"/>
  <c r="K265" i="4"/>
  <c r="L265" i="4"/>
  <c r="M265" i="4" s="1"/>
  <c r="I266" i="4"/>
  <c r="K266" i="4"/>
  <c r="L266" i="4"/>
  <c r="M266" i="4" s="1"/>
  <c r="I267" i="4"/>
  <c r="K267" i="4"/>
  <c r="L267" i="4"/>
  <c r="M267" i="4" s="1"/>
  <c r="I268" i="4"/>
  <c r="K268" i="4"/>
  <c r="L268" i="4"/>
  <c r="M268" i="4" s="1"/>
  <c r="I269" i="4"/>
  <c r="K269" i="4"/>
  <c r="L269" i="4"/>
  <c r="M269" i="4" s="1"/>
  <c r="I270" i="4"/>
  <c r="K270" i="4"/>
  <c r="L270" i="4"/>
  <c r="M270" i="4" s="1"/>
  <c r="I271" i="4"/>
  <c r="K271" i="4"/>
  <c r="L271" i="4"/>
  <c r="M271" i="4" s="1"/>
  <c r="I272" i="4"/>
  <c r="K272" i="4"/>
  <c r="L272" i="4"/>
  <c r="M272" i="4" s="1"/>
  <c r="I273" i="4"/>
  <c r="K273" i="4"/>
  <c r="L273" i="4"/>
  <c r="M273" i="4" s="1"/>
  <c r="I274" i="4"/>
  <c r="K274" i="4"/>
  <c r="L274" i="4"/>
  <c r="M274" i="4" s="1"/>
  <c r="I275" i="4"/>
  <c r="K275" i="4"/>
  <c r="L275" i="4"/>
  <c r="M275" i="4" s="1"/>
  <c r="I276" i="4"/>
  <c r="K276" i="4"/>
  <c r="L276" i="4"/>
  <c r="M276" i="4" s="1"/>
  <c r="I277" i="4"/>
  <c r="K277" i="4"/>
  <c r="L277" i="4"/>
  <c r="M277" i="4" s="1"/>
  <c r="I278" i="4"/>
  <c r="K278" i="4"/>
  <c r="L278" i="4"/>
  <c r="M278" i="4" s="1"/>
  <c r="L260" i="4"/>
  <c r="M260" i="4" s="1"/>
  <c r="K260" i="4"/>
  <c r="I260" i="4"/>
  <c r="L257" i="4"/>
  <c r="M257" i="4" s="1"/>
  <c r="M256" i="4" s="1"/>
  <c r="K257" i="4"/>
  <c r="K256" i="4" s="1"/>
  <c r="I257" i="4"/>
  <c r="I256" i="4" s="1"/>
  <c r="L255" i="4"/>
  <c r="M255" i="4" s="1"/>
  <c r="M254" i="4" s="1"/>
  <c r="K255" i="4"/>
  <c r="K254" i="4" s="1"/>
  <c r="I255" i="4"/>
  <c r="I254" i="4" s="1"/>
  <c r="L253" i="4"/>
  <c r="M253" i="4" s="1"/>
  <c r="M252" i="4" s="1"/>
  <c r="K253" i="4"/>
  <c r="K252" i="4" s="1"/>
  <c r="I253" i="4"/>
  <c r="I252" i="4" s="1"/>
  <c r="L251" i="4"/>
  <c r="M251" i="4" s="1"/>
  <c r="M250" i="4" s="1"/>
  <c r="K251" i="4"/>
  <c r="K250" i="4" s="1"/>
  <c r="I251" i="4"/>
  <c r="I250" i="4" s="1"/>
  <c r="L249" i="4"/>
  <c r="M249" i="4" s="1"/>
  <c r="M248" i="4" s="1"/>
  <c r="K249" i="4"/>
  <c r="K248" i="4" s="1"/>
  <c r="I249" i="4"/>
  <c r="I248" i="4" s="1"/>
  <c r="L247" i="4"/>
  <c r="M247" i="4" s="1"/>
  <c r="M246" i="4" s="1"/>
  <c r="K247" i="4"/>
  <c r="K246" i="4" s="1"/>
  <c r="I247" i="4"/>
  <c r="I246" i="4" s="1"/>
  <c r="L245" i="4"/>
  <c r="M245" i="4" s="1"/>
  <c r="M244" i="4" s="1"/>
  <c r="K245" i="4"/>
  <c r="K244" i="4" s="1"/>
  <c r="I245" i="4"/>
  <c r="I244" i="4" s="1"/>
  <c r="L243" i="4"/>
  <c r="M243" i="4" s="1"/>
  <c r="M242" i="4" s="1"/>
  <c r="K243" i="4"/>
  <c r="K242" i="4" s="1"/>
  <c r="I243" i="4"/>
  <c r="I242" i="4" s="1"/>
  <c r="I236" i="4"/>
  <c r="K236" i="4"/>
  <c r="L236" i="4"/>
  <c r="M236" i="4" s="1"/>
  <c r="I237" i="4"/>
  <c r="K237" i="4"/>
  <c r="L237" i="4"/>
  <c r="M237" i="4" s="1"/>
  <c r="I238" i="4"/>
  <c r="K238" i="4"/>
  <c r="L238" i="4"/>
  <c r="M238" i="4" s="1"/>
  <c r="I239" i="4"/>
  <c r="K239" i="4"/>
  <c r="L239" i="4"/>
  <c r="M239" i="4" s="1"/>
  <c r="I240" i="4"/>
  <c r="K240" i="4"/>
  <c r="L240" i="4"/>
  <c r="M240" i="4" s="1"/>
  <c r="I241" i="4"/>
  <c r="K241" i="4"/>
  <c r="L241" i="4"/>
  <c r="M241" i="4" s="1"/>
  <c r="L235" i="4"/>
  <c r="M235" i="4" s="1"/>
  <c r="K235" i="4"/>
  <c r="I235" i="4"/>
  <c r="L233" i="4"/>
  <c r="M233" i="4" s="1"/>
  <c r="K233" i="4"/>
  <c r="I233" i="4"/>
  <c r="L232" i="4"/>
  <c r="M232" i="4" s="1"/>
  <c r="K232" i="4"/>
  <c r="I232" i="4"/>
  <c r="L231" i="4"/>
  <c r="M231" i="4" s="1"/>
  <c r="K231" i="4"/>
  <c r="I231" i="4"/>
  <c r="L230" i="4"/>
  <c r="M230" i="4" s="1"/>
  <c r="K230" i="4"/>
  <c r="I230" i="4"/>
  <c r="L229" i="4"/>
  <c r="M229" i="4" s="1"/>
  <c r="K229" i="4"/>
  <c r="K228" i="4" s="1"/>
  <c r="I229" i="4"/>
  <c r="L227" i="4"/>
  <c r="M227" i="4" s="1"/>
  <c r="K227" i="4"/>
  <c r="I227" i="4"/>
  <c r="L226" i="4"/>
  <c r="M226" i="4" s="1"/>
  <c r="K226" i="4"/>
  <c r="I226" i="4"/>
  <c r="L225" i="4"/>
  <c r="M225" i="4" s="1"/>
  <c r="K225" i="4"/>
  <c r="I225" i="4"/>
  <c r="L224" i="4"/>
  <c r="M224" i="4" s="1"/>
  <c r="K224" i="4"/>
  <c r="I224" i="4"/>
  <c r="L223" i="4"/>
  <c r="M223" i="4" s="1"/>
  <c r="K223" i="4"/>
  <c r="I223" i="4"/>
  <c r="L222" i="4"/>
  <c r="M222" i="4" s="1"/>
  <c r="K222" i="4"/>
  <c r="I222" i="4"/>
  <c r="I214" i="4"/>
  <c r="K214" i="4"/>
  <c r="L214" i="4"/>
  <c r="M214" i="4" s="1"/>
  <c r="I215" i="4"/>
  <c r="K215" i="4"/>
  <c r="L215" i="4"/>
  <c r="M215" i="4" s="1"/>
  <c r="I216" i="4"/>
  <c r="K216" i="4"/>
  <c r="L216" i="4"/>
  <c r="M216" i="4" s="1"/>
  <c r="I217" i="4"/>
  <c r="K217" i="4"/>
  <c r="L217" i="4"/>
  <c r="M217" i="4" s="1"/>
  <c r="I218" i="4"/>
  <c r="K218" i="4"/>
  <c r="L218" i="4"/>
  <c r="M218" i="4" s="1"/>
  <c r="I219" i="4"/>
  <c r="K219" i="4"/>
  <c r="L219" i="4"/>
  <c r="M219" i="4" s="1"/>
  <c r="I220" i="4"/>
  <c r="K220" i="4"/>
  <c r="L220" i="4"/>
  <c r="M220" i="4" s="1"/>
  <c r="L213" i="4"/>
  <c r="M213" i="4" s="1"/>
  <c r="K213" i="4"/>
  <c r="I213" i="4"/>
  <c r="L211" i="4"/>
  <c r="M211" i="4" s="1"/>
  <c r="M210" i="4" s="1"/>
  <c r="K211" i="4"/>
  <c r="K210" i="4" s="1"/>
  <c r="I211" i="4"/>
  <c r="I210" i="4" s="1"/>
  <c r="L209" i="4"/>
  <c r="M209" i="4" s="1"/>
  <c r="K209" i="4"/>
  <c r="I209" i="4"/>
  <c r="L208" i="4"/>
  <c r="M208" i="4" s="1"/>
  <c r="K208" i="4"/>
  <c r="I208" i="4"/>
  <c r="L207" i="4"/>
  <c r="M207" i="4" s="1"/>
  <c r="K207" i="4"/>
  <c r="I207" i="4"/>
  <c r="L206" i="4"/>
  <c r="M206" i="4" s="1"/>
  <c r="K206" i="4"/>
  <c r="I206" i="4"/>
  <c r="L205" i="4"/>
  <c r="M205" i="4" s="1"/>
  <c r="K205" i="4"/>
  <c r="I205" i="4"/>
  <c r="L204" i="4"/>
  <c r="M204" i="4" s="1"/>
  <c r="K204" i="4"/>
  <c r="I204" i="4"/>
  <c r="L191" i="4"/>
  <c r="M191" i="4" s="1"/>
  <c r="K191" i="4"/>
  <c r="I191" i="4"/>
  <c r="L185" i="4"/>
  <c r="M185" i="4" s="1"/>
  <c r="K185" i="4"/>
  <c r="K184" i="4" s="1"/>
  <c r="I185" i="4"/>
  <c r="I182" i="4"/>
  <c r="K182" i="4"/>
  <c r="L182" i="4"/>
  <c r="M182" i="4" s="1"/>
  <c r="I183" i="4"/>
  <c r="K183" i="4"/>
  <c r="L183" i="4"/>
  <c r="M183" i="4" s="1"/>
  <c r="L181" i="4"/>
  <c r="M181" i="4" s="1"/>
  <c r="K181" i="4"/>
  <c r="I181" i="4"/>
  <c r="L177" i="4"/>
  <c r="M177" i="4" s="1"/>
  <c r="K177" i="4"/>
  <c r="I177" i="4"/>
  <c r="L169" i="4"/>
  <c r="M169" i="4" s="1"/>
  <c r="K169" i="4"/>
  <c r="I169" i="4"/>
  <c r="L168" i="4"/>
  <c r="M168" i="4" s="1"/>
  <c r="K168" i="4"/>
  <c r="I168" i="4"/>
  <c r="L167" i="4"/>
  <c r="M167" i="4" s="1"/>
  <c r="K167" i="4"/>
  <c r="I167" i="4"/>
  <c r="L166" i="4"/>
  <c r="M166" i="4" s="1"/>
  <c r="K166" i="4"/>
  <c r="I166" i="4"/>
  <c r="M221" i="4" l="1"/>
  <c r="I184" i="4"/>
  <c r="M184" i="4"/>
  <c r="M228" i="4"/>
  <c r="K449" i="4"/>
  <c r="L643" i="4" s="1"/>
  <c r="K221" i="4"/>
  <c r="L653" i="4"/>
  <c r="AT702" i="5"/>
  <c r="H8" i="6"/>
  <c r="AT714" i="5"/>
  <c r="M573" i="4"/>
  <c r="K498" i="4"/>
  <c r="I498" i="4"/>
  <c r="M509" i="4"/>
  <c r="M503" i="4"/>
  <c r="M438" i="4"/>
  <c r="M430" i="4" s="1"/>
  <c r="M455" i="4"/>
  <c r="M450" i="4" s="1"/>
  <c r="M449" i="4" s="1"/>
  <c r="I450" i="4"/>
  <c r="I449" i="4" s="1"/>
  <c r="L642" i="4" s="1"/>
  <c r="K430" i="4"/>
  <c r="M383" i="4"/>
  <c r="M378" i="4" s="1"/>
  <c r="I378" i="4"/>
  <c r="M372" i="4"/>
  <c r="M368" i="4" s="1"/>
  <c r="M364" i="4"/>
  <c r="M359" i="4" s="1"/>
  <c r="K359" i="4"/>
  <c r="M358" i="4"/>
  <c r="M351" i="4" s="1"/>
  <c r="I351" i="4"/>
  <c r="I345" i="4"/>
  <c r="M320" i="4"/>
  <c r="I320" i="4"/>
  <c r="K320" i="4"/>
  <c r="M301" i="4"/>
  <c r="I301" i="4"/>
  <c r="K301" i="4"/>
  <c r="M279" i="4"/>
  <c r="I279" i="4"/>
  <c r="K279" i="4"/>
  <c r="K259" i="4"/>
  <c r="M259" i="4"/>
  <c r="I259" i="4"/>
  <c r="I228" i="4"/>
  <c r="I234" i="4"/>
  <c r="K234" i="4"/>
  <c r="M234" i="4"/>
  <c r="I221" i="4"/>
  <c r="K212" i="4"/>
  <c r="I212" i="4"/>
  <c r="M212" i="4"/>
  <c r="I203" i="4"/>
  <c r="K203" i="4"/>
  <c r="M203" i="4"/>
  <c r="I176" i="4"/>
  <c r="M176" i="4"/>
  <c r="K176" i="4"/>
  <c r="I159" i="4"/>
  <c r="K159" i="4"/>
  <c r="L159" i="4"/>
  <c r="M159" i="4" s="1"/>
  <c r="I160" i="4"/>
  <c r="K160" i="4"/>
  <c r="L160" i="4"/>
  <c r="M160" i="4" s="1"/>
  <c r="I161" i="4"/>
  <c r="K161" i="4"/>
  <c r="L161" i="4"/>
  <c r="M161" i="4" s="1"/>
  <c r="I162" i="4"/>
  <c r="K162" i="4"/>
  <c r="L162" i="4"/>
  <c r="M162" i="4" s="1"/>
  <c r="I163" i="4"/>
  <c r="K163" i="4"/>
  <c r="L163" i="4"/>
  <c r="M163" i="4" s="1"/>
  <c r="I164" i="4"/>
  <c r="K164" i="4"/>
  <c r="L164" i="4"/>
  <c r="M164" i="4" s="1"/>
  <c r="I165" i="4"/>
  <c r="K165" i="4"/>
  <c r="L165" i="4"/>
  <c r="M165" i="4" s="1"/>
  <c r="L155" i="4"/>
  <c r="M155" i="4" s="1"/>
  <c r="K155" i="4"/>
  <c r="I155" i="4"/>
  <c r="L152" i="4"/>
  <c r="M152" i="4" s="1"/>
  <c r="K152" i="4"/>
  <c r="I152" i="4"/>
  <c r="L149" i="4"/>
  <c r="M149" i="4" s="1"/>
  <c r="K149" i="4"/>
  <c r="I149" i="4"/>
  <c r="L146" i="4"/>
  <c r="M146" i="4" s="1"/>
  <c r="K146" i="4"/>
  <c r="I146" i="4"/>
  <c r="L143" i="4"/>
  <c r="M143" i="4" s="1"/>
  <c r="K143" i="4"/>
  <c r="I143" i="4"/>
  <c r="L140" i="4"/>
  <c r="M140" i="4" s="1"/>
  <c r="K140" i="4"/>
  <c r="I140" i="4"/>
  <c r="L137" i="4"/>
  <c r="M137" i="4" s="1"/>
  <c r="K137" i="4"/>
  <c r="I137" i="4"/>
  <c r="L134" i="4"/>
  <c r="M134" i="4" s="1"/>
  <c r="K134" i="4"/>
  <c r="I134" i="4"/>
  <c r="L131" i="4"/>
  <c r="M131" i="4" s="1"/>
  <c r="K131" i="4"/>
  <c r="I131" i="4"/>
  <c r="L128" i="4"/>
  <c r="M128" i="4" s="1"/>
  <c r="K128" i="4"/>
  <c r="I128" i="4"/>
  <c r="L125" i="4"/>
  <c r="M125" i="4" s="1"/>
  <c r="K125" i="4"/>
  <c r="I125" i="4"/>
  <c r="L122" i="4"/>
  <c r="M122" i="4" s="1"/>
  <c r="K122" i="4"/>
  <c r="I122" i="4"/>
  <c r="L119" i="4"/>
  <c r="M119" i="4" s="1"/>
  <c r="K119" i="4"/>
  <c r="I119" i="4"/>
  <c r="L116" i="4"/>
  <c r="M116" i="4" s="1"/>
  <c r="K116" i="4"/>
  <c r="I116" i="4"/>
  <c r="L113" i="4"/>
  <c r="M113" i="4" s="1"/>
  <c r="K113" i="4"/>
  <c r="I113" i="4"/>
  <c r="L110" i="4"/>
  <c r="M110" i="4" s="1"/>
  <c r="K110" i="4"/>
  <c r="I110" i="4"/>
  <c r="L107" i="4"/>
  <c r="M107" i="4" s="1"/>
  <c r="K107" i="4"/>
  <c r="I107" i="4"/>
  <c r="L104" i="4"/>
  <c r="M104" i="4" s="1"/>
  <c r="K104" i="4"/>
  <c r="I104" i="4"/>
  <c r="L101" i="4"/>
  <c r="M101" i="4" s="1"/>
  <c r="K101" i="4"/>
  <c r="I101" i="4"/>
  <c r="L98" i="4"/>
  <c r="M98" i="4" s="1"/>
  <c r="K98" i="4"/>
  <c r="I98" i="4"/>
  <c r="L95" i="4"/>
  <c r="M95" i="4" s="1"/>
  <c r="K95" i="4"/>
  <c r="I95" i="4"/>
  <c r="L92" i="4"/>
  <c r="M92" i="4" s="1"/>
  <c r="K92" i="4"/>
  <c r="I92" i="4"/>
  <c r="L89" i="4"/>
  <c r="M89" i="4" s="1"/>
  <c r="K89" i="4"/>
  <c r="I89" i="4"/>
  <c r="L86" i="4"/>
  <c r="M86" i="4" s="1"/>
  <c r="K86" i="4"/>
  <c r="I86" i="4"/>
  <c r="L81" i="4"/>
  <c r="M81" i="4" s="1"/>
  <c r="K81" i="4"/>
  <c r="I81" i="4"/>
  <c r="L76" i="4"/>
  <c r="M76" i="4" s="1"/>
  <c r="K76" i="4"/>
  <c r="I76" i="4"/>
  <c r="L71" i="4"/>
  <c r="M71" i="4" s="1"/>
  <c r="K71" i="4"/>
  <c r="I71" i="4"/>
  <c r="L66" i="4"/>
  <c r="M66" i="4" s="1"/>
  <c r="K66" i="4"/>
  <c r="I66" i="4"/>
  <c r="L61" i="4"/>
  <c r="M61" i="4" s="1"/>
  <c r="K61" i="4"/>
  <c r="I61" i="4"/>
  <c r="L158" i="4"/>
  <c r="M158" i="4" s="1"/>
  <c r="K158" i="4"/>
  <c r="I158" i="4"/>
  <c r="L54" i="4"/>
  <c r="M54" i="4" s="1"/>
  <c r="K54" i="4"/>
  <c r="I54" i="4"/>
  <c r="L48" i="4"/>
  <c r="M48" i="4" s="1"/>
  <c r="M47" i="4" s="1"/>
  <c r="K48" i="4"/>
  <c r="K47" i="4" s="1"/>
  <c r="I48" i="4"/>
  <c r="L42" i="4"/>
  <c r="M42" i="4" s="1"/>
  <c r="K42" i="4"/>
  <c r="I42" i="4"/>
  <c r="L37" i="4"/>
  <c r="M37" i="4" s="1"/>
  <c r="K37" i="4"/>
  <c r="I37" i="4"/>
  <c r="L33" i="4"/>
  <c r="M33" i="4" s="1"/>
  <c r="K33" i="4"/>
  <c r="I33" i="4"/>
  <c r="L28" i="4"/>
  <c r="M28" i="4" s="1"/>
  <c r="K28" i="4"/>
  <c r="I28" i="4"/>
  <c r="L23" i="4"/>
  <c r="M23" i="4" s="1"/>
  <c r="K23" i="4"/>
  <c r="I23" i="4"/>
  <c r="L17" i="4"/>
  <c r="M17" i="4" s="1"/>
  <c r="K17" i="4"/>
  <c r="I17" i="4"/>
  <c r="L13" i="4"/>
  <c r="M13" i="4" s="1"/>
  <c r="K13" i="4"/>
  <c r="I13" i="4"/>
  <c r="I11" i="4"/>
  <c r="K11" i="4"/>
  <c r="L11" i="4"/>
  <c r="M11" i="4" s="1"/>
  <c r="I12" i="4"/>
  <c r="K12" i="4"/>
  <c r="L12" i="4"/>
  <c r="M12" i="4" s="1"/>
  <c r="I170" i="4"/>
  <c r="K170" i="4"/>
  <c r="L170" i="4"/>
  <c r="M170" i="4" s="1"/>
  <c r="I172" i="4"/>
  <c r="K172" i="4"/>
  <c r="L172" i="4"/>
  <c r="M172" i="4" s="1"/>
  <c r="I173" i="4"/>
  <c r="K173" i="4"/>
  <c r="L173" i="4"/>
  <c r="M173" i="4" s="1"/>
  <c r="I174" i="4"/>
  <c r="K174" i="4"/>
  <c r="L174" i="4"/>
  <c r="M174" i="4" s="1"/>
  <c r="I175" i="4"/>
  <c r="K175" i="4"/>
  <c r="L175" i="4"/>
  <c r="M175" i="4" s="1"/>
  <c r="K337" i="4"/>
  <c r="I575" i="4"/>
  <c r="K574" i="4"/>
  <c r="K575" i="4" s="1"/>
  <c r="L574" i="4"/>
  <c r="M574" i="4" s="1"/>
  <c r="L10" i="4"/>
  <c r="M10" i="4" s="1"/>
  <c r="K10" i="4"/>
  <c r="I10" i="4"/>
  <c r="L5" i="4"/>
  <c r="M5" i="4" s="1"/>
  <c r="K5" i="4"/>
  <c r="I5" i="4"/>
  <c r="L22" i="3"/>
  <c r="M22" i="3" s="1"/>
  <c r="K22" i="3"/>
  <c r="I22" i="3"/>
  <c r="L31" i="3"/>
  <c r="M31" i="3" s="1"/>
  <c r="K31" i="3"/>
  <c r="I31" i="3"/>
  <c r="L29" i="3"/>
  <c r="M29" i="3" s="1"/>
  <c r="K29" i="3"/>
  <c r="I29" i="3"/>
  <c r="L28" i="3"/>
  <c r="M28" i="3" s="1"/>
  <c r="K28" i="3"/>
  <c r="I28" i="3"/>
  <c r="L26" i="3"/>
  <c r="M26" i="3" s="1"/>
  <c r="K26" i="3"/>
  <c r="I26" i="3"/>
  <c r="L25" i="3"/>
  <c r="M25" i="3" s="1"/>
  <c r="K25" i="3"/>
  <c r="I25" i="3"/>
  <c r="L24" i="3"/>
  <c r="M24" i="3" s="1"/>
  <c r="K24" i="3"/>
  <c r="I24" i="3"/>
  <c r="L20" i="3"/>
  <c r="M20" i="3" s="1"/>
  <c r="K20" i="3"/>
  <c r="I20" i="3"/>
  <c r="L19" i="3"/>
  <c r="M19" i="3" s="1"/>
  <c r="K19" i="3"/>
  <c r="I19" i="3"/>
  <c r="L18" i="3"/>
  <c r="M18" i="3" s="1"/>
  <c r="K18" i="3"/>
  <c r="I18" i="3"/>
  <c r="I14" i="3"/>
  <c r="K14" i="3"/>
  <c r="L14" i="3"/>
  <c r="M14" i="3" s="1"/>
  <c r="I15" i="3"/>
  <c r="K15" i="3"/>
  <c r="L15" i="3"/>
  <c r="M15" i="3" s="1"/>
  <c r="L16" i="3"/>
  <c r="M16" i="3" s="1"/>
  <c r="K16" i="3"/>
  <c r="I16" i="3"/>
  <c r="L13" i="3"/>
  <c r="M13" i="3" s="1"/>
  <c r="K13" i="3"/>
  <c r="I13" i="3"/>
  <c r="L11" i="3"/>
  <c r="M11" i="3" s="1"/>
  <c r="K11" i="3"/>
  <c r="I11" i="3"/>
  <c r="L10" i="3"/>
  <c r="M10" i="3" s="1"/>
  <c r="K10" i="3"/>
  <c r="I10" i="3"/>
  <c r="L9" i="3"/>
  <c r="M9" i="3" s="1"/>
  <c r="K9" i="3"/>
  <c r="I9" i="3"/>
  <c r="L7" i="3"/>
  <c r="M7" i="3" s="1"/>
  <c r="K7" i="3"/>
  <c r="I7" i="3"/>
  <c r="L6" i="3"/>
  <c r="M6" i="3" s="1"/>
  <c r="K6" i="3"/>
  <c r="I6" i="3"/>
  <c r="L5" i="3"/>
  <c r="M5" i="3" s="1"/>
  <c r="K5" i="3"/>
  <c r="I5" i="3"/>
  <c r="L169" i="1"/>
  <c r="M169" i="1" s="1"/>
  <c r="K169" i="1"/>
  <c r="I169" i="1"/>
  <c r="L168" i="1"/>
  <c r="M168" i="1" s="1"/>
  <c r="K168" i="1"/>
  <c r="I168" i="1"/>
  <c r="L167" i="1"/>
  <c r="M167" i="1" s="1"/>
  <c r="K167" i="1"/>
  <c r="I167" i="1"/>
  <c r="L166" i="1"/>
  <c r="M166" i="1" s="1"/>
  <c r="K166" i="1"/>
  <c r="I166" i="1"/>
  <c r="L165" i="1"/>
  <c r="M165" i="1" s="1"/>
  <c r="K165" i="1"/>
  <c r="I165" i="1"/>
  <c r="L164" i="1"/>
  <c r="M164" i="1" s="1"/>
  <c r="K164" i="1"/>
  <c r="I164" i="1"/>
  <c r="L163" i="1"/>
  <c r="M163" i="1" s="1"/>
  <c r="K163" i="1"/>
  <c r="I163" i="1"/>
  <c r="L162" i="1"/>
  <c r="M162" i="1" s="1"/>
  <c r="K162" i="1"/>
  <c r="I162" i="1"/>
  <c r="L161" i="1"/>
  <c r="M161" i="1" s="1"/>
  <c r="K161" i="1"/>
  <c r="I161" i="1"/>
  <c r="L160" i="1"/>
  <c r="M160" i="1" s="1"/>
  <c r="K160" i="1"/>
  <c r="I160" i="1"/>
  <c r="L159" i="1"/>
  <c r="M159" i="1" s="1"/>
  <c r="K159" i="1"/>
  <c r="I159" i="1"/>
  <c r="L158" i="1"/>
  <c r="M158" i="1" s="1"/>
  <c r="K158" i="1"/>
  <c r="I158" i="1"/>
  <c r="L157" i="1"/>
  <c r="M157" i="1" s="1"/>
  <c r="K157" i="1"/>
  <c r="I157" i="1"/>
  <c r="L156" i="1"/>
  <c r="M156" i="1" s="1"/>
  <c r="K156" i="1"/>
  <c r="I156" i="1"/>
  <c r="L155" i="1"/>
  <c r="M155" i="1" s="1"/>
  <c r="K155" i="1"/>
  <c r="I155" i="1"/>
  <c r="L154" i="1"/>
  <c r="M154" i="1" s="1"/>
  <c r="K154" i="1"/>
  <c r="I154" i="1"/>
  <c r="L153" i="1"/>
  <c r="M153" i="1" s="1"/>
  <c r="K153" i="1"/>
  <c r="I153" i="1"/>
  <c r="L152" i="1"/>
  <c r="M152" i="1" s="1"/>
  <c r="K152" i="1"/>
  <c r="I152" i="1"/>
  <c r="L151" i="1"/>
  <c r="M151" i="1" s="1"/>
  <c r="K151" i="1"/>
  <c r="I151" i="1"/>
  <c r="L150" i="1"/>
  <c r="M150" i="1" s="1"/>
  <c r="K150" i="1"/>
  <c r="I150" i="1"/>
  <c r="L149" i="1"/>
  <c r="M149" i="1" s="1"/>
  <c r="K149" i="1"/>
  <c r="I149" i="1"/>
  <c r="L148" i="1"/>
  <c r="M148" i="1" s="1"/>
  <c r="K148" i="1"/>
  <c r="I148" i="1"/>
  <c r="L147" i="1"/>
  <c r="M147" i="1" s="1"/>
  <c r="K147" i="1"/>
  <c r="I147" i="1"/>
  <c r="L146" i="1"/>
  <c r="M146" i="1" s="1"/>
  <c r="K146" i="1"/>
  <c r="I146" i="1"/>
  <c r="L145" i="1"/>
  <c r="M145" i="1" s="1"/>
  <c r="K145" i="1"/>
  <c r="I145" i="1"/>
  <c r="L144" i="1"/>
  <c r="M144" i="1" s="1"/>
  <c r="K144" i="1"/>
  <c r="I144" i="1"/>
  <c r="L142" i="1"/>
  <c r="M142" i="1" s="1"/>
  <c r="K142" i="1"/>
  <c r="I142" i="1"/>
  <c r="L141" i="1"/>
  <c r="M141" i="1" s="1"/>
  <c r="K141" i="1"/>
  <c r="I141" i="1"/>
  <c r="I138" i="1"/>
  <c r="K138" i="1"/>
  <c r="L138" i="1"/>
  <c r="M138" i="1" s="1"/>
  <c r="I139" i="1"/>
  <c r="K139" i="1"/>
  <c r="L139" i="1"/>
  <c r="M139" i="1" s="1"/>
  <c r="L137" i="1"/>
  <c r="M137" i="1" s="1"/>
  <c r="K137" i="1"/>
  <c r="I137" i="1"/>
  <c r="L135" i="1"/>
  <c r="M135" i="1" s="1"/>
  <c r="K135" i="1"/>
  <c r="I135" i="1"/>
  <c r="L134" i="1"/>
  <c r="M134" i="1" s="1"/>
  <c r="K134" i="1"/>
  <c r="I134" i="1"/>
  <c r="L131" i="1"/>
  <c r="M131" i="1" s="1"/>
  <c r="M130" i="1" s="1"/>
  <c r="K131" i="1"/>
  <c r="K130" i="1" s="1"/>
  <c r="I131" i="1"/>
  <c r="I130" i="1" s="1"/>
  <c r="L129" i="1"/>
  <c r="M129" i="1" s="1"/>
  <c r="K129" i="1"/>
  <c r="I129" i="1"/>
  <c r="L128" i="1"/>
  <c r="M128" i="1" s="1"/>
  <c r="K128" i="1"/>
  <c r="I128" i="1"/>
  <c r="L126" i="1"/>
  <c r="M126" i="1" s="1"/>
  <c r="K126" i="1"/>
  <c r="I126" i="1"/>
  <c r="L125" i="1"/>
  <c r="M125" i="1" s="1"/>
  <c r="K125" i="1"/>
  <c r="I125" i="1"/>
  <c r="L124" i="1"/>
  <c r="M124" i="1" s="1"/>
  <c r="K124" i="1"/>
  <c r="I124" i="1"/>
  <c r="L123" i="1"/>
  <c r="M123" i="1" s="1"/>
  <c r="K123" i="1"/>
  <c r="I123" i="1"/>
  <c r="I119" i="1"/>
  <c r="K119" i="1"/>
  <c r="L119" i="1"/>
  <c r="M119" i="1" s="1"/>
  <c r="I120" i="1"/>
  <c r="K120" i="1"/>
  <c r="L120" i="1"/>
  <c r="M120" i="1" s="1"/>
  <c r="I121" i="1"/>
  <c r="K121" i="1"/>
  <c r="L121" i="1"/>
  <c r="M121" i="1" s="1"/>
  <c r="I111" i="1"/>
  <c r="K111" i="1"/>
  <c r="L111" i="1"/>
  <c r="M111" i="1" s="1"/>
  <c r="I112" i="1"/>
  <c r="K112" i="1"/>
  <c r="L112" i="1"/>
  <c r="M112" i="1" s="1"/>
  <c r="I113" i="1"/>
  <c r="K113" i="1"/>
  <c r="L113" i="1"/>
  <c r="M113" i="1" s="1"/>
  <c r="I114" i="1"/>
  <c r="K114" i="1"/>
  <c r="L114" i="1"/>
  <c r="M114" i="1" s="1"/>
  <c r="I115" i="1"/>
  <c r="K115" i="1"/>
  <c r="L115" i="1"/>
  <c r="M115" i="1" s="1"/>
  <c r="I116" i="1"/>
  <c r="K116" i="1"/>
  <c r="L116" i="1"/>
  <c r="M116" i="1" s="1"/>
  <c r="I117" i="1"/>
  <c r="K117" i="1"/>
  <c r="L117" i="1"/>
  <c r="M117" i="1" s="1"/>
  <c r="I118" i="1"/>
  <c r="K118" i="1"/>
  <c r="L118" i="1"/>
  <c r="M118" i="1" s="1"/>
  <c r="L110" i="1"/>
  <c r="M110" i="1" s="1"/>
  <c r="K110" i="1"/>
  <c r="I110" i="1"/>
  <c r="L107" i="1"/>
  <c r="M107" i="1" s="1"/>
  <c r="K107" i="1"/>
  <c r="I107" i="1"/>
  <c r="L106" i="1"/>
  <c r="M106" i="1" s="1"/>
  <c r="K106" i="1"/>
  <c r="I106" i="1"/>
  <c r="L104" i="1"/>
  <c r="M104" i="1" s="1"/>
  <c r="K104" i="1"/>
  <c r="I104" i="1"/>
  <c r="L103" i="1"/>
  <c r="M103" i="1" s="1"/>
  <c r="K103" i="1"/>
  <c r="I103" i="1"/>
  <c r="L101" i="1"/>
  <c r="M101" i="1" s="1"/>
  <c r="M100" i="1" s="1"/>
  <c r="K101" i="1"/>
  <c r="K100" i="1" s="1"/>
  <c r="I101" i="1"/>
  <c r="I100" i="1" s="1"/>
  <c r="L99" i="1"/>
  <c r="M99" i="1" s="1"/>
  <c r="K99" i="1"/>
  <c r="I99" i="1"/>
  <c r="L98" i="1"/>
  <c r="M98" i="1" s="1"/>
  <c r="K98" i="1"/>
  <c r="I98" i="1"/>
  <c r="I90" i="1"/>
  <c r="K90" i="1"/>
  <c r="L90" i="1"/>
  <c r="M90" i="1" s="1"/>
  <c r="I91" i="1"/>
  <c r="K91" i="1"/>
  <c r="L91" i="1"/>
  <c r="M91" i="1" s="1"/>
  <c r="I92" i="1"/>
  <c r="K92" i="1"/>
  <c r="L92" i="1"/>
  <c r="M92" i="1" s="1"/>
  <c r="I93" i="1"/>
  <c r="K93" i="1"/>
  <c r="L93" i="1"/>
  <c r="M93" i="1" s="1"/>
  <c r="I94" i="1"/>
  <c r="K94" i="1"/>
  <c r="L94" i="1"/>
  <c r="M94" i="1" s="1"/>
  <c r="I95" i="1"/>
  <c r="K95" i="1"/>
  <c r="L95" i="1"/>
  <c r="M95" i="1" s="1"/>
  <c r="I96" i="1"/>
  <c r="K96" i="1"/>
  <c r="L96" i="1"/>
  <c r="M96" i="1" s="1"/>
  <c r="L89" i="1"/>
  <c r="M89" i="1" s="1"/>
  <c r="K89" i="1"/>
  <c r="I89" i="1"/>
  <c r="L87" i="1"/>
  <c r="M87" i="1" s="1"/>
  <c r="K87" i="1"/>
  <c r="I87" i="1"/>
  <c r="L86" i="1"/>
  <c r="M86" i="1" s="1"/>
  <c r="K86" i="1"/>
  <c r="I86" i="1"/>
  <c r="L85" i="1"/>
  <c r="M85" i="1" s="1"/>
  <c r="K85" i="1"/>
  <c r="I85" i="1"/>
  <c r="L84" i="1"/>
  <c r="M84" i="1" s="1"/>
  <c r="K84" i="1"/>
  <c r="I84" i="1"/>
  <c r="L83" i="1"/>
  <c r="M83" i="1" s="1"/>
  <c r="K83" i="1"/>
  <c r="I83" i="1"/>
  <c r="I78" i="1"/>
  <c r="K78" i="1"/>
  <c r="L78" i="1"/>
  <c r="M78" i="1" s="1"/>
  <c r="I79" i="1"/>
  <c r="K79" i="1"/>
  <c r="L79" i="1"/>
  <c r="M79" i="1" s="1"/>
  <c r="I80" i="1"/>
  <c r="K80" i="1"/>
  <c r="L80" i="1"/>
  <c r="M80" i="1" s="1"/>
  <c r="I81" i="1"/>
  <c r="K81" i="1"/>
  <c r="L81" i="1"/>
  <c r="M81" i="1" s="1"/>
  <c r="L77" i="1"/>
  <c r="M77" i="1" s="1"/>
  <c r="K77" i="1"/>
  <c r="I77" i="1"/>
  <c r="I73" i="1"/>
  <c r="K73" i="1"/>
  <c r="L73" i="1"/>
  <c r="M73" i="1" s="1"/>
  <c r="I74" i="1"/>
  <c r="K74" i="1"/>
  <c r="L74" i="1"/>
  <c r="M74" i="1" s="1"/>
  <c r="L75" i="1"/>
  <c r="M75" i="1" s="1"/>
  <c r="K75" i="1"/>
  <c r="I75" i="1"/>
  <c r="L72" i="1"/>
  <c r="M72" i="1" s="1"/>
  <c r="K72" i="1"/>
  <c r="I72" i="1"/>
  <c r="L71" i="1"/>
  <c r="M71" i="1" s="1"/>
  <c r="K71" i="1"/>
  <c r="I71" i="1"/>
  <c r="I67" i="1"/>
  <c r="K67" i="1"/>
  <c r="L67" i="1"/>
  <c r="M67" i="1" s="1"/>
  <c r="L66" i="1"/>
  <c r="M66" i="1" s="1"/>
  <c r="K66" i="1"/>
  <c r="I66" i="1"/>
  <c r="L63" i="1"/>
  <c r="M63" i="1" s="1"/>
  <c r="M62" i="1" s="1"/>
  <c r="K63" i="1"/>
  <c r="K62" i="1" s="1"/>
  <c r="I63" i="1"/>
  <c r="I62" i="1" s="1"/>
  <c r="I57" i="1"/>
  <c r="K57" i="1"/>
  <c r="L57" i="1"/>
  <c r="M57" i="1" s="1"/>
  <c r="I58" i="1"/>
  <c r="K58" i="1"/>
  <c r="L58" i="1"/>
  <c r="M58" i="1" s="1"/>
  <c r="I59" i="1"/>
  <c r="K59" i="1"/>
  <c r="L59" i="1"/>
  <c r="M59" i="1" s="1"/>
  <c r="I60" i="1"/>
  <c r="K60" i="1"/>
  <c r="L60" i="1"/>
  <c r="M60" i="1" s="1"/>
  <c r="I61" i="1"/>
  <c r="K61" i="1"/>
  <c r="L61" i="1"/>
  <c r="M61" i="1" s="1"/>
  <c r="L56" i="1"/>
  <c r="M56" i="1" s="1"/>
  <c r="K56" i="1"/>
  <c r="I56" i="1"/>
  <c r="L54" i="1"/>
  <c r="M54" i="1" s="1"/>
  <c r="M53" i="1" s="1"/>
  <c r="K54" i="1"/>
  <c r="K53" i="1" s="1"/>
  <c r="I54" i="1"/>
  <c r="I53" i="1" s="1"/>
  <c r="I52" i="1"/>
  <c r="K52" i="1"/>
  <c r="L52" i="1"/>
  <c r="M52" i="1" s="1"/>
  <c r="L51" i="1"/>
  <c r="M51" i="1" s="1"/>
  <c r="K51" i="1"/>
  <c r="I51" i="1"/>
  <c r="I48" i="1"/>
  <c r="K48" i="1"/>
  <c r="L48" i="1"/>
  <c r="M48" i="1" s="1"/>
  <c r="I49" i="1"/>
  <c r="K49" i="1"/>
  <c r="L49" i="1"/>
  <c r="M49" i="1" s="1"/>
  <c r="L47" i="1"/>
  <c r="M47" i="1" s="1"/>
  <c r="K47" i="1"/>
  <c r="I47" i="1"/>
  <c r="I45" i="1"/>
  <c r="K45" i="1"/>
  <c r="L45" i="1"/>
  <c r="M45" i="1" s="1"/>
  <c r="L44" i="1"/>
  <c r="M44" i="1" s="1"/>
  <c r="K44" i="1"/>
  <c r="I44" i="1"/>
  <c r="L42" i="1"/>
  <c r="M42" i="1" s="1"/>
  <c r="M41" i="1" s="1"/>
  <c r="K42" i="1"/>
  <c r="K41" i="1" s="1"/>
  <c r="I42" i="1"/>
  <c r="I41" i="1" s="1"/>
  <c r="L40" i="1"/>
  <c r="M40" i="1" s="1"/>
  <c r="M39" i="1" s="1"/>
  <c r="K40" i="1"/>
  <c r="K39" i="1" s="1"/>
  <c r="I40" i="1"/>
  <c r="I39" i="1" s="1"/>
  <c r="L37" i="1"/>
  <c r="M37" i="1" s="1"/>
  <c r="K37" i="1"/>
  <c r="I37" i="1"/>
  <c r="L36" i="1"/>
  <c r="M36" i="1" s="1"/>
  <c r="K36" i="1"/>
  <c r="I36" i="1"/>
  <c r="L34" i="1"/>
  <c r="M34" i="1" s="1"/>
  <c r="K34" i="1"/>
  <c r="I34" i="1"/>
  <c r="L33" i="1"/>
  <c r="M33" i="1" s="1"/>
  <c r="K33" i="1"/>
  <c r="I33" i="1"/>
  <c r="L32" i="1"/>
  <c r="M32" i="1" s="1"/>
  <c r="K32" i="1"/>
  <c r="I32" i="1"/>
  <c r="L31" i="1"/>
  <c r="M31" i="1" s="1"/>
  <c r="K31" i="1"/>
  <c r="I31" i="1"/>
  <c r="L30" i="1"/>
  <c r="M30" i="1" s="1"/>
  <c r="K30" i="1"/>
  <c r="I30" i="1"/>
  <c r="K23" i="1"/>
  <c r="L23" i="1"/>
  <c r="M23" i="1" s="1"/>
  <c r="K24" i="1"/>
  <c r="L24" i="1"/>
  <c r="M24" i="1" s="1"/>
  <c r="K25" i="1"/>
  <c r="L25" i="1"/>
  <c r="M25" i="1" s="1"/>
  <c r="K26" i="1"/>
  <c r="L26" i="1"/>
  <c r="M26" i="1" s="1"/>
  <c r="K27" i="1"/>
  <c r="L27" i="1"/>
  <c r="M27" i="1" s="1"/>
  <c r="K28" i="1"/>
  <c r="L28" i="1"/>
  <c r="M28" i="1" s="1"/>
  <c r="I23" i="1"/>
  <c r="I24" i="1"/>
  <c r="I25" i="1"/>
  <c r="I26" i="1"/>
  <c r="I27" i="1"/>
  <c r="I28" i="1"/>
  <c r="L22" i="1"/>
  <c r="M22" i="1" s="1"/>
  <c r="K22" i="1"/>
  <c r="I22" i="1"/>
  <c r="L19" i="1"/>
  <c r="M19" i="1" s="1"/>
  <c r="K19" i="1"/>
  <c r="I19" i="1"/>
  <c r="L18" i="1"/>
  <c r="M18" i="1" s="1"/>
  <c r="K18" i="1"/>
  <c r="I18" i="1"/>
  <c r="L17" i="1"/>
  <c r="M17" i="1" s="1"/>
  <c r="K17" i="1"/>
  <c r="I17" i="1"/>
  <c r="L16" i="1"/>
  <c r="M16" i="1" s="1"/>
  <c r="K16" i="1"/>
  <c r="I16" i="1"/>
  <c r="L15" i="1"/>
  <c r="M15" i="1" s="1"/>
  <c r="K15" i="1"/>
  <c r="I15" i="1"/>
  <c r="I8" i="1"/>
  <c r="I9" i="1"/>
  <c r="I10" i="1"/>
  <c r="I11" i="1"/>
  <c r="I12" i="1"/>
  <c r="I13" i="1"/>
  <c r="L13" i="1"/>
  <c r="M13" i="1" s="1"/>
  <c r="K13" i="1"/>
  <c r="L12" i="1"/>
  <c r="M12" i="1" s="1"/>
  <c r="K12" i="1"/>
  <c r="L11" i="1"/>
  <c r="M11" i="1" s="1"/>
  <c r="K11" i="1"/>
  <c r="L10" i="1"/>
  <c r="M10" i="1" s="1"/>
  <c r="K10" i="1"/>
  <c r="L9" i="1"/>
  <c r="M9" i="1" s="1"/>
  <c r="K9" i="1"/>
  <c r="L8" i="1"/>
  <c r="M8" i="1" s="1"/>
  <c r="K8" i="1"/>
  <c r="L7" i="1"/>
  <c r="M7" i="1" s="1"/>
  <c r="K7" i="1"/>
  <c r="L5" i="1"/>
  <c r="M5" i="1" s="1"/>
  <c r="K5" i="1"/>
  <c r="K258" i="4" l="1"/>
  <c r="L640" i="4" s="1"/>
  <c r="K60" i="4"/>
  <c r="M60" i="4"/>
  <c r="K27" i="3"/>
  <c r="L53" i="3" s="1"/>
  <c r="L644" i="4"/>
  <c r="K568" i="4"/>
  <c r="I27" i="3"/>
  <c r="L52" i="3" s="1"/>
  <c r="L54" i="3" s="1"/>
  <c r="M27" i="3"/>
  <c r="I568" i="4"/>
  <c r="I567" i="4" s="1"/>
  <c r="L648" i="4" s="1"/>
  <c r="M498" i="4"/>
  <c r="I337" i="4"/>
  <c r="I258" i="4" s="1"/>
  <c r="L639" i="4" s="1"/>
  <c r="M345" i="4"/>
  <c r="M337" i="4" s="1"/>
  <c r="M258" i="4" s="1"/>
  <c r="K4" i="4"/>
  <c r="M4" i="4"/>
  <c r="I60" i="4"/>
  <c r="I47" i="4"/>
  <c r="I4" i="4"/>
  <c r="M23" i="3"/>
  <c r="I23" i="3"/>
  <c r="K23" i="3"/>
  <c r="M17" i="3"/>
  <c r="K17" i="3"/>
  <c r="I17" i="3"/>
  <c r="M12" i="3"/>
  <c r="I4" i="3"/>
  <c r="K4" i="3"/>
  <c r="I8" i="3"/>
  <c r="K8" i="3"/>
  <c r="I12" i="3"/>
  <c r="K12" i="3"/>
  <c r="M4" i="3"/>
  <c r="M8" i="3"/>
  <c r="K143" i="1"/>
  <c r="I143" i="1"/>
  <c r="I140" i="1" s="1"/>
  <c r="I133" i="1"/>
  <c r="M143" i="1"/>
  <c r="M140" i="1" s="1"/>
  <c r="M133" i="1"/>
  <c r="I136" i="1"/>
  <c r="K136" i="1"/>
  <c r="M136" i="1"/>
  <c r="K133" i="1"/>
  <c r="K127" i="1"/>
  <c r="I127" i="1"/>
  <c r="M122" i="1"/>
  <c r="M127" i="1"/>
  <c r="I122" i="1"/>
  <c r="K122" i="1"/>
  <c r="M105" i="1"/>
  <c r="K102" i="1"/>
  <c r="I109" i="1"/>
  <c r="I105" i="1"/>
  <c r="K105" i="1"/>
  <c r="K109" i="1"/>
  <c r="M109" i="1"/>
  <c r="I102" i="1"/>
  <c r="M102" i="1"/>
  <c r="K97" i="1"/>
  <c r="M97" i="1"/>
  <c r="I97" i="1"/>
  <c r="I88" i="1"/>
  <c r="K88" i="1"/>
  <c r="M88" i="1"/>
  <c r="I82" i="1"/>
  <c r="K82" i="1"/>
  <c r="M82" i="1"/>
  <c r="K76" i="1"/>
  <c r="I76" i="1"/>
  <c r="M76" i="1"/>
  <c r="I70" i="1"/>
  <c r="K70" i="1"/>
  <c r="M70" i="1"/>
  <c r="I65" i="1"/>
  <c r="K65" i="1"/>
  <c r="M65" i="1"/>
  <c r="I55" i="1"/>
  <c r="K55" i="1"/>
  <c r="M55" i="1"/>
  <c r="K50" i="1"/>
  <c r="I50" i="1"/>
  <c r="M43" i="1"/>
  <c r="M50" i="1"/>
  <c r="M46" i="1"/>
  <c r="I46" i="1"/>
  <c r="K46" i="1"/>
  <c r="K43" i="1"/>
  <c r="I43" i="1"/>
  <c r="M35" i="1"/>
  <c r="K35" i="1"/>
  <c r="I14" i="1"/>
  <c r="L197" i="1" s="1"/>
  <c r="I35" i="1"/>
  <c r="I29" i="1"/>
  <c r="M29" i="1"/>
  <c r="K29" i="1"/>
  <c r="K14" i="1"/>
  <c r="L198" i="1" s="1"/>
  <c r="I21" i="1"/>
  <c r="K21" i="1"/>
  <c r="M21" i="1"/>
  <c r="K6" i="1"/>
  <c r="L195" i="1" s="1"/>
  <c r="M14" i="1"/>
  <c r="M6" i="1"/>
  <c r="L4" i="1"/>
  <c r="K4" i="1"/>
  <c r="I5" i="1"/>
  <c r="K3" i="4" l="1"/>
  <c r="L637" i="4" s="1"/>
  <c r="K567" i="4"/>
  <c r="L649" i="4" s="1"/>
  <c r="L650" i="4" s="1"/>
  <c r="M575" i="4"/>
  <c r="M568" i="4" s="1"/>
  <c r="M567" i="4" s="1"/>
  <c r="M3" i="4"/>
  <c r="L641" i="4"/>
  <c r="L215" i="1"/>
  <c r="L220" i="1"/>
  <c r="K140" i="1"/>
  <c r="L216" i="1" s="1"/>
  <c r="L199" i="1"/>
  <c r="I3" i="3"/>
  <c r="L46" i="3" s="1"/>
  <c r="L61" i="3" s="1"/>
  <c r="D6" i="6" s="1" a="1"/>
  <c r="D6" i="6" s="1"/>
  <c r="L49" i="3"/>
  <c r="K3" i="3"/>
  <c r="L47" i="3" s="1"/>
  <c r="L62" i="3" s="1"/>
  <c r="F6" i="6" s="1" a="1"/>
  <c r="F6" i="6" s="1"/>
  <c r="L50" i="3"/>
  <c r="M3" i="3"/>
  <c r="I3" i="4"/>
  <c r="L636" i="4" s="1"/>
  <c r="I132" i="1"/>
  <c r="L212" i="1" s="1"/>
  <c r="K132" i="1"/>
  <c r="L213" i="1" s="1"/>
  <c r="M108" i="1"/>
  <c r="M132" i="1"/>
  <c r="K108" i="1"/>
  <c r="L210" i="1" s="1"/>
  <c r="I108" i="1"/>
  <c r="L209" i="1" s="1"/>
  <c r="I64" i="1"/>
  <c r="L206" i="1" s="1"/>
  <c r="M64" i="1"/>
  <c r="K64" i="1"/>
  <c r="L207" i="1" s="1"/>
  <c r="M38" i="1"/>
  <c r="I38" i="1"/>
  <c r="L203" i="1" s="1"/>
  <c r="K38" i="1"/>
  <c r="L204" i="1" s="1"/>
  <c r="M20" i="1"/>
  <c r="I20" i="1"/>
  <c r="L200" i="1" s="1"/>
  <c r="K20" i="1"/>
  <c r="L201" i="1" s="1"/>
  <c r="M4" i="1"/>
  <c r="M3" i="1" s="1"/>
  <c r="I7" i="1"/>
  <c r="I6" i="1" s="1"/>
  <c r="K3" i="1"/>
  <c r="L192" i="1" s="1"/>
  <c r="I4" i="1"/>
  <c r="I3" i="1" s="1"/>
  <c r="L191" i="1" s="1"/>
  <c r="L205" i="1" l="1"/>
  <c r="L217" i="1"/>
  <c r="L222" i="1"/>
  <c r="F5" i="6" s="1" a="1"/>
  <c r="F5" i="6" s="1"/>
  <c r="L51" i="3"/>
  <c r="L211" i="1"/>
  <c r="L638" i="4"/>
  <c r="L48" i="3"/>
  <c r="L214" i="1"/>
  <c r="L193" i="1"/>
  <c r="L194" i="1"/>
  <c r="L196" i="1" s="1"/>
  <c r="L202" i="1"/>
  <c r="L208" i="1"/>
  <c r="K30" i="3"/>
  <c r="L56" i="3" s="1"/>
  <c r="M30" i="3"/>
  <c r="I30" i="3"/>
  <c r="L55" i="3" s="1"/>
  <c r="L221" i="1" l="1"/>
  <c r="D5" i="6" s="1" a="1"/>
  <c r="D5" i="6" s="1"/>
  <c r="H6" i="6"/>
  <c r="L63" i="3"/>
  <c r="G11" i="6"/>
  <c r="L57" i="3"/>
  <c r="K482" i="4"/>
  <c r="I482" i="4" l="1"/>
  <c r="L645" i="4" s="1"/>
  <c r="L646" i="4"/>
  <c r="L655" i="4" s="1"/>
  <c r="F7" i="6" s="1"/>
  <c r="F11" i="6" s="1"/>
  <c r="L223" i="1"/>
  <c r="M482" i="4"/>
  <c r="L654" i="4" l="1"/>
  <c r="L647" i="4"/>
  <c r="E11" i="6"/>
  <c r="L656" i="4" l="1"/>
  <c r="D7" i="6"/>
  <c r="H5" i="6"/>
  <c r="D11" i="6" l="1"/>
  <c r="H7" i="6"/>
  <c r="H11"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<sst xmlns="http://schemas.openxmlformats.org/spreadsheetml/2006/main" count="4442" uniqueCount="2452">
  <si>
    <t>KEŞİF</t>
  </si>
  <si>
    <t>MALZEME</t>
  </si>
  <si>
    <t>İŞÇİLİK</t>
  </si>
  <si>
    <t>Satış
Tutar</t>
  </si>
  <si>
    <t>İmalatlar</t>
  </si>
  <si>
    <t>Birim</t>
  </si>
  <si>
    <t>Metraj</t>
  </si>
  <si>
    <t>Malzeme
Tutar</t>
  </si>
  <si>
    <t>İşçilik
Tutar</t>
  </si>
  <si>
    <t>FİRMA BİLGİLERİ, ADRES, İLGİLİ KİŞİ ,TELEFON , EMAİL BİLGİLERİ GİRİLECEK...
TEKLİF EKİ OLARAK AŞAĞIDAKİ BELGELER TEMİN EDİLECEK:
-Ticaret Odası Faaliyet Belgesi (6 aydan eski tarihli olmayacak)
- Ticari Sicil Gazetesi
- İmza Sirküleri
- Güncel Vergi Levhası Fotokopisi
- SGK ve Vergi Dairesi borç durumu yazıları (güncel tarihli)</t>
  </si>
  <si>
    <t>D</t>
  </si>
  <si>
    <t>G</t>
  </si>
  <si>
    <t>H</t>
  </si>
  <si>
    <t>TOPLAM FİYAT (KDV'siz)</t>
  </si>
  <si>
    <t>Malzeme
Br. Fiyat</t>
  </si>
  <si>
    <t>İşçilik
Br. Fiyat</t>
  </si>
  <si>
    <t>Satış
Br. Fiyat</t>
  </si>
  <si>
    <t>TOPRAK İŞLERİ</t>
  </si>
  <si>
    <t>SET</t>
  </si>
  <si>
    <t>m3</t>
  </si>
  <si>
    <r>
      <rPr>
        <b/>
        <u/>
        <sz val="11"/>
        <color theme="1"/>
        <rFont val="Tahoma"/>
        <family val="2"/>
        <charset val="162"/>
      </rPr>
      <t>KAZI İŞLERİ</t>
    </r>
    <r>
      <rPr>
        <b/>
        <sz val="11"/>
        <color theme="1"/>
        <rFont val="Tahoma"/>
        <family val="2"/>
        <charset val="162"/>
      </rPr>
      <t xml:space="preserve">
</t>
    </r>
    <r>
      <rPr>
        <sz val="11"/>
        <color theme="1"/>
        <rFont val="Tahoma"/>
        <family val="2"/>
        <charset val="162"/>
      </rPr>
      <t>134.20 (0.00) kotu ile projede gösterilen (temel altı katmanlaşmalar dikkate alınarak) hafriyat alt kotları arasında bina kazısı yapılması ve saha dışına dökümü (geoteknik rapordaki şev tanımlarına  uygun olarak şevlerin yapılması, projede gösterilen asansör-pis su vb çukurların açılması )</t>
    </r>
  </si>
  <si>
    <r>
      <rPr>
        <b/>
        <u/>
        <sz val="11"/>
        <color theme="1"/>
        <rFont val="Tahoma"/>
        <family val="2"/>
        <charset val="162"/>
      </rPr>
      <t>DOLGU İŞLERİ</t>
    </r>
    <r>
      <rPr>
        <b/>
        <sz val="11"/>
        <color theme="1"/>
        <rFont val="Tahoma"/>
        <family val="2"/>
        <charset val="162"/>
      </rPr>
      <t xml:space="preserve">
</t>
    </r>
    <r>
      <rPr>
        <sz val="11"/>
        <color theme="1"/>
        <rFont val="Tahoma"/>
        <family val="2"/>
        <charset val="162"/>
      </rPr>
      <t>Geoteknik raporunda belirtildiği gibi Temel altına 30 cm yüksekliğinde sıkıştırılmış seçme granüler malzeme (kum-çakıl) ile capping şilte tabakası oluşturulması (GW-SW tipi malzeme kullanılacaktır, granüler tabaka içinde kil+silt oranının %5 ile sınırlandırılması gerekecektir.Max. dane boyutu 10 cm geçmemelidir)</t>
    </r>
  </si>
  <si>
    <t>BETONARME STRÜKTÜR İŞLERİ</t>
  </si>
  <si>
    <t>C 20 Betonu (Grobeton-koruma betonu) demirsiz</t>
  </si>
  <si>
    <t>C 35 Betonarme Betonu (Temel, bağ kirişi, kaide ve sokl)</t>
  </si>
  <si>
    <t>C 35 Üst yapı betonarme betonu (Temel, bağ kirişi, kaide ve sokl)</t>
  </si>
  <si>
    <t>Nervürlü Ø8 ve Ø12 çaplı (ince) tor çeliğin betonarme projesine göre bükülmesi ve yerine konması</t>
  </si>
  <si>
    <t>Nervürlü Ø14 ve Ø26 çaplı (kalın) tor çeliğin betonarme projesine göre bükülmesi ve yerine konması</t>
  </si>
  <si>
    <t>Düz yüzeyli beton ve betonarme kalıbı yapılması
(Temel ve bağ kirişleri dolgu altında kalan imalatlar)</t>
  </si>
  <si>
    <t>Düz yüzeyli kontrplaktan (plywood) beton ve betonarme kalıbı yapılması
(kiriş, kolon, döşeme, perde vb görünen  yüzeyler)</t>
  </si>
  <si>
    <t>m²</t>
  </si>
  <si>
    <t>Kg</t>
  </si>
  <si>
    <t>ÇELİK İMALAT VE MONTAJ İŞLERİ</t>
  </si>
  <si>
    <t>S235 kalite yapı çeliğinden kiriş, kolon, aşık vb yapılması  (bağlantı elemanları dahil)</t>
  </si>
  <si>
    <t>S275 kalite yapı çeliğinden kiriş, kolon, aşık vb yapılması  (bağlantı elemanları dahil)</t>
  </si>
  <si>
    <t>S235 kalite sacdan kiriş - kolon ve her türlü birleşim plakası yapılması</t>
  </si>
  <si>
    <t>Çelik imalatın kumlanarak 2 kat antipas 2 kat yağlı boya ile boyanması</t>
  </si>
  <si>
    <t>5.6 Yapı çeliğinden ankraj bulonu yapılması (cıvata somun vb.dahil)</t>
  </si>
  <si>
    <t>ad</t>
  </si>
  <si>
    <t>Şartname No</t>
  </si>
  <si>
    <t>Poz
No</t>
  </si>
  <si>
    <t>1.1</t>
  </si>
  <si>
    <t>1.2</t>
  </si>
  <si>
    <t>03 31 00</t>
  </si>
  <si>
    <t>2.1</t>
  </si>
  <si>
    <t>2.2</t>
  </si>
  <si>
    <t>2.3</t>
  </si>
  <si>
    <t>2.4</t>
  </si>
  <si>
    <t>2.5</t>
  </si>
  <si>
    <t>2.6</t>
  </si>
  <si>
    <t>2.7</t>
  </si>
  <si>
    <t>3.1</t>
  </si>
  <si>
    <t>3.2</t>
  </si>
  <si>
    <t>3.3</t>
  </si>
  <si>
    <t>3.4</t>
  </si>
  <si>
    <t>3.5</t>
  </si>
  <si>
    <t>05 12 00</t>
  </si>
  <si>
    <t>07 52 16
07 21 13.3</t>
  </si>
  <si>
    <t>MUHTELİF ISI VE SU YALITIMI İŞLERİ</t>
  </si>
  <si>
    <t>4.1</t>
  </si>
  <si>
    <t>Temel altı altı yalıtımları</t>
  </si>
  <si>
    <t>4.1.1</t>
  </si>
  <si>
    <t>4.1.2</t>
  </si>
  <si>
    <t>4.1.3</t>
  </si>
  <si>
    <t>4.1.4</t>
  </si>
  <si>
    <t>4.1.5</t>
  </si>
  <si>
    <t xml:space="preserve">200 μ polyetilen örtü ile rutubete karşı veya ayırıcı tabaka yapılması (temel altında) </t>
  </si>
  <si>
    <t>Grobeton (10 cm) (Metraji Betonarme işlerde verilmiştir)</t>
  </si>
  <si>
    <t>Bitüm esaslı astar</t>
  </si>
  <si>
    <t>2 kat 3mm kalınlıkta Polyester donatılı esnek SBS bitümlü su yalıtım membranı ile su yalıtımı yapılması</t>
  </si>
  <si>
    <t>50 mm kalınlıkta, minimum yoğunluğu 30 kg/m³, minimum 500kPa basma mukavemetine sahip XPS levhalar</t>
  </si>
  <si>
    <t>Ayırıcı filtre tabakası (Geotekstil keçe 500gr/m²) serilmesi</t>
  </si>
  <si>
    <t>Koruma betonu (10 cm) (Metraji Betonarme işlerde verilmiştir)</t>
  </si>
  <si>
    <t>Perde duvar yalıtımları - ısı ve su yalıtımı</t>
  </si>
  <si>
    <t>50 mm kalınlıkta, minimum yoğunluğu 30 kg/m³, minimum 300kPa basma mukavemetine sahip XPS levhalar</t>
  </si>
  <si>
    <t>Drenaj sağlayıcı, koruyucu kabarcıklı levha (8 mm) (bodrum kat perde duvarlar ve temel düşey yüzeyler</t>
  </si>
  <si>
    <t>Çevre drenajı (Fransiz drenajı) için Q 200 Delikli boru (Projesine uygun geotkstil ve serbest drenaj malzemesi dahil)</t>
  </si>
  <si>
    <t>mt</t>
  </si>
  <si>
    <t>4.2</t>
  </si>
  <si>
    <t>4.2.1</t>
  </si>
  <si>
    <t>4.2.2</t>
  </si>
  <si>
    <t>4.2.3</t>
  </si>
  <si>
    <t>4.2.4</t>
  </si>
  <si>
    <t>4.2.5</t>
  </si>
  <si>
    <t>4.3</t>
  </si>
  <si>
    <t>4.3.1</t>
  </si>
  <si>
    <t>4.3.2</t>
  </si>
  <si>
    <t>Sürme esaslı su yalıtımı yapılması</t>
  </si>
  <si>
    <t>Çimento katkılı akrilik esaslı, çift komponentli su yalıtım malzemesi ile su yalıtımı yapılması (ıslak ve yarı-ıslak hacimler yalıtım 30 cm duvarlara dönecektir. Montaj Holündeki döşeme kanallarının döşeme ve duvarlarının yalıtıtımı)</t>
  </si>
  <si>
    <t>Kristalize su yalıtımı yapılması (Su deposu-Pompa dairesi  zemin, duvar ve  tavanında)</t>
  </si>
  <si>
    <t>ÇATI VE CEPHE KAPLAMA İŞLERİ</t>
  </si>
  <si>
    <t>07 16 13</t>
  </si>
  <si>
    <t>07 16 16</t>
  </si>
  <si>
    <t>5.1</t>
  </si>
  <si>
    <t>Taşyünü dolgulu sandviç panel cephe kaplaması (CK-01)</t>
  </si>
  <si>
    <t>07 42 43</t>
  </si>
  <si>
    <t>5.1.1</t>
  </si>
  <si>
    <t>Proje ve detaylarına uygun Dış yüzü; 0,70 mm kalınlıkta, 100 mm dalga boyu ve 20 mm dip-tepe dalga yüksekliğine sahip sinüzoidal formda, 275 gr/m² galvanizli, 5 mikron astar üzeri 20 mikron son kat coil coating sistem ral 9006 Pvdf boyalı,sacın taşyünü gören yüzeyi 12 mikron çift kat astar kaplı, boyalı galvanizli DX51 kalite sac; üstünde 100 mm kalınlıkta 100 kg/m³ yoğunluğunda kesintisiz taşyünü; İc yüzü; 0,50 mm kalınlıkta, 100 gr/m² galvanizli, 5 mikron astar üzeri 20 mikron son kat coil coating sistem ral 9002 Polyester boyalı, sacın taşyünü gören yüzeyi 12 mikron çift kat astar kaplı, boyalı galvanizli DX51 kalite sac; 1000 mm faydalı eninde sandviç panel (TEKİZ  SPD 1000 TİP 60 TAŞYÜNÜ YALITIMLI SİNÜS DESENLİ GİZLİ VİDALI CEPHE PANELİ veya muadili) ( Tüm ic köşe, dış köse, etek profili, damlalik profili, kapama profili vb. tüm aksesuarlar 1 mm olacak olup birim fiyata dahildir.)</t>
  </si>
  <si>
    <t>5.2</t>
  </si>
  <si>
    <t>5.2.1</t>
  </si>
  <si>
    <t>Polikarbonat levha cephe kaplaması (CK-02)</t>
  </si>
  <si>
    <t>Proje ve detaylarına uygun 40 mm kalınlıkta çoklu odacıklı polikarbonat levhadan cephe kaplaması yapılması (ASSAN MULTILIGHT POLIKARBONAT PANEL veya muadili. Faydalı en 1000 mm yükseklik 2250 mm (Montaj esnasında gerekli olan tüm alüminyum aksesuarlar birim fiyata dahildir)</t>
  </si>
  <si>
    <t>5.3</t>
  </si>
  <si>
    <t>08 44 26</t>
  </si>
  <si>
    <t>Alüminyum kapaklı cam giydirme cephe yapılması (GC01, GC02)</t>
  </si>
  <si>
    <t>5.3.1</t>
  </si>
  <si>
    <t>5.3.2</t>
  </si>
  <si>
    <t>GC01_ Alüminyum Giydirme Cephe ( 2200x665 cm kapaklı sistem)  Dıştan içe 8 mm temperli cam 16 mm hava boşluğu 5+5 mm lamine şeffaf ısıcam. (Montaj için gerekli çelik konstrüksiyon, ankrajlar ve tüm alüminyum aksesuarlar birim fiyata dahildir) .Giydirme cephede 200x300 cm boyutlarında fotoselli kapı için boşluk olacaktır</t>
  </si>
  <si>
    <t>GC02_ Alüminyum Giydirme Cephe ( 780x500 cm kapaklı sistem)  Dıştan içe 8 mm temperli cam 16 mm hava boşluğu 5+5 mm lamine şeffaf ısıcam. Montaj için gerekli çelik konstrüksiyon, ankrajlar ve tüm alüminyum aksesuarlar birim fiyata dahildir)Giydirme cephede 200x300 cm boyutlarında fotoselli kapı için boşluk olacaktır</t>
  </si>
  <si>
    <t>5.4</t>
  </si>
  <si>
    <t>5.4.1</t>
  </si>
  <si>
    <t>5.4.2</t>
  </si>
  <si>
    <t>08 51 13</t>
  </si>
  <si>
    <t>Alüminyum Dış Cephe Doğrama İşleri (CD01, CD02, CD03)</t>
  </si>
  <si>
    <t>CD01 Alüminyum dış cephe doğraması (Dış cam 8mm temperli + 16 mm hava boşluğu iç cam 4+4 mm lamine şeffaf ısıcamlı 1580x265 cm boyutlarında) Doğrama içinde 210x265 cm boyutlarında çift açılır camlı kapı olacaktır.</t>
  </si>
  <si>
    <t>CD02 Alüminyum dış cephe doğraması (Dış cam 8mm temperli + 16 mm hava boşluğu iç cam 4+4 mm lamine şeffaf ısıcamlı 840x265 cm boyutlarında) Doğrama içinde 210x265 cm boyutlarında çift açılır camlı kapı olacaktır.</t>
  </si>
  <si>
    <t>CD03 Alüminyum dış cephe doğraması (Dış cam 8mm temperli + 16 mm hava boşluğu iç cam 4+4 mm lamine şeffaf ısıcamlı 220x265 cm boyutlarında) Doğrama içinde 110x265 cm boyutlarında çift açılır camlı kapı olacaktır.</t>
  </si>
  <si>
    <t>Cephe saçaklarına  boyalı sac trapez sinüs panel  kaplanması, galvaniz sac dere yapılması</t>
  </si>
  <si>
    <t>5.5</t>
  </si>
  <si>
    <t>5.5.1</t>
  </si>
  <si>
    <t>5.5.2</t>
  </si>
  <si>
    <t xml:space="preserve">0,60 mm kalınlığında 40 mm hadve yüksekliğinde, sinüs hadveleri arasındaki mesafe 165 mm, net kaplama eni 990 mm, yüzeyi 5 mikron epoxy astar + 20-22 mikron 2 kat polyester , seçilecek Ral renginde boyalı gaivaniz sac trapez sinüs panel kaplama yapılması  </t>
  </si>
  <si>
    <t>Proje ve detaylarına uygun saçaklar boyunca 2 mm kalınlığında boyalı galvaniz sac dere yapılması (sac açılımı  70 cm)</t>
  </si>
  <si>
    <t>5.6</t>
  </si>
  <si>
    <t>Harpuşta yapılması</t>
  </si>
  <si>
    <t>5.6.1</t>
  </si>
  <si>
    <t>Proje ve detaylarına uygun boyalı galvaniz sac harpuşta yapılması (sac açılımı 70 cm)</t>
  </si>
  <si>
    <t>5.7</t>
  </si>
  <si>
    <t>Çatı işleri</t>
  </si>
  <si>
    <t>5.7.1</t>
  </si>
  <si>
    <t>5.7.2</t>
  </si>
  <si>
    <t>5.7.3</t>
  </si>
  <si>
    <t>5.7.4</t>
  </si>
  <si>
    <t>5.7.5</t>
  </si>
  <si>
    <t>5.7.6</t>
  </si>
  <si>
    <t>Proje ve detaylarına uygun Alt yüzü; 0,70 mm kalınlıkta, 100 gr/m² galvanizli, 5 mikron astar üzeri 20 mikron son kat coil coating sistem ral 9002 Polyester boyalı, 5 hadveli, hadve yüksekliği 35 mm, hadve aks araları 250 mm, boyalı galvanizli DX51 kalite sac; üstünde 110 mm kalınlıkta 40 (± 2) kg/m³ yoğunluğunda kesintisiz poliizosiyanurat (PIR); Üst yüzü 1,20 mm kalınlıkta keçeli PVC Membran kaplı; 1000 mm faydalı eninde sandviç panel</t>
  </si>
  <si>
    <t>Proje ve detaylarına uygun bina çatısında 2 mm kalınlığında galvaniz sac dere yapılması (sac açılımı  100 cm)</t>
  </si>
  <si>
    <t xml:space="preserve">Galvaniz sac dere içine 1.2mm  su yalıtım membranı yapılması </t>
  </si>
  <si>
    <t>Çatı içi parapet yan yüzeylerinin ve galvaniz sac dere altının  11 cm kalınlığında sandviç panelle kaplanması</t>
  </si>
  <si>
    <t>Proje ve detaylarına uygun çelik gemici merdiveni yapılması (asma kat temizlik odasından çatıya çıkış için)</t>
  </si>
  <si>
    <t>Çatıya çıkan gemici merdiveni üzerine 100x100 cm boyutlarında alüminyum çatı kapağı yapılması</t>
  </si>
  <si>
    <t>Çelik korkuluk işleri</t>
  </si>
  <si>
    <t>5.8</t>
  </si>
  <si>
    <t>5.8.1</t>
  </si>
  <si>
    <t>Bodrum kata inen cephe merdivenine ve asma kata çıkan  çelik merdivene proje ve detaylarına uygun galvaniz üzeri elektrostatik toz boyalı korkuluk yapılması 10x50 mm lamalardan. Korkuluk H:110 cm</t>
  </si>
  <si>
    <t>İNCE İŞLER</t>
  </si>
  <si>
    <t>Duvar İşleri</t>
  </si>
  <si>
    <t>6.1</t>
  </si>
  <si>
    <t>6.1.1</t>
  </si>
  <si>
    <t>6.1.2</t>
  </si>
  <si>
    <t>6.1.3</t>
  </si>
  <si>
    <t>GB-10_10 cm Gazbeton duvar</t>
  </si>
  <si>
    <t>GB-20_20 cm Gazbeton duvar</t>
  </si>
  <si>
    <t>GB--25_25 cm Gazbeton duvar</t>
  </si>
  <si>
    <t>04 22 26</t>
  </si>
  <si>
    <t>6.2</t>
  </si>
  <si>
    <t>6.2.1</t>
  </si>
  <si>
    <t>6.2.2</t>
  </si>
  <si>
    <t>6.2.3</t>
  </si>
  <si>
    <t>6.2.4</t>
  </si>
  <si>
    <t>6.2.5</t>
  </si>
  <si>
    <t>Sıva ve boya işleri (İç  mekan ve teras duvarları)</t>
  </si>
  <si>
    <t>09 91 00</t>
  </si>
  <si>
    <t>09 23 00
09 24 00</t>
  </si>
  <si>
    <t xml:space="preserve">Gazbeton duvarlar ve betonarme yüzeyler üzerine çimento esaslı hazır makina sıvası yapılması </t>
  </si>
  <si>
    <t>IDK1a_Sıvalı yüzeylere su bazlı mat boya yapılması (Sığınak, teknik alanlar, depolar)</t>
  </si>
  <si>
    <t>IDK1b_Sıvalı yüzeylere su bazlı ipek mat boya yapılması (Ofisler, ortak alanlar)</t>
  </si>
  <si>
    <t>İpek mat boya yapılacak yüzeylere alçı sıva yapılması</t>
  </si>
  <si>
    <t>Teras alanındaki taşyünü mantolama yüzeylere dokulu boya yapılması</t>
  </si>
  <si>
    <t>6.3</t>
  </si>
  <si>
    <t>6.3.1</t>
  </si>
  <si>
    <t>6.3.2</t>
  </si>
  <si>
    <t>6.3.3</t>
  </si>
  <si>
    <t>6.3.4</t>
  </si>
  <si>
    <t>6.3.5</t>
  </si>
  <si>
    <t>10 cm kalınlığında taşyünü mantolama yapılması (asma kat teras duvarları)</t>
  </si>
  <si>
    <t>IDK2a_30x30 cm boyutlarında Antibakteriyal seramik duvar kaplaması (derz dolgu malzemesi ve yapıştırıcı dahil gerekli tüm sarf malzemeleri) su depoları, mutfak , sığınak mutfak nişi</t>
  </si>
  <si>
    <t xml:space="preserve">IDK2b_30x30 cm boyutlarında Endüstriyel seramik (derz dolgu malzemesi ve yapıştırıcı dahil gerekli tüm sarf malzemeleri) projesinde tanımlanan  teknik mahaller </t>
  </si>
  <si>
    <t xml:space="preserve">IDK2c_60x60 cm seramik duvar kaplaması (derz dolgu malzemesi ve yapıştırıcı dahil gerekli tüm sarf malzemeleri) sığınak wc'ler  </t>
  </si>
  <si>
    <t xml:space="preserve">IDK2d_60x60 cm seramik duvar kaplaması (derz dolgu malzemesi ve yapıştırıcı dahil gerekli tüm sarf malzemeleri) müşteri ve personel wc- duş  </t>
  </si>
  <si>
    <t>07 21 13.19</t>
  </si>
  <si>
    <t>09 30 13</t>
  </si>
  <si>
    <t>Duvar kaplama işleri</t>
  </si>
  <si>
    <t>Asma tavan ve tavan boya işleri</t>
  </si>
  <si>
    <t>T1_Alçı sıva üzeri su bazlı mat tavan boyası yapılması (asma tavan yapılmayan tüm tavan alanları)</t>
  </si>
  <si>
    <t>T2_Standart alçılevha asma tavan yapılması</t>
  </si>
  <si>
    <t xml:space="preserve">T3_Neme dayanımlı alçılevha asma tavan yapılması </t>
  </si>
  <si>
    <t>Standart alçılevha asma tavan yüzeylere macun çekilerek su bazlı mat boya yapılması</t>
  </si>
  <si>
    <t>Neme dayanımlı alçılevha asma tavan yüzeylere macun çekilerek neme dayanıklı boya yapılması</t>
  </si>
  <si>
    <t>6.4.5</t>
  </si>
  <si>
    <t>02 21 16</t>
  </si>
  <si>
    <t>6.4</t>
  </si>
  <si>
    <t>6.4.1</t>
  </si>
  <si>
    <t>6.4.2</t>
  </si>
  <si>
    <t>6.4.3</t>
  </si>
  <si>
    <t>6.4.4</t>
  </si>
  <si>
    <t>6.4.6</t>
  </si>
  <si>
    <t>6.4.7</t>
  </si>
  <si>
    <t>6.4.8</t>
  </si>
  <si>
    <t>Döşeme kaplamaları</t>
  </si>
  <si>
    <t>03 35 16</t>
  </si>
  <si>
    <t>09 65 00</t>
  </si>
  <si>
    <t>09 69 00-2</t>
  </si>
  <si>
    <t>Z1a-Yüzey sertleştirici-tozumaz beton yüzey uygulaması (şap üzeri) Sığınak, teknik odalar, depolar</t>
  </si>
  <si>
    <t>Z1b-10 cm Dramix beton (yüzey sertleştirici-tozumaz beton yüzey uygulaması ile birlikte) Üretim alanları, ana depoa alanı ve üretim alanlarına açılan teknik odalar</t>
  </si>
  <si>
    <t>Z2-30x30 cm, beyaz antibakteriyal seramik kaplama yapılması (su depoları) derz dolgu malzemesi ve yapıştırıcı dahil gerekli tüm sarf malzemeleri</t>
  </si>
  <si>
    <t>Z3-30X30 Endüstriyel seramik kaplama yapılması (teknik odalar, kanal içleri) derz dolgu malzemesi ve yapıştırıcı dahil gerekli tüm sarf malzemeleri</t>
  </si>
  <si>
    <t>Z4a-60x60 cm porselen seramik (Wc-Duş,Personel Soyunma) derz dolgu malzemesi ve yapıştırıcı dahil gerekli tüm sarf malzemeleri</t>
  </si>
  <si>
    <t>Z4b-60x60 cm porselen seramik (Ofisler, Ortak alanlar) derz dolgu malzemesi ve yapıştırıcı dahil gerekli tüm sarf malzemeleri</t>
  </si>
  <si>
    <t>Z5-Antistatik vinil kaplama</t>
  </si>
  <si>
    <t>AG Pano odası ve server odasına 40 cm yüksekliğinde yükseltilmiş döşeme yapılması</t>
  </si>
  <si>
    <t>6.5</t>
  </si>
  <si>
    <t>6.5.1</t>
  </si>
  <si>
    <t>6.5.2</t>
  </si>
  <si>
    <t>Merdiven kaplamaları</t>
  </si>
  <si>
    <t>Z6-60X60 cm boyutlarında 3 cm kalınlığında Prekast merdiven sahanlığı kaplaması yapılması (uygulama harcı  dahil)</t>
  </si>
  <si>
    <t>3 cm kalınlığında 150 cm boyunda Prekast merdiven basamağı (uygulama harcı dahil)</t>
  </si>
  <si>
    <t>09 66 13</t>
  </si>
  <si>
    <t>6.6</t>
  </si>
  <si>
    <t>6.6.1</t>
  </si>
  <si>
    <t>Şap uygulanması</t>
  </si>
  <si>
    <t>500 kg çimento dozlu şap yapılması (beton yüzeyli alanlar, seramik, vinil gibi projede kullanılan farklı döşeme  kaplamaları altında, şap kalınlığı, şap uygulanacak alandaki malzemenin kalınlığına ve uygulamasına göre değişik yüksekliklerde yapılacaktır.Şap kalınlıkları için döşeme detaylarına bakılmalıdır.)</t>
  </si>
  <si>
    <t>03 61 13</t>
  </si>
  <si>
    <t>m³</t>
  </si>
  <si>
    <t>Süpürgelik işleri</t>
  </si>
  <si>
    <t>6.7</t>
  </si>
  <si>
    <t>6.7.1</t>
  </si>
  <si>
    <t>6.7.2</t>
  </si>
  <si>
    <t>Seramik süpürgelik (10 cm yüksekliğinde , döşeme seramiği ile aynı renkte)</t>
  </si>
  <si>
    <t>Prekast süpürgelik (merdiven ve prekast döşeme kaplı sahanlık gibi alanlarda) 10 cm yüksekliğinde 1.5 cm kalınlığında</t>
  </si>
  <si>
    <t>6.8</t>
  </si>
  <si>
    <t>6.8.1</t>
  </si>
  <si>
    <t>6.8.2</t>
  </si>
  <si>
    <t>Korkuluk ve bariyer işleri</t>
  </si>
  <si>
    <t>M1 merdiveni - Duvara monte alüminyum küpeşte (Ø50 mm) yapılması (bağlantı elemanları ve tüm aksesuarlar dahil)</t>
  </si>
  <si>
    <t>M1 merdiveni - Alüminyum korkuluk yapılması  (küpeşte Ø50 mm, dikmeler Ø25 mm) yapılması (bağlantı elemanları ve tüm aksesuarlar dahil)</t>
  </si>
  <si>
    <t>KAPI İŞLERİ</t>
  </si>
  <si>
    <t>7.1</t>
  </si>
  <si>
    <t>7.1.1</t>
  </si>
  <si>
    <t>7.1.2</t>
  </si>
  <si>
    <t>7.1.3</t>
  </si>
  <si>
    <t>7.1.4</t>
  </si>
  <si>
    <t>7.1.5</t>
  </si>
  <si>
    <t>7.1.6</t>
  </si>
  <si>
    <t>7.1.7</t>
  </si>
  <si>
    <t>7.1.8</t>
  </si>
  <si>
    <t>7.1.9</t>
  </si>
  <si>
    <t>7.1.10</t>
  </si>
  <si>
    <t>7.1.11</t>
  </si>
  <si>
    <t>7.1.12</t>
  </si>
  <si>
    <t>K1-K6 Galvanize Sac Kapılar</t>
  </si>
  <si>
    <t>08 35 13</t>
  </si>
  <si>
    <t>08 11 13</t>
  </si>
  <si>
    <t>K1a 100x220cm (Çift taraflı açma kollu- EI 90_90 dakika yangına dayanıklı) tek kanatlı sac kapı</t>
  </si>
  <si>
    <t>K1b 100x220cm (Çift taraflı açma kollu- EI 90_90 dakika yangına dayanıklı) geniş kasa tek kanatlı sac kapı</t>
  </si>
  <si>
    <t>K1c 110x220cm (Çift taraflı açma kollu- EI 90_90 dakika yangına dayanıklı) tek kanatlı sac kapı</t>
  </si>
  <si>
    <t>K2 110x220cm (Panik Barlı+açma kollu - EI 90_90 dakika yangına dayanıklı) tek kanatlı sac kapı</t>
  </si>
  <si>
    <t>K3a 180x250cm (Çift taraflı açma kollu) çift kanatlı sac kapı</t>
  </si>
  <si>
    <t>K3b 180x250cm (Çift taraflı açma kollu-EI90_90 dakika yangına dayanıklı) çift kanatlı sac kapı</t>
  </si>
  <si>
    <t>K3c 200x250cm (Çift taraflı açma kollu-EI90_90 dakika yangına dayanıklı) çift kanatlı sac kapı</t>
  </si>
  <si>
    <t>K3d 200x250cm (Çift taraflı açma kollu) çift kanatlı sac kapı</t>
  </si>
  <si>
    <t>K4 110x250cm  (Panik Barlı+açma kollu - EI 90_90 dakika yangına dayanıklı) tek kanatlı sac kapı</t>
  </si>
  <si>
    <t>K5a 180x250cm (Çift taraflı açma kollu - EI 90_90 dakika yangına dayanıklı) çift kanatlı sac kapı</t>
  </si>
  <si>
    <t>K5b 200x250cm (Çift taraflı açma kollu - menfezli) çift kanatlı sac kapı</t>
  </si>
  <si>
    <t>K6 160x250cm (Çift taraflı açma kollu - menfezli) çift kanatlı sac kapı</t>
  </si>
  <si>
    <t>7.2</t>
  </si>
  <si>
    <t>7.2.1</t>
  </si>
  <si>
    <t>7.2.2</t>
  </si>
  <si>
    <t>7.2.3</t>
  </si>
  <si>
    <t>7.2.4</t>
  </si>
  <si>
    <t>K7-K8 Alüminyum kasalı-Laminat kanatlı Kapılar</t>
  </si>
  <si>
    <t>08 14 26</t>
  </si>
  <si>
    <t>K7a 100x220cm (Çift taraflı açma kollu) alüminyum kasa laminat kanat tek kanatlı kapı</t>
  </si>
  <si>
    <t>K7b 100x220cm (Çarpma kapı - pencereli) alüminyum kasa laminat kanat tek kanatlı kapı</t>
  </si>
  <si>
    <t>K8a 140x220cm (Çift taraflı açma kollu) alüminyum kasa laminat kanat çift kanatlı kapı</t>
  </si>
  <si>
    <t>K8b 160x220cm (Çift taraflı açma kollu) alüminyum kasa laminat kanat çift kanatl kapı</t>
  </si>
  <si>
    <t>7.3</t>
  </si>
  <si>
    <t>7.3.1</t>
  </si>
  <si>
    <t>7.3.2</t>
  </si>
  <si>
    <t>K9 Endüstriyel Seksiyonel Kapılar</t>
  </si>
  <si>
    <t xml:space="preserve">K9a 500x500cm (Otomasyonlu Seksiyonel Kapı) </t>
  </si>
  <si>
    <t>K9b 500x500cm (Otomasyonlu Seksiyonel Kapı - Personel Giriş Kapılı)</t>
  </si>
  <si>
    <t>7.4</t>
  </si>
  <si>
    <t>7.4.1</t>
  </si>
  <si>
    <t>K10 Otomatik Kayar Kapılar</t>
  </si>
  <si>
    <t>200x300 cm boyutlarında fotoselli kayar kapı</t>
  </si>
  <si>
    <t>08 42 29-2</t>
  </si>
  <si>
    <t>08 36 13</t>
  </si>
  <si>
    <t>DOĞRAMA İŞLERİ</t>
  </si>
  <si>
    <t>8.1</t>
  </si>
  <si>
    <t>8.1.1</t>
  </si>
  <si>
    <t>8.1.2</t>
  </si>
  <si>
    <t>Dış Cephe Doğramaları</t>
  </si>
  <si>
    <t xml:space="preserve">P01 340x150cm_ (Alüminyum ısı izolatörlü doğrama, çift yön içeri açılır kanat, tüm akseaurlar dahil)  8mm temperli+16 mm HB+ (5+5) lamine şeffaf ısıcam </t>
  </si>
  <si>
    <t xml:space="preserve">P02 487x150cm_(Alüminyum ısı izolatörlü doğrama, çift yön içeri açılır kanat, tüm akseaurlar dahil)  8mm temperli+16 mm HB+ (5+5) lamine şeffaf ısıcam </t>
  </si>
  <si>
    <t>8.2</t>
  </si>
  <si>
    <t>İç Mekan Doğramaları</t>
  </si>
  <si>
    <t>8.2.1</t>
  </si>
  <si>
    <t xml:space="preserve">ID01 240x265cm </t>
  </si>
  <si>
    <t>8.2.2</t>
  </si>
  <si>
    <t>ID02 520x265cm</t>
  </si>
  <si>
    <t>8.2.3</t>
  </si>
  <si>
    <t>ID03 500x265cm</t>
  </si>
  <si>
    <t>ÖZEL İŞLER</t>
  </si>
  <si>
    <t>9.1</t>
  </si>
  <si>
    <t>9.2</t>
  </si>
  <si>
    <t>Cubicle bölmeler (kapı ve aksesuarlar dahil)</t>
  </si>
  <si>
    <t>Akrilik tezgah (lavabolu)</t>
  </si>
  <si>
    <t>9.3</t>
  </si>
  <si>
    <t>Islak hacim ekipmanları</t>
  </si>
  <si>
    <t>9.3.1</t>
  </si>
  <si>
    <t>S-01 Asma Klozet + Kapak</t>
  </si>
  <si>
    <t>9.3.2</t>
  </si>
  <si>
    <t>S-02 Asma Klozet + Kapak (Sığınak)</t>
  </si>
  <si>
    <t>9.3.3</t>
  </si>
  <si>
    <t>S-03 Asma Klozet Gömme Rezervuar</t>
  </si>
  <si>
    <t>9.3.4</t>
  </si>
  <si>
    <t>S-04 Kumanda Paneli</t>
  </si>
  <si>
    <t>9.3.5</t>
  </si>
  <si>
    <t>S-05 Klozet Stop Valf</t>
  </si>
  <si>
    <t>9.3.6</t>
  </si>
  <si>
    <t>S-06 Tezgah Altı Lavabo (Personel Soyunma Odası)</t>
  </si>
  <si>
    <t>9.3.7</t>
  </si>
  <si>
    <t>9.3.8</t>
  </si>
  <si>
    <t>S-08 Standart Lavabo (Sığınak)</t>
  </si>
  <si>
    <t>9.3.9</t>
  </si>
  <si>
    <t>S-09 Lavabo Bataryası</t>
  </si>
  <si>
    <t>9.3.10</t>
  </si>
  <si>
    <t>S-10 Lavabo Sifonu</t>
  </si>
  <si>
    <t>9.3.11</t>
  </si>
  <si>
    <t>S-11 Duş Kolonu</t>
  </si>
  <si>
    <t>9.3.12</t>
  </si>
  <si>
    <t>S-12 Banyo Bataryası</t>
  </si>
  <si>
    <t>9.3.13</t>
  </si>
  <si>
    <t>S-13 El Duşu</t>
  </si>
  <si>
    <t>9.3.14</t>
  </si>
  <si>
    <t>S-14 Duş Teknesi</t>
  </si>
  <si>
    <t>9.3.15</t>
  </si>
  <si>
    <t>S-15 Lineer Duş Süzgeci</t>
  </si>
  <si>
    <t>9.3.16</t>
  </si>
  <si>
    <t>S-16 Çöp kovası</t>
  </si>
  <si>
    <t>9.3.17</t>
  </si>
  <si>
    <t>S-17 Kabin çöp kovası</t>
  </si>
  <si>
    <t>9.3.18</t>
  </si>
  <si>
    <t xml:space="preserve">S-18 Tuvalet fırçası </t>
  </si>
  <si>
    <t>9.3.19</t>
  </si>
  <si>
    <t>S-19 Askı</t>
  </si>
  <si>
    <t>9.3.20</t>
  </si>
  <si>
    <t>S-20 Tuvalet Kağıtlığı</t>
  </si>
  <si>
    <t>9.3.21</t>
  </si>
  <si>
    <t>S-21 El Kurutma Makinası</t>
  </si>
  <si>
    <t>9.3.22</t>
  </si>
  <si>
    <t>S-22 Sabit Duvar Aynası (120x120cm)</t>
  </si>
  <si>
    <t>9.3.23</t>
  </si>
  <si>
    <t>S-23 Sabit Duvar Aynası (240x120cm)</t>
  </si>
  <si>
    <t>9.3.24</t>
  </si>
  <si>
    <t>S-24 Sabit Duvar Aynası (150x120cm)</t>
  </si>
  <si>
    <t>9.3.25</t>
  </si>
  <si>
    <t>S-25 Tezgah Üstü Paslanmaz Eviye (Sığınak)</t>
  </si>
  <si>
    <t>9.3.26</t>
  </si>
  <si>
    <t>ANA BİNA İNŞAİ İŞLER</t>
  </si>
  <si>
    <t>SAHA İNŞAİ İŞLER</t>
  </si>
  <si>
    <t>1</t>
  </si>
  <si>
    <t>1.1.1</t>
  </si>
  <si>
    <t>1.1.2</t>
  </si>
  <si>
    <t>1.1.3</t>
  </si>
  <si>
    <t>SERT PEYZAJ İŞLERİ</t>
  </si>
  <si>
    <t>Zemin Kaplamaları</t>
  </si>
  <si>
    <t>P1-Yüzeyi taraklı beton kaplama yapılması (10cm tek kat hasır çelikli beton, bitiş kaplaması,derzli)</t>
  </si>
  <si>
    <t>P2-Bazalt plak taş kaplaması yapılması, 30x100x3cm, Kumlu/Fırçalı, yüzey kaymazlık işlemi ve 4cm harç dahil</t>
  </si>
  <si>
    <t>P3-Bazalt merdiven basamak taşı ve rıht yapılması (basamak 33x100x3cm / rıht 17x100x2cm) Kumlu/Fırçalı, kenar pahlı, yüzey kaymazlık işlemi ve 4cm harç dahil</t>
  </si>
  <si>
    <t>32 14 00</t>
  </si>
  <si>
    <t>32 14 40</t>
  </si>
  <si>
    <t>Bordürler</t>
  </si>
  <si>
    <t>1.2.1</t>
  </si>
  <si>
    <t>B1-Beton bordür yapılması (10x20x50mm, Doğal Yüzey,Gri)</t>
  </si>
  <si>
    <t>1.2.2</t>
  </si>
  <si>
    <t>B2-Beton oluk taşı yapılması (en:20cmxboy:30cm,h:6cm Doğal Yüzey,Gri)</t>
  </si>
  <si>
    <t>1.2.3</t>
  </si>
  <si>
    <t>B3-Bazalt bordür yapılması (10x20x50mm, Doğal Yüzey,Gri)</t>
  </si>
  <si>
    <t>32 14 13</t>
  </si>
  <si>
    <t>1.3</t>
  </si>
  <si>
    <t>Sinyalizasyon</t>
  </si>
  <si>
    <t>Sinyalizasyon İşleri</t>
  </si>
  <si>
    <t>1.3.1</t>
  </si>
  <si>
    <t>S1-Otopark çizgilerinin akrilik yol boyası ile 2mm kalınlığında 10cm genişliğinde projesine uygun olarak boyanması (engelli/şarjlı araç işaretlemesinin şablonlu boyanması dahil)</t>
  </si>
  <si>
    <t>1.3.2</t>
  </si>
  <si>
    <t xml:space="preserve">S2-Araç stoperi 150x15cm boyutlarında 60mm boru profilden beyaz elektrostatik toz boya ile boyanmış stopper temini ve montajının yapılması </t>
  </si>
  <si>
    <t>1.3.3</t>
  </si>
  <si>
    <t>S3-Otomatik bariyer yapılması (Araç giriş&amp;çıkışında, Renk: Standard, Ölçü: 7m uzunluğunda)</t>
  </si>
  <si>
    <t>1.3.4</t>
  </si>
  <si>
    <t>S4-Otomatik sürgülü metal kapı temin edilmesi ve tüm montaj işlerinin yapılması (Araç giriş&amp;çıkışında, Renk: Gri, Ölçü: 15m ve 5m açıklık için gereken ölçüde / h:150cm olmak üzere 2 adet)</t>
  </si>
  <si>
    <t>adet</t>
  </si>
  <si>
    <t>set</t>
  </si>
  <si>
    <t>1.4</t>
  </si>
  <si>
    <t>Metal İşleri</t>
  </si>
  <si>
    <t>Dekoratif Metal İşleri</t>
  </si>
  <si>
    <t>1.4.1</t>
  </si>
  <si>
    <t>1.4.2</t>
  </si>
  <si>
    <t>M2-Galvaniz boyalı çelik metal ızgara temin edilmesi ve montajının yapılması, bağlantı için gerekli her türlü çelik konstrüksiyon, tüm aksesuar ve ankraj dahildir (yürüme yolundaki mekanik kuranglezlerin üzerinde70x140cm ve 100x240cm ebatlarında 2 adet)</t>
  </si>
  <si>
    <t>32 31 10</t>
  </si>
  <si>
    <t>1.4.3</t>
  </si>
  <si>
    <t>M3-Çevre çiti yapılması (çevre duvarı üzerine kutu profil dikmeli, h:1.00mt yüksekliğinde, renk RAL7039 gri, proje detayına uygun çit yapılması)</t>
  </si>
  <si>
    <t>2</t>
  </si>
  <si>
    <t>DIŞ SAHA KAPLAMA ALTI İMALATLAR</t>
  </si>
  <si>
    <t>Döşeme betonu yapılması (20cm çift kat hasır çelikli beton) - Araç Yolu &amp; Otopark</t>
  </si>
  <si>
    <t>Döşeme betonu yapılması (10cm tek kat hasır çelikli beton) - Kaldırım &amp; Yürüme Yolu</t>
  </si>
  <si>
    <t>Polietilen örtü (200 μ) serilmesi (zemine oturan döşeme betonu altında)</t>
  </si>
  <si>
    <t>3</t>
  </si>
  <si>
    <t>ÇEVRE DUVARI İŞLERİ</t>
  </si>
  <si>
    <t>Çevre duvarının betonarme imalatları İnşaii İşler Keşfi kapsamında fiyatlandırılacaktır.</t>
  </si>
  <si>
    <t>Çevre duvarının boyası 1.5.1 pozunda ve çit imalatları 1.4.3 pozunda fiyatlandırılacaktır.</t>
  </si>
  <si>
    <t>4</t>
  </si>
  <si>
    <t>1.5</t>
  </si>
  <si>
    <t>Boya İşleri</t>
  </si>
  <si>
    <t>1.5.1</t>
  </si>
  <si>
    <t xml:space="preserve">D1-Dış cephe boyası yapılması, yüzeyi dokulu (çevre duvarının betonarme yüzeylerine, renk projesine göre) </t>
  </si>
  <si>
    <t>MEKANİK İŞLER</t>
  </si>
  <si>
    <t>HVAC TESİSATI</t>
  </si>
  <si>
    <t>H-01</t>
  </si>
  <si>
    <t>FANLAR</t>
  </si>
  <si>
    <t>Marka Listesi</t>
  </si>
  <si>
    <t>SYSTEMAIR-AFS-ATC</t>
  </si>
  <si>
    <t>Cihaz Kodu: SF-01/B1</t>
  </si>
  <si>
    <t>Tip :Kanal  Tipİ Taze Hava Fanı</t>
  </si>
  <si>
    <t>Hizmet Alanı : SIĞINAK</t>
  </si>
  <si>
    <t>Hava Debisi (m3/h): 1000</t>
  </si>
  <si>
    <t>Dış Statik Basınç(Pa): 300</t>
  </si>
  <si>
    <t>G4 FİLTRE</t>
  </si>
  <si>
    <t>RADYOAKTİF FILTRE</t>
  </si>
  <si>
    <t>A.KARBON FILTRE</t>
  </si>
  <si>
    <t>Cihaz Kodu: EF-01/B1</t>
  </si>
  <si>
    <t>Tip :Kanal  Tipİ Aksiyal Egzoz Fan</t>
  </si>
  <si>
    <t>Dış Statik Basınç(Pa): 150</t>
  </si>
  <si>
    <t>Cihaz Kodu: EF-02/B1</t>
  </si>
  <si>
    <t>Ekipman Yeri :POMPA ODASI</t>
  </si>
  <si>
    <t>Hava Debisi (m3/h): 2000</t>
  </si>
  <si>
    <t>Dış Statik Basınç(Pa): 200</t>
  </si>
  <si>
    <t>E.B:  1,50 kW /3/380/50</t>
  </si>
  <si>
    <t>Cihaz Kodu: EF-01/GF (EXPROOF)</t>
  </si>
  <si>
    <t>Ekipman Yeri :DEPO</t>
  </si>
  <si>
    <t>Hava Debisi (m3/h): 1500</t>
  </si>
  <si>
    <t>Tip :Kanal  Tipİ Egzoz Fan</t>
  </si>
  <si>
    <t>Cihaz Kodu: EF-02/GF</t>
  </si>
  <si>
    <t>Ekipman Yeri :Elektrik-Eloktronik Oda</t>
  </si>
  <si>
    <t>Hava Debisi (m3/h): 3500</t>
  </si>
  <si>
    <t>Cihaz Kodu: EF-03/GF</t>
  </si>
  <si>
    <t>Hava Debisi (m3/h): 12000</t>
  </si>
  <si>
    <t>Cihaz Kodu: KEF-01/RF</t>
  </si>
  <si>
    <t>Ekipman Yeri :ÇATI</t>
  </si>
  <si>
    <t>Hava Debisi (m3/h): 3000</t>
  </si>
  <si>
    <t>Dış Statik Basınç(Pa): 250</t>
  </si>
  <si>
    <t>Tip :Çatı Tipi Davlumbaz  Egzoz Fanı</t>
  </si>
  <si>
    <t>Cihaz Kodu: EF-01/RF</t>
  </si>
  <si>
    <t>Hava Debisi (m3/h): 2400</t>
  </si>
  <si>
    <t>Tip :Çatı Tipi  Egzoz Fanı</t>
  </si>
  <si>
    <t>H-02</t>
  </si>
  <si>
    <r>
      <rPr>
        <b/>
        <u/>
        <sz val="11"/>
        <color theme="1"/>
        <rFont val="Tahoma"/>
        <family val="2"/>
        <charset val="162"/>
      </rPr>
      <t>ISI GERİ KAZANIMLI TAZE HAVA CİHAZI</t>
    </r>
    <r>
      <rPr>
        <b/>
        <sz val="11"/>
        <color theme="1"/>
        <rFont val="Tahoma"/>
        <family val="2"/>
        <charset val="162"/>
      </rPr>
      <t xml:space="preserve">
</t>
    </r>
    <r>
      <rPr>
        <sz val="11"/>
        <color theme="1"/>
        <rFont val="Tahoma"/>
        <family val="2"/>
        <charset val="162"/>
      </rPr>
      <t>100% taze havalı, plakalı tip ısı geri kazanımlı,entegre elektrikli ısıtıcılı,</t>
    </r>
  </si>
  <si>
    <t>Cihaz No. : IGK-01/ZK</t>
  </si>
  <si>
    <t>Üfleme Hava Debisi (m³/h): 2000</t>
  </si>
  <si>
    <t>Dönüş Hava Debisi (m³/h): 1000</t>
  </si>
  <si>
    <t>Üfleme Tarafı Dış Statik Basınç (Pa): 200</t>
  </si>
  <si>
    <t>Dönüş Tarafı Dış Statik Basınç (Pa): 200</t>
  </si>
  <si>
    <t>5 KW daihili  elektrik ısıtıcılı</t>
  </si>
  <si>
    <t xml:space="preserve">ENEKO-DAİKIN-TOSHİBA-
SYSTEM AİR HSK </t>
  </si>
  <si>
    <t>Cihaz No. : IGK-01/AK</t>
  </si>
  <si>
    <t>Dönüş Hava Debisi (m³/h): 2000</t>
  </si>
  <si>
    <t>H-03</t>
  </si>
  <si>
    <t xml:space="preserve">DEĞİŞKEN SOĞUTUCU AKIŞKAN DEBİLİ KLİMA SİSTEMİ </t>
  </si>
  <si>
    <t>DAIKIN-M.ELECTRIC-TOSHİBA-SYSTEMAİR HSK</t>
  </si>
  <si>
    <t>VRV DIŞ ÜNİTE</t>
  </si>
  <si>
    <t>DIŞ ÜNİTE ÜNİTE NO: DU-01/ÇK</t>
  </si>
  <si>
    <t>DIŞ ÜNİTE SOĞUTMA YÜKÜ: 54.0 KW</t>
  </si>
  <si>
    <t>DIŞ ÜNİTENİN HİTAP ETTİĞİ CİHAZ NO: VRV-1….10/AK</t>
  </si>
  <si>
    <t>Eb:18,0 kw/380/3/50</t>
  </si>
  <si>
    <t>DIŞ ÜNİTE ÜNİTE NO: DU-02/ÇK</t>
  </si>
  <si>
    <t>DIŞ ÜNİTE SOĞUTMA YÜKÜ: 42.0 KW</t>
  </si>
  <si>
    <t>DIŞ ÜNİTENİN HİTAP ETTİĞİ CİHAZ NO: VRV-1….10/ZK</t>
  </si>
  <si>
    <t>Eb:15,0 kw/380/3/50</t>
  </si>
  <si>
    <t>DIŞ ÜNİTE ÜNİTE NO: DU-06/GF</t>
  </si>
  <si>
    <t>DIŞ ÜNİTE SOĞUTMA YÜKÜ: 12.0 KW</t>
  </si>
  <si>
    <t>DIŞ ÜNİTENİN HİTAP ETTİĞİ CİHAZ NO:VRV-11-12-13/ZK</t>
  </si>
  <si>
    <t>Eb:5,0 kw/380/3/50</t>
  </si>
  <si>
    <t>DIŞ ÜNİTE ÜNİTE NO: DU-03/GF</t>
  </si>
  <si>
    <t>DIŞ ÜNİTE SOĞUTMA YÜKÜ: 14.0 KW</t>
  </si>
  <si>
    <t>DIŞ ÜNİTENİN HİTAP ETTİĞİ CİHAZ NO:THF-01/AK</t>
  </si>
  <si>
    <t>Cihaz Kodu: THF-01/AK</t>
  </si>
  <si>
    <t>Ekipman Yeri :TERAS</t>
  </si>
  <si>
    <t>Dış Statik Basınç(Pa): 180</t>
  </si>
  <si>
    <t>Tip : Kanal Tipi Taze Hava Fanı ( DX BATARYALI )</t>
  </si>
  <si>
    <t>VRV İÇ ÜNİTE NO:VRV-01/ZK - Tavan Tipi Kasetli</t>
  </si>
  <si>
    <t>Qc=7.0kW</t>
  </si>
  <si>
    <t>Eb:0,073kw/220/1/50</t>
  </si>
  <si>
    <t>VRV İÇ ÜNİTE NO:VRV-02/ZK - Tavan Tipi Kasetli</t>
  </si>
  <si>
    <t>Qc=5.50kW</t>
  </si>
  <si>
    <t>VRV İÇ ÜNİTE NO:VRV-03/ZK - Tavan Tipi Kasetli</t>
  </si>
  <si>
    <t>VRV İÇ ÜNİTE NO:VRV-04/ZK - Tavan Tipi Kasetli</t>
  </si>
  <si>
    <t>Qc=2.2kW</t>
  </si>
  <si>
    <t>VRV İÇ ÜNİTE NO:VRV-05/ZK - Tavan Tipi Kasetli</t>
  </si>
  <si>
    <t>Qc=4,5kW</t>
  </si>
  <si>
    <t>VRV İÇ ÜNİTE NO:VRV-06/ZK - Tavan Tipi Kasetli</t>
  </si>
  <si>
    <t>Qc=2.5kW</t>
  </si>
  <si>
    <t>VRV İÇ ÜNİTE NO:VRV-07/ZK - Tavan Tipi Kasetli</t>
  </si>
  <si>
    <t>VRV İÇ ÜNİTE NO:VRV-08/ZK - Tavan Tipi Kasetli</t>
  </si>
  <si>
    <t>VRV İÇ ÜNİTE NO:VRV-09/ZK - Tavan Tipi Kasetli</t>
  </si>
  <si>
    <t>VRV İÇ ÜNİTE NO:VRV-10/ZK - Tavan Tipi Kasetli</t>
  </si>
  <si>
    <t>VRV İÇ ÜNİTE NO:VRV-01/AK - Tavan Tipi Kasetli</t>
  </si>
  <si>
    <t>Qc=6.0kW</t>
  </si>
  <si>
    <t>VRV İÇ ÜNİTE NO:VRV-02/AK - Tavan Tipi Kasetli</t>
  </si>
  <si>
    <t>VRV İÇ ÜNİTE NO:VRV-03/AK - Tavan Tipi Kasetli</t>
  </si>
  <si>
    <t>VRV İÇ ÜNİTE NO:VRV-04/AK - Tavan Tipi Kasetli</t>
  </si>
  <si>
    <t>VRV İÇ ÜNİTE NO:VRV-05/AK - Tavan Tipi Kasetli</t>
  </si>
  <si>
    <t>Qc=6,0kW</t>
  </si>
  <si>
    <t>VRV İÇ ÜNİTE NO:VRV-06/AK - Tavan Tipi Kasetli</t>
  </si>
  <si>
    <t>VRV İÇ ÜNİTE NO:VRV-07/AK - Tavan Tipi Kasetli</t>
  </si>
  <si>
    <t>VRV İÇ ÜNİTE NO:VRV-08/AK - Tavan Tipi Kasetli</t>
  </si>
  <si>
    <t>VRV İÇ ÜNİTE NO:VRV-09/AK - Tavan Tipi Kasetli</t>
  </si>
  <si>
    <t>VRV İÇ ÜNİTE NO:VRV-10/AK - Tavan Tipi Kasetli</t>
  </si>
  <si>
    <t>Qc=6,00kW</t>
  </si>
  <si>
    <t>VRV İÇ ÜNİTE NO:VRV-11/ZK - Tavan Tipi Kasetli</t>
  </si>
  <si>
    <t>VRV İÇ ÜNİTE NO:VRV-12/ZK - Tavan Tipi Kasetli</t>
  </si>
  <si>
    <t>Qc=2,20kW</t>
  </si>
  <si>
    <t>VRV İÇ ÜNİTE NO:VRV-13/ZK - Tavan Tipi Kasetli</t>
  </si>
  <si>
    <t>BAKIR BORULAMA
(Fitings, İzolasyon ve işçilik dahil)</t>
  </si>
  <si>
    <t>Ø 6,4</t>
  </si>
  <si>
    <t>Ø 9,45</t>
  </si>
  <si>
    <t>Ø 12,7</t>
  </si>
  <si>
    <t>Ø 15,88</t>
  </si>
  <si>
    <t>Ø 19,2</t>
  </si>
  <si>
    <t>Ø 22,2</t>
  </si>
  <si>
    <t>Ø 28,58</t>
  </si>
  <si>
    <t>Ø 34,9</t>
  </si>
  <si>
    <t>m</t>
  </si>
  <si>
    <t>VRV DRENAJ BORUSU U-PVC</t>
  </si>
  <si>
    <t>Ø 25</t>
  </si>
  <si>
    <t>Ø 32</t>
  </si>
  <si>
    <t>Ø 40</t>
  </si>
  <si>
    <t>Ø 50</t>
  </si>
  <si>
    <t>JOINTLER</t>
  </si>
  <si>
    <r>
      <rPr>
        <b/>
        <u/>
        <sz val="11"/>
        <color theme="1"/>
        <rFont val="Tahoma"/>
        <family val="2"/>
        <charset val="162"/>
      </rPr>
      <t>SİNYALİZASYON KABLOSU</t>
    </r>
    <r>
      <rPr>
        <sz val="11"/>
        <color theme="1"/>
        <rFont val="Tahoma"/>
        <family val="2"/>
        <charset val="162"/>
      </rPr>
      <t xml:space="preserve">
İÇ ÜNİTE DIŞ ÜNİTE VE ODA TERMOSTADI  KABLOLAMA İŞLERİ VE ÜNİTELERİN ELEKTRİK BAĞLANTILARININ YAPILMASI</t>
    </r>
  </si>
  <si>
    <t>HABERLEŞME KİTİ</t>
  </si>
  <si>
    <t>AZOT TESTİ</t>
  </si>
  <si>
    <t>GAZ ŞARJI (R410A)</t>
  </si>
  <si>
    <t>H-04</t>
  </si>
  <si>
    <t>ÇUKUOVA VEYA MUADİLİ</t>
  </si>
  <si>
    <t>RADYANT ISITICI
Doğalgazlı, U borulu İkiz Tip Radyant Isıtıcı ( Örnek Model, Çukurova BH-55ST)</t>
  </si>
  <si>
    <t>Cihaz Kodu: RI-../ GF</t>
  </si>
  <si>
    <t>Ekipman Yeri :Üretim alanı</t>
  </si>
  <si>
    <t>Hizmet Alanı : Üretim alanı</t>
  </si>
  <si>
    <t>Isıtma Gücü (KW): 55</t>
  </si>
  <si>
    <t>H-05</t>
  </si>
  <si>
    <t>H-06</t>
  </si>
  <si>
    <t>H-07</t>
  </si>
  <si>
    <t>RADYANT ISITICI EGZOZ ÇIKIŞ SETİ</t>
  </si>
  <si>
    <t>RADYANT ISITICI KONTROL PANOSU</t>
  </si>
  <si>
    <t>RADYANT ISITICI DOĞALGAZ BAĞLANTI HORTUMU
1/2" - 60 cm</t>
  </si>
  <si>
    <t>H-08</t>
  </si>
  <si>
    <t>SPLİT KLİMALAR</t>
  </si>
  <si>
    <t>İÇ ÜNİTE + DIŞ ÜNİTE - KIŞ ÇALIŞMA KİTİ İLE BİRLİKTE</t>
  </si>
  <si>
    <t>DUVAR TİPİ  İÇ ÜNİTE</t>
  </si>
  <si>
    <t>Cihaz Kodu: SP-01-02/GF</t>
  </si>
  <si>
    <t>Ekipman Yeri :SERVER ODASI</t>
  </si>
  <si>
    <t>Hizmet Alanı : SERVER ODASI</t>
  </si>
  <si>
    <t>Soğutma Yükü (kw): 4,50 Kw</t>
  </si>
  <si>
    <t>Cihaz Kodu: SP-01-02/5F</t>
  </si>
  <si>
    <t>Ekipman Yeri : A.G.ODASI</t>
  </si>
  <si>
    <t>Hizmet Alanı : A.G.ODASI</t>
  </si>
  <si>
    <t>Soğutma Yükü (kw): 5,50 Kw</t>
  </si>
  <si>
    <t xml:space="preserve">Ç.S.K. EMİŞ ve ÜFLEME MENFEZİ - Zıt kanatlı ayar damperli </t>
  </si>
  <si>
    <t>H-09</t>
  </si>
  <si>
    <t>E.TEKNİK-FİTA-DOĞUŞ</t>
  </si>
  <si>
    <t>ALÜMİNYUM</t>
  </si>
  <si>
    <t>150x150</t>
  </si>
  <si>
    <t>200x150</t>
  </si>
  <si>
    <t>300x150</t>
  </si>
  <si>
    <t>300x200</t>
  </si>
  <si>
    <t>400x200</t>
  </si>
  <si>
    <t>500x200</t>
  </si>
  <si>
    <t>H-10</t>
  </si>
  <si>
    <t>TRANSFER MENFEZİ - EMİŞ</t>
  </si>
  <si>
    <t>ALÜMİNYUM 500*500</t>
  </si>
  <si>
    <t>DIŞ CEPHE PANJURU
Eloksal boyalı tel kafesli - KUTUSU DAHİL</t>
  </si>
  <si>
    <t>1500x1000 mm</t>
  </si>
  <si>
    <t>2000X750 mm</t>
  </si>
  <si>
    <t>1000x250 mm</t>
  </si>
  <si>
    <t>1000x500 mm</t>
  </si>
  <si>
    <t>1000x400 mm</t>
  </si>
  <si>
    <t>500X500 mm</t>
  </si>
  <si>
    <t>H-11</t>
  </si>
  <si>
    <t>H-12</t>
  </si>
  <si>
    <t>GALVANİZ HAVALANDIRMA KANALLARI (fitings askı support bedeli kanal birim fiyatına dahil edilecektir.</t>
  </si>
  <si>
    <t>ASSAN-TEZCAN-SPİRO</t>
  </si>
  <si>
    <t>En geniş kenar 250 mm 'ye kadar</t>
  </si>
  <si>
    <t xml:space="preserve">En geniş kenar 499 mm 'ye kadar </t>
  </si>
  <si>
    <t>En geniş kenar 999 mm 'ye kadar</t>
  </si>
  <si>
    <t>En geniş kenar 1499 mm 'ye kadar</t>
  </si>
  <si>
    <t>m2</t>
  </si>
  <si>
    <r>
      <rPr>
        <b/>
        <sz val="11"/>
        <rFont val="Tahoma"/>
        <family val="2"/>
        <charset val="162"/>
      </rPr>
      <t>DİKDÖRTGEN KANAL İZOLASYONU</t>
    </r>
    <r>
      <rPr>
        <sz val="11"/>
        <rFont val="Tahoma"/>
        <family val="2"/>
        <charset val="162"/>
      </rPr>
      <t xml:space="preserve">
50mm alimünyum folyo kaplı taş yünü izolasyonüzeri 0.7 mm alüminyum gofrajlı sac kaplama (Duman kanalları)</t>
    </r>
  </si>
  <si>
    <r>
      <rPr>
        <b/>
        <sz val="11"/>
        <rFont val="Tahoma"/>
        <family val="2"/>
        <charset val="162"/>
      </rPr>
      <t>DİKDÖRTGEN KANAL İZOLASYONU</t>
    </r>
    <r>
      <rPr>
        <sz val="11"/>
        <rFont val="Tahoma"/>
        <family val="2"/>
        <charset val="162"/>
      </rPr>
      <t xml:space="preserve">
25mm kauçuk köpüğü izolasyon (klima ve klima santralleri üfleme ve emiş kanlları)</t>
    </r>
  </si>
  <si>
    <t>IZOCAM-ODE</t>
  </si>
  <si>
    <t>H-13</t>
  </si>
  <si>
    <t>FLEKS-İzolasyonlı</t>
  </si>
  <si>
    <t>AFS-ODE-FLEXIVA</t>
  </si>
  <si>
    <t>Ø 150</t>
  </si>
  <si>
    <t>Ø 160</t>
  </si>
  <si>
    <t>Ø 180</t>
  </si>
  <si>
    <t>Ø 200</t>
  </si>
  <si>
    <t>Ø 225</t>
  </si>
  <si>
    <t>H-14</t>
  </si>
  <si>
    <t>MENUL AYAR DAMPERİ</t>
  </si>
  <si>
    <t>150x200</t>
  </si>
  <si>
    <t>200x200</t>
  </si>
  <si>
    <t>200x250</t>
  </si>
  <si>
    <t>150x250</t>
  </si>
  <si>
    <t>300x250</t>
  </si>
  <si>
    <t>400x400</t>
  </si>
  <si>
    <t>H-15</t>
  </si>
  <si>
    <t xml:space="preserve">KARE ANEMOSTAD  - Zıt kanatlı ayar damperli - İzolasyonlu kutusu dahil - ÜFLEME VE EMİŞ </t>
  </si>
  <si>
    <t>Alüminyum 600*600</t>
  </si>
  <si>
    <t>H-16</t>
  </si>
  <si>
    <t>Cihaz Kodu: MDD-01..08 / FF
2000X750</t>
  </si>
  <si>
    <t>MOTORLU DUMAN DAMPERİ (YAY GERİ DÖNÜŞLÜ)</t>
  </si>
  <si>
    <t>H-17</t>
  </si>
  <si>
    <t>ERİYEN TELLİ YANGIN DAMPERİ</t>
  </si>
  <si>
    <t>350X300</t>
  </si>
  <si>
    <t>H-18</t>
  </si>
  <si>
    <t>BACK DRAFT DAMPER</t>
  </si>
  <si>
    <t>BORUSAN - ÇAYIROVA</t>
  </si>
  <si>
    <t>H-19</t>
  </si>
  <si>
    <t>ODE - İZOCAM</t>
  </si>
  <si>
    <t>PASLANMAZ DAVLUMBAZ
304 Paslanmaz malzemeden imal edilmiş  üzerinde metal filtreleri olan Mutfak davlumbazı.</t>
  </si>
  <si>
    <t>3400X1000</t>
  </si>
  <si>
    <t>H-20</t>
  </si>
  <si>
    <t>G4- FİLTRE</t>
  </si>
  <si>
    <t>1000 m3/h Debisi için G4 filtre (Kanal üzerine montaj yapılacak şekilde kasa içinde )</t>
  </si>
  <si>
    <t>H-21</t>
  </si>
  <si>
    <t>AKTİF KARBON- FİLTRE</t>
  </si>
  <si>
    <t>H-22</t>
  </si>
  <si>
    <t>RADYOAKTİF  FİLTRE</t>
  </si>
  <si>
    <t>S</t>
  </si>
  <si>
    <t>SIHHİ TESİSAT</t>
  </si>
  <si>
    <t>S-01</t>
  </si>
  <si>
    <t>ISLAK HACİM EKİPMANLARI (işçilik)</t>
  </si>
  <si>
    <t>Vitrifiye listesinde tipi i ve sayısı detaylı verilen vitriye, batarya ve her türlü ekipmanın montajı. Sifon, musluk uzatması, ara musluk, bağlantı flexi  ve her türlü bağlantı ve montaj malzemesidahil yerinde temini ve montajı</t>
  </si>
  <si>
    <t xml:space="preserve">Asma Klozet + Kapak </t>
  </si>
  <si>
    <t>Asma Klozet + Kapak (alt segment)</t>
  </si>
  <si>
    <t>Asma Klozet Gömme Rezervuar</t>
  </si>
  <si>
    <t>Kumanda Paneli</t>
  </si>
  <si>
    <t>Klozet Stop valf</t>
  </si>
  <si>
    <t>Tezgah altı lavabo</t>
  </si>
  <si>
    <t>Standart lavabo</t>
  </si>
  <si>
    <t>Lavabo Bataryası</t>
  </si>
  <si>
    <t>Lavabo Sifonu</t>
  </si>
  <si>
    <t>Duş Kolonu</t>
  </si>
  <si>
    <t>Banyo Bataryası</t>
  </si>
  <si>
    <t>El duşu</t>
  </si>
  <si>
    <t>Duş Teknesi</t>
  </si>
  <si>
    <t>Lineer Duş Süzgeci</t>
  </si>
  <si>
    <t>Tezgahüstü paslanmaz eviye</t>
  </si>
  <si>
    <t>Eviye bataryası (alt segment)</t>
  </si>
  <si>
    <t>Fonksiyonel Eviye Bataryası
6lt/dk</t>
  </si>
  <si>
    <t>Tezgahlı paslanmaz eviye</t>
  </si>
  <si>
    <t>Endüstriyel Lavaba Bataryası</t>
  </si>
  <si>
    <t>Set</t>
  </si>
  <si>
    <t>HİDROFORLAR</t>
  </si>
  <si>
    <t>S-02</t>
  </si>
  <si>
    <t>Cihaz Kodu: P(DCW)-01/1B</t>
  </si>
  <si>
    <t>Ekipman Yeri: MEKANİK ODA</t>
  </si>
  <si>
    <t>Hizmet Alanı: Kullanma Suyu Sistemİ</t>
  </si>
  <si>
    <t>Tip: Hidrofor / Booster Set</t>
  </si>
  <si>
    <t>Su Debisi(m3/h): 2 x 7,5</t>
  </si>
  <si>
    <t>Basınç (mSS): 70</t>
  </si>
  <si>
    <t xml:space="preserve">Not: 1 Asıl (Main) + 1 Yedek (Standby), Frekans konvertörlü </t>
  </si>
  <si>
    <t>Cihaz Kodu: P(DCW)-02/B</t>
  </si>
  <si>
    <t>Su Debisi(m3/h): 2 x ,5</t>
  </si>
  <si>
    <t>Basınç (mSS): 60</t>
  </si>
  <si>
    <t>Not: 1 Asıl (Main) + 1 Yedek (Standby), Sabit devirli</t>
  </si>
  <si>
    <t>Cihaz Kodu: P(DCW)-03/B</t>
  </si>
  <si>
    <t>Su Debisi(m3/h): 2x 5</t>
  </si>
  <si>
    <t>S-03</t>
  </si>
  <si>
    <t>DRENAJ POMPASI</t>
  </si>
  <si>
    <t>KSB-GRUNDFOS-WİLO</t>
  </si>
  <si>
    <t>Cihaz Kodu:P(RW)-01.-02/BK</t>
  </si>
  <si>
    <t>Tip: Drenaj Sistemi-Dalgıç Tip</t>
  </si>
  <si>
    <t>Su Rejimi (ºC): 10</t>
  </si>
  <si>
    <t>Su Debisi (m3/h): 2X10</t>
  </si>
  <si>
    <t>Basınç (mSS): 10</t>
  </si>
  <si>
    <t>ADET: 1 Asıl+1 Yedek</t>
  </si>
  <si>
    <t>Her pomanın basma hattı üstünde toplu çekvana ve kesme vanaları pompa fiyatına dahil edilecektir.</t>
  </si>
  <si>
    <t>Cihaz Kodu:P(WW)-01-02/BK</t>
  </si>
  <si>
    <t>Tip: Drenaj Sistemi-Kirliş sular için Kendinden tanklı atık su pompası</t>
  </si>
  <si>
    <t>Su Debisi (m3/h): 2x7</t>
  </si>
  <si>
    <t>Basınç (mSS): 7</t>
  </si>
  <si>
    <t>ADET: 1 Asıl + 1 Yedek</t>
  </si>
  <si>
    <t>KLOR DOZAJ POMPASI</t>
  </si>
  <si>
    <t>S-04</t>
  </si>
  <si>
    <t>PERMO-NOBEL-GEL</t>
  </si>
  <si>
    <t>Cihaz Kodu CD-01/B1</t>
  </si>
  <si>
    <t>Hizmet Alanı
: Kullanma Suyu Sistemi</t>
  </si>
  <si>
    <t>Dozajlama Oranı(L/h): 5</t>
  </si>
  <si>
    <t>Klor Miktarı(L): 100</t>
  </si>
  <si>
    <t>Klor Tankı / HDPE / et kalınlığı min 5 mm: 1</t>
  </si>
  <si>
    <t>S-05</t>
  </si>
  <si>
    <t>GENLEŞME TANKI</t>
  </si>
  <si>
    <t>FLAMCO-REFLEX-MUADİL</t>
  </si>
  <si>
    <t>Cihaz Kodu: MET-01/1B</t>
  </si>
  <si>
    <t>Ekipman Yeri: Pompa Odası</t>
  </si>
  <si>
    <t>Hizmet Alanı: Hidrofor  Sistemi</t>
  </si>
  <si>
    <t>Kapasite: 500 lt</t>
  </si>
  <si>
    <t>Cihaz Kodu: MET-02-03/MF</t>
  </si>
  <si>
    <t>Kapasite: 300 lt</t>
  </si>
  <si>
    <t xml:space="preserve"> ARITMA SİSTEMİ</t>
  </si>
  <si>
    <t>S-06</t>
  </si>
  <si>
    <t>KUM FİLTRESİ</t>
  </si>
  <si>
    <t xml:space="preserve">Ekipman Kodu: SF-01-02/B </t>
  </si>
  <si>
    <t>Hizmet Alanı: Yağmur suyu sistemi</t>
  </si>
  <si>
    <t>Filtrasyon Hızı :(m/h) 10</t>
  </si>
  <si>
    <t>Debi : (m3/h) : 5</t>
  </si>
  <si>
    <t>Çalışma Basıncı (bar) 2 - 6,0 bar</t>
  </si>
  <si>
    <t>Not:  1 ASIL  -  1 Yedek</t>
  </si>
  <si>
    <t>S-07</t>
  </si>
  <si>
    <t>TEMİZ SU BORULARI (GALVANİZ BORULAR)</t>
  </si>
  <si>
    <t>BORUSAN-ÇAYIROVA</t>
  </si>
  <si>
    <t>DN20</t>
  </si>
  <si>
    <t>DN25</t>
  </si>
  <si>
    <t>DN32</t>
  </si>
  <si>
    <t>DN40</t>
  </si>
  <si>
    <t>DN50</t>
  </si>
  <si>
    <t>DN65</t>
  </si>
  <si>
    <t>DN80</t>
  </si>
  <si>
    <t>Temiz su boruları boru montaj malzemesi bedeli</t>
  </si>
  <si>
    <t>%</t>
  </si>
  <si>
    <t xml:space="preserve">TEMİZ SU BORU İZOLASYONU  (mekanik oda da boylerden sonraki  ıslak hacimlere kadar tüm hatlar.) </t>
  </si>
  <si>
    <t>S-08</t>
  </si>
  <si>
    <t>İZOCAM-ODE</t>
  </si>
  <si>
    <t xml:space="preserve"> Ø 25mm-13 mm kauçuk esaslı prefabrik boru izolasyonu</t>
  </si>
  <si>
    <t xml:space="preserve"> Ø 32mm-13 mm kauçuk esaslı prefabrik boru izolasyonu</t>
  </si>
  <si>
    <t xml:space="preserve"> Ø 40mm-13 mm kauçuk esaslı prefabrik boru izolasyonu</t>
  </si>
  <si>
    <t xml:space="preserve"> Ø 50mm-19 mm kauçuk esaslı prefabrik boru izolasyonu</t>
  </si>
  <si>
    <t>TEMİZ SU BORULARI (PPRC)</t>
  </si>
  <si>
    <t>PİLSA-FIRAT-HAKAN</t>
  </si>
  <si>
    <t>DN15 - Ø 20mm</t>
  </si>
  <si>
    <t>DN20 - Ø 25mm</t>
  </si>
  <si>
    <t>DN32 - Ø 40mm</t>
  </si>
  <si>
    <t>DN40 - Ø 50mm</t>
  </si>
  <si>
    <t>DN50 - Ø 63mm</t>
  </si>
  <si>
    <t>DN25 - Ø 32mm</t>
  </si>
  <si>
    <t>S-09</t>
  </si>
  <si>
    <t>S-10</t>
  </si>
  <si>
    <t>PİS SU BORULARI - SESSİZ  POLİPROPİLEN ESASLI ATIK SU BORUSU</t>
  </si>
  <si>
    <t>S-11</t>
  </si>
  <si>
    <t>YAĞMUR SUYU BORULAR</t>
  </si>
  <si>
    <t>Ø 100 mm</t>
  </si>
  <si>
    <t>Pis su boruları boru montaj malzemesi bedeli</t>
  </si>
  <si>
    <t>Yağmur suyu boruları boru montaj malzemesi bedeli</t>
  </si>
  <si>
    <t>S-12</t>
  </si>
  <si>
    <t>Tüm drenaj boruları 5mm boru tipi kauçuk köpüğü ile izolasyon yapılacaktır. İzolasyon bedeli boru fiyatına dahil edilecektir.</t>
  </si>
  <si>
    <t xml:space="preserve"> Ø 70mm</t>
  </si>
  <si>
    <t xml:space="preserve"> Ø 100mm</t>
  </si>
  <si>
    <t xml:space="preserve"> Ø 150mm</t>
  </si>
  <si>
    <t xml:space="preserve"> Ø 25 mm</t>
  </si>
  <si>
    <t xml:space="preserve"> Ø 32 mm</t>
  </si>
  <si>
    <t xml:space="preserve"> Ø 40 mm</t>
  </si>
  <si>
    <t xml:space="preserve"> Ø 70 mm</t>
  </si>
  <si>
    <t xml:space="preserve"> Ø 100 mm</t>
  </si>
  <si>
    <t xml:space="preserve"> Ø 125 mm</t>
  </si>
  <si>
    <t xml:space="preserve"> Ø 150 mm</t>
  </si>
  <si>
    <t>Klima boruları boru montaj malzemesi bedeli</t>
  </si>
  <si>
    <t>S-13</t>
  </si>
  <si>
    <t>SU SAYACI (Mbus çıkışlı)</t>
  </si>
  <si>
    <t>S-14</t>
  </si>
  <si>
    <t xml:space="preserve">TEMİZLEME KAPAKLARI </t>
  </si>
  <si>
    <t>PVC</t>
  </si>
  <si>
    <t>S-15</t>
  </si>
  <si>
    <t>Ø 63</t>
  </si>
  <si>
    <t>HDPE  BORU (Dış saha)</t>
  </si>
  <si>
    <t>KLİMA DRENAJ BORULARI- U  PVC SERT BORU</t>
  </si>
  <si>
    <t>HDPE boruları boru montaj malzemesi bedeli</t>
  </si>
  <si>
    <t>S-16</t>
  </si>
  <si>
    <t>KÜRESEL VE KELEBEK VANALAR</t>
  </si>
  <si>
    <t>DUYAR-ECA-İNTERVALF</t>
  </si>
  <si>
    <t>DN 15</t>
  </si>
  <si>
    <t>DN 25</t>
  </si>
  <si>
    <t>DN 32</t>
  </si>
  <si>
    <t>DN 40</t>
  </si>
  <si>
    <t>DN 50</t>
  </si>
  <si>
    <t>DN 65</t>
  </si>
  <si>
    <t>DN 80</t>
  </si>
  <si>
    <t>S-17</t>
  </si>
  <si>
    <t>EMNİYET VENTİLİ</t>
  </si>
  <si>
    <t>DUYAR-AYVAZ-IMT</t>
  </si>
  <si>
    <t>DN32-9 bar</t>
  </si>
  <si>
    <t>DN25-7 bar</t>
  </si>
  <si>
    <t>S-18</t>
  </si>
  <si>
    <t>PİSLİK TUTUCU</t>
  </si>
  <si>
    <t>DN15</t>
  </si>
  <si>
    <t>S-19</t>
  </si>
  <si>
    <t>ÇEK VANA</t>
  </si>
  <si>
    <t>S-20</t>
  </si>
  <si>
    <t>KOMPANSATÖR-Cihaz Bağlantısı</t>
  </si>
  <si>
    <t>AYVAZ-DUYAR-KAYSE</t>
  </si>
  <si>
    <t>S-21</t>
  </si>
  <si>
    <t>HAVALIK ŞAPKASI</t>
  </si>
  <si>
    <t>S-22</t>
  </si>
  <si>
    <t>MANYETİK SEVİYE GÖSTERGESİ</t>
  </si>
  <si>
    <t>KAYSE-AYVAZ</t>
  </si>
  <si>
    <t>H= 3,0 m</t>
  </si>
  <si>
    <t>S-23</t>
  </si>
  <si>
    <t>SÜZGEÇLER</t>
  </si>
  <si>
    <t>SUKAR-ACO-DALLMER</t>
  </si>
  <si>
    <t xml:space="preserve">20X20 Pik döküm süzgeç - Ø 70mm </t>
  </si>
  <si>
    <t>PE malzemeden izolasyon yakalı 20x20 parepet süzgeçi</t>
  </si>
  <si>
    <t xml:space="preserve">15 x 15 cm ebatlarında pvc gövdeli paslanmaz kapaklı yer süzgeci Ø 70 mm </t>
  </si>
  <si>
    <t xml:space="preserve">20s20 izolasyon yakalı Eurodrain paslanmaz mutfak süzgeçi
Ø 70 mm </t>
  </si>
  <si>
    <t>S-24</t>
  </si>
  <si>
    <t>MEKANİK ŞAMANDIRALI VANA</t>
  </si>
  <si>
    <t>VALFON-HONEYWELL-DOĞUŞ</t>
  </si>
  <si>
    <t>TOPLU ŞAMANDIRALI FLATÖR
Arıtılmış yağmursuyu depo girişinde - DN32</t>
  </si>
  <si>
    <t>S-25</t>
  </si>
  <si>
    <t>MANOMETRE</t>
  </si>
  <si>
    <t>PAKKENS-AFRISO-MUADİL</t>
  </si>
  <si>
    <t>S-26</t>
  </si>
  <si>
    <t>GALVANİZ KOLLEKTÖR</t>
  </si>
  <si>
    <t>DN100 - Kollektör ağızları bu kalemde fiyata eklenecektir.</t>
  </si>
  <si>
    <t>MT.</t>
  </si>
  <si>
    <t>S-27</t>
  </si>
  <si>
    <t>MODULER GALVANİZ SU DEPOSU</t>
  </si>
  <si>
    <t>ESİNOKS - EBOTEK YADA MUADİLİ</t>
  </si>
  <si>
    <t>12m3 hacminde, üzerinde projede gösterilen ölçüler müdehale kapağı, boru girişleri, şeffaf su seviye gösterge hortumu olacaktır.</t>
  </si>
  <si>
    <t>TEZGAH ALTI YAĞ AYIRICI</t>
  </si>
  <si>
    <t>ACO - BAŞARAN YADA MUADİLİ</t>
  </si>
  <si>
    <t>0,5 lt/sn paslanmaz malzemeden imal.</t>
  </si>
  <si>
    <t>S-28</t>
  </si>
  <si>
    <t>S-29</t>
  </si>
  <si>
    <t>PETROL VE ÇAMUR AYIRICI (ZEMİN ALTI GÖMÜLÜ TİP)</t>
  </si>
  <si>
    <t>TANK PLAST - ACO YADA MUADİLİ</t>
  </si>
  <si>
    <t>15 lt/sn PE malzemeden imal.</t>
  </si>
  <si>
    <t>S-30</t>
  </si>
  <si>
    <t>DÖKÜM IZGARALAR  (BETON KANAL ÜZERİ DÖKÜM IZGARA)</t>
  </si>
  <si>
    <t xml:space="preserve">MERT DÖKÜM </t>
  </si>
  <si>
    <t>ağır yüke dayanıklı Pik Döküm Izgara : 250 mm genişliğinde</t>
  </si>
  <si>
    <t>S-31</t>
  </si>
  <si>
    <t>TRIPLEX - KORİGE BORU</t>
  </si>
  <si>
    <t xml:space="preserve"> ø100mm</t>
  </si>
  <si>
    <t xml:space="preserve"> ø150mm</t>
  </si>
  <si>
    <t xml:space="preserve"> ø200mm</t>
  </si>
  <si>
    <t xml:space="preserve"> ø300mm</t>
  </si>
  <si>
    <t xml:space="preserve"> ø400mm</t>
  </si>
  <si>
    <t xml:space="preserve"> ø500mm</t>
  </si>
  <si>
    <t xml:space="preserve"> ø600mm</t>
  </si>
  <si>
    <t>TRIPLEX - KORİGE BORU BORU MONTAJ MALZEMESİ BEDELİ</t>
  </si>
  <si>
    <t>S-32</t>
  </si>
  <si>
    <t>PİS SU ROGARLARI</t>
  </si>
  <si>
    <t>Projede verilen detay doğrultusunda rogar yapılması, temini ve montajı</t>
  </si>
  <si>
    <t>S-33</t>
  </si>
  <si>
    <t xml:space="preserve">YAĞMUR SUYU ROGARLARI </t>
  </si>
  <si>
    <t>S-34</t>
  </si>
  <si>
    <t>PE32 POLİETİLEN KANGAL İÇME SUYU BORUSU (YERALTI)</t>
  </si>
  <si>
    <t>Şantiye suyu için de kullanılacak</t>
  </si>
  <si>
    <t xml:space="preserve"> ø50mm - 6 BAR - polietilen malzemeden kangal içme suyu borusu</t>
  </si>
  <si>
    <t>S-35</t>
  </si>
  <si>
    <t>RESÜRKİLASYON POMPASI</t>
  </si>
  <si>
    <t>P(CIR)-01/BK</t>
  </si>
  <si>
    <t>2m3/h - 60kPA</t>
  </si>
  <si>
    <t>ELEKTRİKLİ BOYLER</t>
  </si>
  <si>
    <t>2X17,5 KW</t>
  </si>
  <si>
    <t>500 LT</t>
  </si>
  <si>
    <t>S-36</t>
  </si>
  <si>
    <t>BH</t>
  </si>
  <si>
    <t>BASINÇLI HAVA TESİSATI</t>
  </si>
  <si>
    <t>BH-01</t>
  </si>
  <si>
    <t xml:space="preserve">GALVANİZ BORULAR </t>
  </si>
  <si>
    <t>DN15-DN50 arası Kaplinli boru montaj malzemesi bedeli</t>
  </si>
  <si>
    <t>BH-02</t>
  </si>
  <si>
    <t>KÜRESEL VANA</t>
  </si>
  <si>
    <t>ECA-DUYAR-FAF</t>
  </si>
  <si>
    <t xml:space="preserve">SEPERATÖR </t>
  </si>
  <si>
    <t>BH-03</t>
  </si>
  <si>
    <t xml:space="preserve"> Omega Air CLK-B Serisi yada muadili</t>
  </si>
  <si>
    <t>BH-04</t>
  </si>
  <si>
    <t xml:space="preserve">HAVA KONDENSTOPU </t>
  </si>
  <si>
    <t>Omega Air AOK 20 B Serisi yada muadili</t>
  </si>
  <si>
    <t>BH-05</t>
  </si>
  <si>
    <t>BASINÇLI HAVA KOMPRESÖRÜ</t>
  </si>
  <si>
    <t>BH-06</t>
  </si>
  <si>
    <t xml:space="preserve"> HAVA FİLTRESİ + BASINÇ DÜŞÜRÜCÜ + YAĞLAYICI  SETİ</t>
  </si>
  <si>
    <t>STNC YADA MUADİLİ</t>
  </si>
  <si>
    <t>BH-07</t>
  </si>
  <si>
    <t>BASINÇLI HAVA HORTUMU</t>
  </si>
  <si>
    <t>PAKKENS YADA MUADİLİ</t>
  </si>
  <si>
    <t>DN15 - Boy 0,7 metre</t>
  </si>
  <si>
    <t>BH-08</t>
  </si>
  <si>
    <t>FİLTRE, BASINÇ DÜŞÜRÜCÜ  VE YAĞLAYICI ARASI HIZLI BAĞLANTI BAĞLANTI KLİPS SETİ</t>
  </si>
  <si>
    <t>TES'Lİ MALZEME</t>
  </si>
  <si>
    <t>DN15 -  NİPEL+REKOR+TE+REKOR+NİPEL BAĞLANTISI - VE HIZLI BASINÇLI HAVA BAĞLANTI KLİPSİ  (PROJEDE DETAYI VERİLMİŞTİR)</t>
  </si>
  <si>
    <t>BH-09</t>
  </si>
  <si>
    <t xml:space="preserve">FİLTRE </t>
  </si>
  <si>
    <t>ATLAS COPCO - SPIRAX SARCO YADA MUADİLİ</t>
  </si>
  <si>
    <t>BH-10</t>
  </si>
  <si>
    <t xml:space="preserve">HAVA KURUTUCU  </t>
  </si>
  <si>
    <t>BH-11</t>
  </si>
  <si>
    <t>BASINÇLI HAVA TANKI</t>
  </si>
  <si>
    <t>1000 lt</t>
  </si>
  <si>
    <t>BH-12</t>
  </si>
  <si>
    <t>PİLOT KONTROLLÜ SELENOİD VANA</t>
  </si>
  <si>
    <t>DURAVİS TİP ESV 179 YADA MÜADİL</t>
  </si>
  <si>
    <t>YANGIN TESİSATI</t>
  </si>
  <si>
    <t>Y</t>
  </si>
  <si>
    <t>Y-01</t>
  </si>
  <si>
    <t>Cihaz Kodu :FP-01&amp;02/BF</t>
  </si>
  <si>
    <t>Ekipman Yeri : Zemin kat pompa odası</t>
  </si>
  <si>
    <t xml:space="preserve">Hizmet Alanı : Yangın Söndürme Sistemi </t>
  </si>
  <si>
    <t>Su Debisi : 90 m3/h</t>
  </si>
  <si>
    <t>Basınç: 8,0 Bar</t>
  </si>
  <si>
    <t>Not : 1 Asıl / 1 Yedek</t>
  </si>
  <si>
    <t>PEERLESS-PATTERSON-ITT-AURORA</t>
  </si>
  <si>
    <t>YANGIN POMPASI</t>
  </si>
  <si>
    <t>Cihaz Kodu :FP-03/BF</t>
  </si>
  <si>
    <t>Tip : Jokey Pompası</t>
  </si>
  <si>
    <t>Su Debisi : 5 m3/h</t>
  </si>
  <si>
    <t>Basınç: 8,5 Bar</t>
  </si>
  <si>
    <t xml:space="preserve">Not : 1 Asıl </t>
  </si>
  <si>
    <t>SİYAH BORU</t>
  </si>
  <si>
    <t>Y-02</t>
  </si>
  <si>
    <t>Fittings Bedeli (Dişli)</t>
  </si>
  <si>
    <t>DN 100</t>
  </si>
  <si>
    <t>DN 125</t>
  </si>
  <si>
    <t>DN 150</t>
  </si>
  <si>
    <t>Fittings Bedeli (Kaplinli)</t>
  </si>
  <si>
    <t>Y-03</t>
  </si>
  <si>
    <t>BORU BOYAMA</t>
  </si>
  <si>
    <t>DN 25-DN50</t>
  </si>
  <si>
    <t>DN 65-DN100</t>
  </si>
  <si>
    <t>DN 125-DN150</t>
  </si>
  <si>
    <t>Y-04</t>
  </si>
  <si>
    <t>OTOMATİK YAĞMURLAMA SİSTEMİ BAŞLIKLARI</t>
  </si>
  <si>
    <t>GLOBE-TYCO-VICTUALIC-VIKING</t>
  </si>
  <si>
    <t>68C UPRIGHT SPRİNKLER</t>
  </si>
  <si>
    <t>68C PENDENT SPRİNKLER</t>
  </si>
  <si>
    <t>Y-05</t>
  </si>
  <si>
    <t>YANGIN DOLABI</t>
  </si>
  <si>
    <t>FETAŞ-NORMEKS-ODES-DOORAS</t>
  </si>
  <si>
    <t>DN25, 25 m hortum uzunluğunda Tüplü model, saç kapaklı yangın dolabı</t>
  </si>
  <si>
    <t>DN25, 25 m hortum uzunluğunda köpük karıştıcılı tip model, saç kapaklı yangın dolabı (köpük tankı 50lt)</t>
  </si>
  <si>
    <t>KOLLEKTÖR</t>
  </si>
  <si>
    <t>Y-06</t>
  </si>
  <si>
    <t>DN200</t>
  </si>
  <si>
    <t>Y-07</t>
  </si>
  <si>
    <t xml:space="preserve">OS&amp;Y YÜKSELEN MİLLİ VANALAR </t>
  </si>
  <si>
    <t>DN150</t>
  </si>
  <si>
    <t>Y-08</t>
  </si>
  <si>
    <t>Y-09</t>
  </si>
  <si>
    <t>ÇEK VANA-BALL DRIP</t>
  </si>
  <si>
    <t>DN100</t>
  </si>
  <si>
    <t>Y-10</t>
  </si>
  <si>
    <t>İZLENEBİLİR KELEBEK VANA</t>
  </si>
  <si>
    <t xml:space="preserve"> İzleme anahtarı ile beraber</t>
  </si>
  <si>
    <t>Y-11</t>
  </si>
  <si>
    <t>MANOMETRE - 3 yollu musluğu dahil</t>
  </si>
  <si>
    <t>PAKKENS-AFRISO</t>
  </si>
  <si>
    <t>Ø100 alttan çıkışlı, 0/16 Bar Bölüntülü, Gliserinli</t>
  </si>
  <si>
    <t>Y-12</t>
  </si>
  <si>
    <t>FLOW SWITCH</t>
  </si>
  <si>
    <t>TYCO-VICTUALIC-GLOBAL VISION-SYSTEM SENSOR</t>
  </si>
  <si>
    <t>Y-13</t>
  </si>
  <si>
    <t>ISLAK ALARM VANASI</t>
  </si>
  <si>
    <t>AYVAZ-VICTUALIC-DUYAR-TYCO-GLOBE</t>
  </si>
  <si>
    <t>Geciktirme hücresi ve gong takımıyla beraber</t>
  </si>
  <si>
    <t>Y-14</t>
  </si>
  <si>
    <t>AKIŞ ÖLÇER</t>
  </si>
  <si>
    <t>AYVAZ-VICTUALIC-DUYAR-TYCO</t>
  </si>
  <si>
    <t>Y-15</t>
  </si>
  <si>
    <t>TEST VE DRENAJ VANASI</t>
  </si>
  <si>
    <t>GIACOMINI-DUYAR-AGF</t>
  </si>
  <si>
    <t>Y-16</t>
  </si>
  <si>
    <t>İTFAİYE BAĞLANTI AĞZI</t>
  </si>
  <si>
    <t>FETAŞ-GIACOMINI-DUYAR</t>
  </si>
  <si>
    <t>4" x 2 1/2" x 2 1/2" Ölçüsünde duvar plakası ve sotrz kaplin ve kapağıyla beraber</t>
  </si>
  <si>
    <t>Y-17</t>
  </si>
  <si>
    <t>İTFAİYE SU VERME AĞZI</t>
  </si>
  <si>
    <t>2 adet lansı, 2x30m hortum ve bağlantı adaptörleri ile beraber ayaklı dolap</t>
  </si>
  <si>
    <t>Y-18</t>
  </si>
  <si>
    <t>FM 200 GAZLI SÖNDÜRME VE ALGILAMA SİSTEMİ</t>
  </si>
  <si>
    <t>TYCO-FIKE-CHEMETRON-EUROTECH</t>
  </si>
  <si>
    <t>“FM 200 boruları dikişsiz siyah çelik çekme SCH 40 olacak, fittingsleri dövme çelik Class 3000 olacaktır. Her bir oda için oda hava sızdırmazlık testi yapılacaktır”</t>
  </si>
  <si>
    <t xml:space="preserve">ZK14 AG ODASIı  55,91m2 - h: 3m -  yük. döş.50 cm; yükseltilmiş döşeme altına ve pano içine </t>
  </si>
  <si>
    <t xml:space="preserve">AK11 SERVER ODASI  17,98 m2 - h: 3m -  yük. döş.50 cm; yükseltilmiş döşeme altına ve pano içine </t>
  </si>
  <si>
    <t>Y-19</t>
  </si>
  <si>
    <t>YEDEK SPRİNKLER DOLABI</t>
  </si>
  <si>
    <t>Y-20</t>
  </si>
  <si>
    <t>SPRINKLER MONTAJI ÖZEL EL ANAHTARI</t>
  </si>
  <si>
    <t>Y-21</t>
  </si>
  <si>
    <t>VORTEX PLAKASI</t>
  </si>
  <si>
    <t>DOĞALGAZ TESİSATI</t>
  </si>
  <si>
    <t>DOĞALGAZ BORUSU MONTAJ MALZEMESİ BEDELİ</t>
  </si>
  <si>
    <t xml:space="preserve">ARGON KAYNAKLI  - RONTGEN ÇEKİLMESİ - TEST YAPILMASI , 2 KAT ANTİPAS BOYASI - 2 KAT YAĞLI BOYA YAPILMASI BORU  FİYATINA DAHİL EDİLECEKTİR. </t>
  </si>
  <si>
    <t>DOĞALGAZ BORUSU</t>
  </si>
  <si>
    <t>GRUP</t>
  </si>
  <si>
    <t>DN 40 (PE SARGILI YERALTI BORUSU)</t>
  </si>
  <si>
    <t>D-01</t>
  </si>
  <si>
    <t>D-02</t>
  </si>
  <si>
    <t>KÜRESEL DOĞAL GAZ VANASI</t>
  </si>
  <si>
    <t>ECA - DUYAR - AYVAZ</t>
  </si>
  <si>
    <t>D-03</t>
  </si>
  <si>
    <t>DOĞALGAZ SELONOİD VANASI</t>
  </si>
  <si>
    <t>42 m3/h - 300 mbar - DN40 solenoid vana - 
Deprem Cihazına bağlı</t>
  </si>
  <si>
    <t>42 m3/h - 300 mbar - DN40 solenoid vana - 
Yangın sistemine bağlı</t>
  </si>
  <si>
    <t>BASINÇ DÜŞÜRÜCÜ (REGULATOR)</t>
  </si>
  <si>
    <t>DOĞALGAZ FİLTRESİ</t>
  </si>
  <si>
    <t>DN 50  (300 Mbar-60 Mbar)</t>
  </si>
  <si>
    <t>D-04</t>
  </si>
  <si>
    <t>D-05</t>
  </si>
  <si>
    <t>D-06</t>
  </si>
  <si>
    <t>DOĞALGAZ MANOMETRESİ</t>
  </si>
  <si>
    <t>F100mm 100 mbar SKALALI</t>
  </si>
  <si>
    <t>D-07</t>
  </si>
  <si>
    <t>GAZ DEDEKTÖRÜ</t>
  </si>
  <si>
    <t xml:space="preserve">GAZ KAÇAK DEDÖKTÖRÜ </t>
  </si>
  <si>
    <t>D-08</t>
  </si>
  <si>
    <t>CİHAZ BAĞLANTI FLEKSİ</t>
  </si>
  <si>
    <t>D-09</t>
  </si>
  <si>
    <t>DOĞALGAZ SAYACI</t>
  </si>
  <si>
    <t>G25 körüklü tip doğalgaz sayacı. 8,6 m3/h kapasitesinde</t>
  </si>
  <si>
    <t>D-10</t>
  </si>
  <si>
    <t>DEPREM ALGILAMA CİHAZI</t>
  </si>
  <si>
    <t>Yerel gaz dağıtım kurumundan onaylı</t>
  </si>
  <si>
    <t>D-11</t>
  </si>
  <si>
    <t>DOĞALGAZ PROJE İŞLERİ</t>
  </si>
  <si>
    <t>Doğal gaz  projelerinin ilgili idari kurum şartnamalerine uygun olarak düzenlenmesi gerekli onayların alınması işin tamamlanması ardından idari kurum’a işin test ve kabulünün yaptırılması</t>
  </si>
  <si>
    <t>Shop drawingler ve uygulama detay projeleri</t>
  </si>
  <si>
    <t xml:space="preserve">Asbuilt projeler </t>
  </si>
  <si>
    <t>Doğal gaz tesisat test , işletmeye alma ,bakım ve kullanma talimatları ve eğitim hizmeti , TAB formlarının hazırlanması , tüm iş sonu teslimatı dökümanlarının teslimatı</t>
  </si>
  <si>
    <t>D-12</t>
  </si>
  <si>
    <t>RMS İSTASYONU</t>
  </si>
  <si>
    <t>DOSAB şartnamelerine uygun basınç düşürme istasyonu</t>
  </si>
  <si>
    <t>85 m3/g istasyon</t>
  </si>
  <si>
    <t>Giriş basıncı: 4 bar</t>
  </si>
  <si>
    <t>Çıkış basıncı: 300 mbar</t>
  </si>
  <si>
    <t>GENEL</t>
  </si>
  <si>
    <t>G-01</t>
  </si>
  <si>
    <t xml:space="preserve">Yüklenici firma uygulama esnasındaki  tüm proje revizyonlarını yaparak, plan paftalarını yerindeki imalatı gösteren son durumda  (As-Build) proje haline getirilecektir.  As-Build projelerinde proje gurupları plan başlıkları kullanılacak ve müşavirlerin,proje müelliflerinin isimleri muhafaza edilecektir. Teknik şartnade yazılı olan geçici kabul dökümanları  ve AS-BUILT Projeler CD ve Normal ozalit kopya olarak 4 takım kopya çoğaltılarak İŞVEREN'e teslim edilecektir.  </t>
  </si>
  <si>
    <r>
      <t xml:space="preserve">AS-BUİLT PROJE VE GEÇİCİ KABUL DOKÜMANLARI </t>
    </r>
    <r>
      <rPr>
        <sz val="11"/>
        <color theme="1"/>
        <rFont val="Tahoma"/>
        <family val="2"/>
        <charset val="162"/>
      </rPr>
      <t>(işletme-bakım kitapçığı, kataloglar, cihaz ve ekipman servis bilgileri, Garanri belgeleri, Eğitim tutanakları …vb.)</t>
    </r>
  </si>
  <si>
    <r>
      <t xml:space="preserve">TEST,AYAR,DENGELEME ve İŞLETMEYE  ALMA İŞLERİ </t>
    </r>
    <r>
      <rPr>
        <sz val="11"/>
        <color theme="1"/>
        <rFont val="Tahoma"/>
        <family val="2"/>
        <charset val="162"/>
      </rPr>
      <t xml:space="preserve">mekanik tesisat işleri ile ilgili  test , ayar , dengeleme çalışmaları  ve  leed çalışmalarının yapılması, mekanik tesisatın   işletmeye alınması çalışır vaziyette teslimi </t>
    </r>
  </si>
  <si>
    <t>Yüklenici firma gerek uygulama esnasında, gerekse işlerin bitiminde kullanılmak üzere tüm test ve ölçme aletlerinin (debi, basınç, sıcaklık, basınç farkı,nemlilik vb.) elektronik dijital göstergeli modellerinden, gerek kendi kullanımı gerek kontrolluğun kullanımı için şantiyede hazır bulunduracak,aletlerin hassasiyetini gösterir garanti belgelerini ibraz edilecektir. Sıcak su kazanları ile basınçlı tankların proje ve imalat loyd kontrolları dahil tüm basınç, sızdırmazlık, mukavemet, fonksiyon ve kapasite testleri gerekli zamanlarda  şantiye kontrol amirliği ve şantiye şefliği tarafından idarenin tayin edeceği bir muayene komisyonunun veya bir teknik uzmanın gözetiminde yapılacak ve  neticeler raporlara bağlanacaktır.Elde edilen neticelere göre tüm düzeltmeler ve reglajlar yapılarak tesisin mükemmel fonksiyon görmesi temin edilecektir. HVAC tesisatındaki tüm kanal ve boru devrelerinin, hava ve akışkan debilerinin projedeki değerlere göre reglajı yapılacaktır. Dağıtıcı ve toplayıcı menfezlerin reglajı esnasında  gerekir ise aspiratör ve vantilatör kayış kasnakları değiştirilerek debi ayarları yapılacaktır. Test ve ölçmeler TSE, DIN, VDI, VDE, ASRAE veya  SMACNA STANDARTLARI ve Bayındırlık Bakanlığı'nın ilgili şartnameleri    dikkate alınarak yapılacaktır. Bu hizmetler için maktuen fiyat teklif edilecektir. İş bitiminde tüm test roparları ve sertifikalardan 4 takım  orjinal  ve fotokopi  olarak  ve  CD kopya hazırlanacak ve  İŞVEREN'e teslim edilecektir.</t>
  </si>
  <si>
    <t>G-02</t>
  </si>
  <si>
    <t>G-03</t>
  </si>
  <si>
    <t xml:space="preserve">KAYNAKLI İMALAT İŞLERİ </t>
  </si>
  <si>
    <t>KG</t>
  </si>
  <si>
    <t>G-04</t>
  </si>
  <si>
    <t xml:space="preserve">ETİKETLEME (madeni, prinç etiket, gömme siyah yazılı)  </t>
  </si>
  <si>
    <t>Ebatlar: 100X50 mm</t>
  </si>
  <si>
    <t xml:space="preserve">BORU OK YÖN İŞARETLEMESİ </t>
  </si>
  <si>
    <t>G-05</t>
  </si>
  <si>
    <t>VİNÇ, MANLİFT VE HER TÜRLÜ TAŞITLARIN KULLANIM BEDELİ</t>
  </si>
  <si>
    <t>G-06</t>
  </si>
  <si>
    <t>BORU OK YÖN İŞARETLEMESİ</t>
  </si>
  <si>
    <t>G-07</t>
  </si>
  <si>
    <t>KAROTLA DELİK AÇMA İŞLERİ</t>
  </si>
  <si>
    <t>G-08</t>
  </si>
  <si>
    <t>Dış saha işleri kapsamında yeraltından giden hidrant hattı, temiz su hattı, doğalaz hattı, pisus ve yağmursuyu hatlarının ortalama 1 metre derinliğinde, 80cm genişliğinde kazının yapılması, alt kota 20 cm sarı kum serilmesi, tesisat üstüne 20 cm sarı kum serilmesi ve dolgunun yapılması, artan toprağın sahadan uzaklaştırılması, izin verilen alanalara boşaltılması, nakliye, döküm yeri ücretleri vs fiyata dahil edilecektir.</t>
  </si>
  <si>
    <t xml:space="preserve"> Kazı metrajı proje üstünden yüklenici tarafından çıkarılacaktır.</t>
  </si>
  <si>
    <t>G-09</t>
  </si>
  <si>
    <t>KAZI ve DOLGU İŞLERİ</t>
  </si>
  <si>
    <t xml:space="preserve">BETONARME SU DEPOLARI PERDE REZERVASYON İŞLERİ </t>
  </si>
  <si>
    <t>Metrajı proje üstünden yüklenici tarafından çıkarılacaktır.</t>
  </si>
  <si>
    <t>Yangın ve kullanım su depolarının perdesi üstünde bulunan emiş ağzıları, taşkan, boşaltma, şebeke hattı tanker dolum hatları için, betonarme perde dökülürken daldırma galvaniz kaplı 2 tarafı flanşlı siyah borudan imal geçiş parçalarının temini ve yerinde montajı işleri.</t>
  </si>
  <si>
    <t>G-10</t>
  </si>
  <si>
    <t>SİSMİK TEDBİR ALMA İŞLERİ</t>
  </si>
  <si>
    <t>Detayları YANGIN sismik tedbir detay paftasında verilen boru ve ekipmanların sismik tedbir önlemlerinin alınması işleri</t>
  </si>
  <si>
    <t>G-11</t>
  </si>
  <si>
    <t>PASİF YANGIN DURDURMA SİSTEMLERİ</t>
  </si>
  <si>
    <t>Detayları pasif yangın durdurma sistemleri detay paftasında verilen boru, kanal geçişlerinin yangın duruduru malzemelerle yangın geçişin önlemlerinin alınması işleri</t>
  </si>
  <si>
    <t>ELEKTRİK İŞLERİ</t>
  </si>
  <si>
    <t>ALÇAK GERİLİM SİSTEMLERİ</t>
  </si>
  <si>
    <t>KAPSAM</t>
  </si>
  <si>
    <t>TEMİN</t>
  </si>
  <si>
    <t>MONTAJ</t>
  </si>
  <si>
    <t>JENERATÖRLER</t>
  </si>
  <si>
    <t>İŞVEREN</t>
  </si>
  <si>
    <t>YÜKLENİCİ</t>
  </si>
  <si>
    <t>550 kVA Stand-By Jeneratör
(Min. 8 saat kapasiteli günlük yakıt tankı ve en az 15cm yükseklikte taşma tepsisi dahil)</t>
  </si>
  <si>
    <t>Jeneratör, ana ve günlük yakıt tanklarının temini ve montajı İşveren kapsamındadır</t>
  </si>
  <si>
    <t>UPS (KGS - KESİNTİSİZ GÜÇ KAYNAĞI)</t>
  </si>
  <si>
    <t>UPS ve akü kabininin temini ve montajı İşveren kapsamındadır</t>
  </si>
  <si>
    <r>
      <t xml:space="preserve">AG PANOLARI
</t>
    </r>
    <r>
      <rPr>
        <sz val="11"/>
        <color theme="1"/>
        <rFont val="Tahoma"/>
        <family val="2"/>
        <charset val="162"/>
      </rPr>
      <t>- Şalt malzemeleri, ölçü aletleri, sinyal lambaları, parafudrlar, aydınlatma otomasyon üniteleri ve her türlü aksesuar, proje cebi, montaj, sarf malzemesi, havalandırma fanları, menfezleri, fabrika ve sahada montaj sonrası testleri ve devreye alma çalışmaları dahil, çalışır vaziyette teslim edilmesi
- Tüm (Açık tip, Termik Manyetik, Manyetik vb) şalterler, pako şalterler, yük ayırıcılar ve otomatik transfer şalterleri askı kilit ile kilitlenebilir özellikte olacaktır.
- İşveren tarafından temin edilmesi durumunda, frekans Konvertörleri vb ekipmanların panoya montajı, panoda gerekli havalandırma önlemlerinin alınması, her türlü bağlantısı ve çalışır vaziyette teslimi pano birim fiyatına dahildir
- Ana dağıtım panolarında pano üzeri mimik diyagram (bara ve giriş-çıkış şalterleri), pano üzeri ve oda içinde uyarı ve açıklama yazıları, tehlike işaretleri pano birim fiyatına dahildir</t>
    </r>
  </si>
  <si>
    <t>3.1.1</t>
  </si>
  <si>
    <t>ADP</t>
  </si>
  <si>
    <t>KOMP  (BİNA AG ODASINDA) - Enerji temin projesi ile pano şeması kesinleşecektir - İşverenden bilgi alınacak</t>
  </si>
  <si>
    <t>TR (TRAFO KÖŞKÜNDE) - Enerji temin projesi ile pano şeması kesinleşecektir - İşverenden bilgi alınacak</t>
  </si>
  <si>
    <t>SP</t>
  </si>
  <si>
    <t>MCC-K</t>
  </si>
  <si>
    <t>MCC-P</t>
  </si>
  <si>
    <t>AP-B</t>
  </si>
  <si>
    <t>AP-Z</t>
  </si>
  <si>
    <t>AT-1</t>
  </si>
  <si>
    <t>AT-2</t>
  </si>
  <si>
    <t>GP</t>
  </si>
  <si>
    <t>MP</t>
  </si>
  <si>
    <t>AP-A</t>
  </si>
  <si>
    <t>BP</t>
  </si>
  <si>
    <t>EAS-1 - Kullanılacak şarj ünitesine göre pano şeması kesinleşecektir - İşverenden bilgi alınacak</t>
  </si>
  <si>
    <t>EAS-2 - Kullanılacak şarj ünitesine göre pano şeması kesinleşecektir - İşverenden bilgi alınacak</t>
  </si>
  <si>
    <t>UADP</t>
  </si>
  <si>
    <t>UP-Z</t>
  </si>
  <si>
    <t>UP-1</t>
  </si>
  <si>
    <t>UP-2</t>
  </si>
  <si>
    <t>GUP</t>
  </si>
  <si>
    <t>UP-A</t>
  </si>
  <si>
    <t>UP-S</t>
  </si>
  <si>
    <r>
      <t xml:space="preserve">PYP - </t>
    </r>
    <r>
      <rPr>
        <sz val="11"/>
        <color rgb="FFFF0000"/>
        <rFont val="Tahoma"/>
        <family val="2"/>
        <charset val="162"/>
      </rPr>
      <t>İPTAL EDİLMİŞTİR</t>
    </r>
  </si>
  <si>
    <r>
      <t xml:space="preserve">ASP
</t>
    </r>
    <r>
      <rPr>
        <sz val="11"/>
        <color rgb="FFFF0000"/>
        <rFont val="Tahoma"/>
        <family val="2"/>
        <charset val="162"/>
      </rPr>
      <t>Asansör ile birlikte temin edilebilir - İşverenden bilgi alınacak</t>
    </r>
  </si>
  <si>
    <t>3.1.2</t>
  </si>
  <si>
    <t>3.1.3</t>
  </si>
  <si>
    <t>3.1.4</t>
  </si>
  <si>
    <t>3.1.5</t>
  </si>
  <si>
    <t>3.1.6</t>
  </si>
  <si>
    <t>3.1.7</t>
  </si>
  <si>
    <t>3.1.8</t>
  </si>
  <si>
    <t>3.1.9</t>
  </si>
  <si>
    <t>3.1.10</t>
  </si>
  <si>
    <t>3.1.11</t>
  </si>
  <si>
    <t>3.1.12</t>
  </si>
  <si>
    <t>3.1.13</t>
  </si>
  <si>
    <t>3.1.14</t>
  </si>
  <si>
    <t>3.1.15</t>
  </si>
  <si>
    <t>3.1.16</t>
  </si>
  <si>
    <t>3.1.17</t>
  </si>
  <si>
    <t>3.1.18</t>
  </si>
  <si>
    <t>3.1.19</t>
  </si>
  <si>
    <t>3.1.20</t>
  </si>
  <si>
    <t>3.1.21</t>
  </si>
  <si>
    <t>3.1.22</t>
  </si>
  <si>
    <t>3.1.23</t>
  </si>
  <si>
    <t>3.1.24</t>
  </si>
  <si>
    <t>3.1.25</t>
  </si>
  <si>
    <t>3.1.26</t>
  </si>
  <si>
    <t>UP-BK</t>
  </si>
  <si>
    <t>AC GÖVDE : EAE, ETİS, CUBERA, ÖZKAN, PANELSİS,  (ISO BELGELİ YEREL)
ŞALT : SIEMENS, SCHNEIDER, ABB, EATON</t>
  </si>
  <si>
    <t>ad.</t>
  </si>
  <si>
    <r>
      <t>OTOMATİK ŞALTERLER</t>
    </r>
    <r>
      <rPr>
        <sz val="11"/>
        <color theme="1"/>
        <rFont val="Tahoma"/>
        <family val="2"/>
        <charset val="162"/>
      </rPr>
      <t xml:space="preserve">
OTOMATİK TRANSFER ŞALTERLERİ (ATS-for use in emergency systems)
- NFPA 20, 70, 99, 110 standartlarına uygun, UL-1008 ve IEC 60947-6-1 belgeli
- Pano, her türlü şalt malzemeleri, ölçü aletleri, sinyal lambaları, her türlü aksesuar, montaj, sarf malzemesi, havalandırma fanları, menfezleri, fabrika ve sahada montaj sonrası testleri ve devreye alma çalışmaları dahil, çalışır vaziyette teslim edilmesi
- Yangın Dağıtım Panolarında bulunan ATS ler ilgili pano fiyatına dahildir, Teklif ekinde verilecek pano detaylı dökümlerinde ATS ler de belirtilecektir</t>
    </r>
  </si>
  <si>
    <t>ATS (PANO DAHİL)</t>
  </si>
  <si>
    <t>3x100A e kadar ATS Pano Dahil</t>
  </si>
  <si>
    <t>3x160A  e kadar ATS Pano Dahil</t>
  </si>
  <si>
    <t>3x250A  e kadar ATS Pano Dahil</t>
  </si>
  <si>
    <t>3x400A  e kadar ATS Pano Dahil</t>
  </si>
  <si>
    <t>3x630A  e kadar ATS Pano Dahil</t>
  </si>
  <si>
    <t>ASCO, RUSSELECTRIC, GENERAL ZENITH
SOCOMEC</t>
  </si>
  <si>
    <r>
      <t xml:space="preserve">PAKO VE EMNİYET ŞALTERLERİ
</t>
    </r>
    <r>
      <rPr>
        <sz val="11"/>
        <color theme="1"/>
        <rFont val="Tahoma"/>
        <family val="2"/>
        <charset val="162"/>
      </rPr>
      <t>- Kutu, rakor, askı kilit, her türlü aksesuar, montaj ve sarf malzemesi dahil çalışır vaziyette teslim edilmesi
- Tüm pako şalterler, emniyet şalterleri her iki pozisyonda (on-off) askı kilit ile kilitlenebilir özellikte olacaktır</t>
    </r>
  </si>
  <si>
    <t>SIVA ÜSTÜ KUTULU PAKO ŞALTER</t>
  </si>
  <si>
    <t>16A e kadar Monofaze Sıva Üstü Kutulu IP54 Pako Şalter</t>
  </si>
  <si>
    <t>25A e kadar Monofaze Sıva Üstü Kutulu IP54 Pako Şalter</t>
  </si>
  <si>
    <t>16A e kadar Trifaze Sıva Üstü Kutulu IP54 Pako Şalter</t>
  </si>
  <si>
    <t>32A e kadar Trifaze Sıva Üstü Kutulu IP54 Pako Şalter</t>
  </si>
  <si>
    <t>63A e kadar Trifaze Sıva Üstü Kutulu IP54 Pako Şalter</t>
  </si>
  <si>
    <t>5.1.2</t>
  </si>
  <si>
    <t>5.1.3</t>
  </si>
  <si>
    <t>5.1.4</t>
  </si>
  <si>
    <t>5.1.5</t>
  </si>
  <si>
    <t xml:space="preserve"> SIEMENS, SCHNEIDER, ABB, EATON, LEGRAND
KRAUSNAIMER
UNALKARDEŞ</t>
  </si>
  <si>
    <t>Açıklama</t>
  </si>
  <si>
    <t xml:space="preserve">20 kVA - 380/380V UPS, 10 dk. süreli, bakımsız akü grubu ve bağlantılar
</t>
  </si>
  <si>
    <t>5.2.2</t>
  </si>
  <si>
    <t>5.2.3</t>
  </si>
  <si>
    <t>5.2.4</t>
  </si>
  <si>
    <t>5.2.5</t>
  </si>
  <si>
    <t>5.2.6</t>
  </si>
  <si>
    <t>5.2.7</t>
  </si>
  <si>
    <t>25A e kadar Monofaze Sıva Üstü Kutulu IP65, Sarı-Kırmızı, Askı Kilitli Emniyet Şalteri</t>
  </si>
  <si>
    <t>32A e kadar Monofaze Sıva Üstü Kutulu IP65, Sarı-Kırmızı, Askı Kilitli Emniyet Şalteri</t>
  </si>
  <si>
    <t>80A e kadar Monofaze Sıva Üstü Kutulu IP65, Sarı-Kırmızı, Askı Kilitli Emniyet Şalteri</t>
  </si>
  <si>
    <t>25A e kadar Trifaze Sıva Üstü Kutulu IP65, Sarı-Kırmızı, Askı Kilitli Emniyet Şalteri</t>
  </si>
  <si>
    <t>32A e kadar Trifaze Sıva Üstü Kutulu IP65, Sarı-Kırmızı, Askı Kilitli Emniyet Şalteri</t>
  </si>
  <si>
    <t>80A e kadar Trifaze Sıva Üstü Kutulu IP65, Sarı-Kırmızı, Askı Kilitli Emniyet Şalteri</t>
  </si>
  <si>
    <t>125A e kadar Trifaze Sıva Üstü Kutulu IP65, Sarı-Kırmızı, Askı Kilitli Emniyet Şalteri</t>
  </si>
  <si>
    <t>SIVA ÜSTÜ KUTULU EMNİYET ŞALTERİ</t>
  </si>
  <si>
    <t>Pako şalter ve Emniyet Şalteri için askı kilit
(askı kilitlerin takılabilmesi için gerekli şalter ve anahtarlara özel aksesuarlar birim fiyata dahildir)</t>
  </si>
  <si>
    <t>ASKI KİLİTLER, KİLİTLEME TERTİBATLARI VE İKAZ ETİKETLERİ</t>
  </si>
  <si>
    <r>
      <t xml:space="preserve">ALÇAK GERİLİM KABLOLARI
</t>
    </r>
    <r>
      <rPr>
        <sz val="11"/>
        <color theme="1"/>
        <rFont val="Tahoma"/>
        <family val="2"/>
        <charset val="162"/>
      </rPr>
      <t>- Etiketleme, reglaj, her türlü kroşe ve klipslerle sabitleme, pabuç, yüksük, her iki uç bağlantısı, izolasyon vb testler ve ölçümler dahil çalışır vaziyette teslim edilmesi
- Düşey güzergahlarda 600kg/km den ağır kablo veya kablo demetleri metal kroşeler ile en fazla 2m aralıkla kablo merdiven veya tavalarına sabitlenecektir
- Tek damarlı kablolar antimanyetik kroşeler ile sabitlenecektir</t>
    </r>
  </si>
  <si>
    <t>NHXMH (LSZH) TİPİ KABLOLAR</t>
  </si>
  <si>
    <t>2x1,5 mm²</t>
  </si>
  <si>
    <t>2x2,5 mm²</t>
  </si>
  <si>
    <t>3x1,5 mm²</t>
  </si>
  <si>
    <t>3x2,5 mm²</t>
  </si>
  <si>
    <t>3x4 mm²</t>
  </si>
  <si>
    <t>3x6 mm²</t>
  </si>
  <si>
    <t>3x10 mm²</t>
  </si>
  <si>
    <t>4x1,5 mm²</t>
  </si>
  <si>
    <t>4x2,5 mm²</t>
  </si>
  <si>
    <t>4x4 mm²</t>
  </si>
  <si>
    <t>4x6 mm²</t>
  </si>
  <si>
    <t>4x10 mm²</t>
  </si>
  <si>
    <t>5x1,5 mm²</t>
  </si>
  <si>
    <t>5x2,5 mm²</t>
  </si>
  <si>
    <t>5x4 mm²</t>
  </si>
  <si>
    <t>5x6 mm²</t>
  </si>
  <si>
    <t>5x10 mm²</t>
  </si>
  <si>
    <t>7x1,5 mm²</t>
  </si>
  <si>
    <t>10x1,5 mm²</t>
  </si>
  <si>
    <t>6.1.4</t>
  </si>
  <si>
    <t>6.1.5</t>
  </si>
  <si>
    <t>6.1.6</t>
  </si>
  <si>
    <t>6.1.7</t>
  </si>
  <si>
    <t>6.1.8</t>
  </si>
  <si>
    <t>6.1.9</t>
  </si>
  <si>
    <t>6.1.10</t>
  </si>
  <si>
    <t>6.1.11</t>
  </si>
  <si>
    <t>6.1.12</t>
  </si>
  <si>
    <t>6.1.13</t>
  </si>
  <si>
    <t>6.1.14</t>
  </si>
  <si>
    <t>6.1.15</t>
  </si>
  <si>
    <t>6.1.16</t>
  </si>
  <si>
    <t>6.1.17</t>
  </si>
  <si>
    <t>6.1.18</t>
  </si>
  <si>
    <t>6.1.19</t>
  </si>
  <si>
    <t>NEXANS, 
PRYSMIAN</t>
  </si>
  <si>
    <t xml:space="preserve">2x1,5 mm² </t>
  </si>
  <si>
    <t xml:space="preserve">2x2,5 mm² </t>
  </si>
  <si>
    <t xml:space="preserve">3x2,5 mm² </t>
  </si>
  <si>
    <t xml:space="preserve">3x4 mm² </t>
  </si>
  <si>
    <t xml:space="preserve">5x2,5 mm² </t>
  </si>
  <si>
    <t>NHXMH FE180 (LSZH) TİPİ KABLOLAR</t>
  </si>
  <si>
    <t>3x2,5 mm² RENK-STANDART</t>
  </si>
  <si>
    <t>5x4mm² RENK-STANDART</t>
  </si>
  <si>
    <t>3x2,5 mm² RENK-MAVİ</t>
  </si>
  <si>
    <t>5x4 mm² RENK-MAVİ</t>
  </si>
  <si>
    <t>052XZ1-F  (LSZH) TİPİ KABLOLAR</t>
  </si>
  <si>
    <t>1x4 mm²</t>
  </si>
  <si>
    <t>1x6 mm²</t>
  </si>
  <si>
    <t>1x10 mm²</t>
  </si>
  <si>
    <t>1x16 mm²</t>
  </si>
  <si>
    <t>1x25 mm²</t>
  </si>
  <si>
    <t>1x35 mm²</t>
  </si>
  <si>
    <t>1x50 mm²</t>
  </si>
  <si>
    <t>1x70 mm²</t>
  </si>
  <si>
    <t>1x95 mm²</t>
  </si>
  <si>
    <t>1x120 mm²</t>
  </si>
  <si>
    <t>1x150 mm²</t>
  </si>
  <si>
    <t>1x185 mm²</t>
  </si>
  <si>
    <t>1x240 mm²</t>
  </si>
  <si>
    <t>2x4 mm²</t>
  </si>
  <si>
    <t>2x6 mm²</t>
  </si>
  <si>
    <t>3x16 mm²</t>
  </si>
  <si>
    <t>3x25/16 mm²</t>
  </si>
  <si>
    <t>3x35/16 mm²</t>
  </si>
  <si>
    <t>3x50/25 mm²</t>
  </si>
  <si>
    <t>3x70/35 mm²</t>
  </si>
  <si>
    <t>3x95/50 mm²</t>
  </si>
  <si>
    <t>3x120/70 mm²</t>
  </si>
  <si>
    <t>3x150/70 mm²</t>
  </si>
  <si>
    <t>3x185/95 mm²</t>
  </si>
  <si>
    <t>4x16 mm²</t>
  </si>
  <si>
    <t>4x25 mm²</t>
  </si>
  <si>
    <t>4x35 mm²</t>
  </si>
  <si>
    <t>4x50 mm²</t>
  </si>
  <si>
    <t>4x70 mm²</t>
  </si>
  <si>
    <t>4x95 mm²</t>
  </si>
  <si>
    <t>4x120 mm²</t>
  </si>
  <si>
    <t>5x16 mm²</t>
  </si>
  <si>
    <t>7x2,5 mm²</t>
  </si>
  <si>
    <t>N2XH  (LSZH) TİPİ KABLOLAR</t>
  </si>
  <si>
    <t>6.5.3</t>
  </si>
  <si>
    <t>6.5.4</t>
  </si>
  <si>
    <t>6.5.5</t>
  </si>
  <si>
    <t>6.5.6</t>
  </si>
  <si>
    <t>6.5.7</t>
  </si>
  <si>
    <t>6.5.8</t>
  </si>
  <si>
    <t>6.5.9</t>
  </si>
  <si>
    <t>6.5.10</t>
  </si>
  <si>
    <t>6.5.11</t>
  </si>
  <si>
    <t>6.5.12</t>
  </si>
  <si>
    <t>6.5.13</t>
  </si>
  <si>
    <t>6.5.14</t>
  </si>
  <si>
    <t>6.5.15</t>
  </si>
  <si>
    <t>H07Z1-U/R/K  (LSZH) TİPİ KABLOLAR (Sarı-Yeşil Topraklama Kabloları)</t>
  </si>
  <si>
    <t>N2XH-FE180/E90  (LSZH) TİPİ KABLOLAR</t>
  </si>
  <si>
    <t>3x25+16 mm²</t>
  </si>
  <si>
    <t>3x35+16 mm²</t>
  </si>
  <si>
    <t>3x50+25 mm²</t>
  </si>
  <si>
    <t>3x70+35 mm²</t>
  </si>
  <si>
    <t>3x95+50 mm²</t>
  </si>
  <si>
    <t>3x120+70 mm²</t>
  </si>
  <si>
    <t>3x150+70 mm²</t>
  </si>
  <si>
    <t>7x1.5 mm²</t>
  </si>
  <si>
    <t>7x2.5 mm²</t>
  </si>
  <si>
    <t>6.6.2</t>
  </si>
  <si>
    <t>6.6.3</t>
  </si>
  <si>
    <t>6.6.4</t>
  </si>
  <si>
    <t>6.6.5</t>
  </si>
  <si>
    <t>6.6.6</t>
  </si>
  <si>
    <t>6.6.7</t>
  </si>
  <si>
    <t>6.6.8</t>
  </si>
  <si>
    <t>6.6.9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</si>
  <si>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</si>
  <si>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</si>
  <si>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</si>
  <si>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</si>
  <si>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</si>
  <si>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</si>
  <si>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</si>
  <si>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</si>
  <si>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</si>
  <si>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</si>
  <si>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</si>
  <si>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</si>
  <si>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</si>
  <si>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</si>
  <si>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</si>
  <si>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</si>
  <si>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</si>
  <si>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</si>
  <si>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</si>
  <si>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</si>
  <si>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</si>
  <si>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</si>
  <si>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</si>
  <si>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</si>
  <si>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</si>
  <si>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</si>
  <si>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</si>
  <si>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</si>
  <si>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</si>
  <si>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</si>
  <si>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</si>
  <si>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3x2.5 mm²</t>
  </si>
  <si>
    <t>4x2.5 mm²</t>
  </si>
  <si>
    <t>5x2.5 mm²</t>
  </si>
  <si>
    <t>NYGRY TİPİ KABLOLAR</t>
  </si>
  <si>
    <r>
      <rPr>
        <b/>
        <sz val="14"/>
        <color theme="1"/>
        <rFont val="Tahoma"/>
        <family val="2"/>
        <charset val="162"/>
      </rPr>
      <t>AG PANOLARI</t>
    </r>
    <r>
      <rPr>
        <sz val="14"/>
        <color theme="1"/>
        <rFont val="Tahoma"/>
        <family val="2"/>
        <charset val="162"/>
      </rPr>
      <t xml:space="preserve">
- Dikili tip panolarda kabloların alttan girişi için 20cm yükseklikte kaide pano birim fiyatına dahildir (kablo giriş çıkışları alttan yapılacaktır)
- yükseltilmiş döşeme ve yükseltilmiş döşeme kotunda kaide yapılması İNŞAİ işler kapsamındadır.</t>
    </r>
  </si>
  <si>
    <t>LIHH  (LSZH) KABLOLAR</t>
  </si>
  <si>
    <t>NEXANS, 
PRYSMIAN, 2M
BAŞOĞLU, 
BİRTAŞ, ERSE</t>
  </si>
  <si>
    <t>2x1 mm² LIHH</t>
  </si>
  <si>
    <t>3x1 mm² LIHH</t>
  </si>
  <si>
    <t>4x1 mm² LIHH</t>
  </si>
  <si>
    <t>5x1 mm² LIHH</t>
  </si>
  <si>
    <t>6x1 mm² LIHH</t>
  </si>
  <si>
    <t>10x1 mm² LIHH</t>
  </si>
  <si>
    <t>2x1,5 mm² LIHH</t>
  </si>
  <si>
    <t>3x1,5 mm² LIHH</t>
  </si>
  <si>
    <t>4x1,5 mm² LIHH</t>
  </si>
  <si>
    <t>5x1,5 mm² LIHH</t>
  </si>
  <si>
    <t>6x1,5 mm² LIHH</t>
  </si>
  <si>
    <t>7x1,5 mm² LIHH</t>
  </si>
  <si>
    <t>2x1,5 mm² FE180 LIHH</t>
  </si>
  <si>
    <t>LIHH FE180 (LSZH) KABLOLAR</t>
  </si>
  <si>
    <t>2x1 mm² LIHCH</t>
  </si>
  <si>
    <t>3x1 mm² LIHCH</t>
  </si>
  <si>
    <t>4x1 mm² LIHCH</t>
  </si>
  <si>
    <t>5x1 mm² LIHCH</t>
  </si>
  <si>
    <t>6x1 mm² LIHCH</t>
  </si>
  <si>
    <t>10x1 mm² LIHCH</t>
  </si>
  <si>
    <t>2x1,5mm² LIHCH</t>
  </si>
  <si>
    <t>3x1,5mm² LIHCH</t>
  </si>
  <si>
    <t>4x1,5 mm² LIHCH</t>
  </si>
  <si>
    <t>6x1,5 mm² LIHCH</t>
  </si>
  <si>
    <t>10x1,5 mm² LIHCH</t>
  </si>
  <si>
    <t>LIHCH  (LSZH) KABLOLAR</t>
  </si>
  <si>
    <t>7.3.3</t>
  </si>
  <si>
    <t>7.3.4</t>
  </si>
  <si>
    <t>7.3.5</t>
  </si>
  <si>
    <t>7.3.6</t>
  </si>
  <si>
    <t>7.3.7</t>
  </si>
  <si>
    <t>7.3.8</t>
  </si>
  <si>
    <t>7.3.9</t>
  </si>
  <si>
    <t>7.3.10</t>
  </si>
  <si>
    <t>7.3.11</t>
  </si>
  <si>
    <t>HDMI KABLO SETİ (Her iki uçta soket dahil)</t>
  </si>
  <si>
    <t>7.4.2</t>
  </si>
  <si>
    <t>7.4.3</t>
  </si>
  <si>
    <t>7.4.4</t>
  </si>
  <si>
    <t>7.4.5</t>
  </si>
  <si>
    <t>7.4.6</t>
  </si>
  <si>
    <t>30m ye kadar HDMI Kablo</t>
  </si>
  <si>
    <t>20m ye kadar HDMI Kablo</t>
  </si>
  <si>
    <t>15m ye kadar HDMI Kablo</t>
  </si>
  <si>
    <t>10m ye kadar HDMI Kablo</t>
  </si>
  <si>
    <t>7m ye kadar HDMI Kablo</t>
  </si>
  <si>
    <t>1m ye kadar HDMI Kablo</t>
  </si>
  <si>
    <t>7.5.1</t>
  </si>
  <si>
    <t>7.5.2</t>
  </si>
  <si>
    <t>7.5.3</t>
  </si>
  <si>
    <t>7.5.4</t>
  </si>
  <si>
    <t xml:space="preserve">1x2x1+0,8mm²  JH(St)H </t>
  </si>
  <si>
    <t xml:space="preserve">2x2x1+0,8mm²  JH(St)H </t>
  </si>
  <si>
    <t xml:space="preserve">1x2x1,5+0,8mm²  JH(St)H </t>
  </si>
  <si>
    <t xml:space="preserve">2x2x1,5+0,8mm²  JH(St)H </t>
  </si>
  <si>
    <t>M-BUS HABERLEŞME KABLOLARI (Bina Otm)</t>
  </si>
  <si>
    <t>7.6.1</t>
  </si>
  <si>
    <t>7.6.2</t>
  </si>
  <si>
    <t>EI-BUS HABERLEŞME KABLOLARI (Ayd Otm)</t>
  </si>
  <si>
    <t>2x2x0,8+0,8mm²  EIB LSZH</t>
  </si>
  <si>
    <t>2x2x1+0,8mm²  EIB LSZH</t>
  </si>
  <si>
    <t>S-26 Eviye Bataryası (Sığınak)</t>
  </si>
  <si>
    <t>GENEL TOPLAM</t>
  </si>
  <si>
    <t>SULAMA SİSTEM
(İşçilik, malzeme, ekipman, nakliye ve tüm gerekli hizmetler dahildir.)</t>
  </si>
  <si>
    <t>SULAMA SİSTEM</t>
  </si>
  <si>
    <r>
      <t xml:space="preserve">KONTROL, KUMANDA vb KABLOLARI
</t>
    </r>
    <r>
      <rPr>
        <sz val="11"/>
        <color theme="1"/>
        <rFont val="Tahoma"/>
        <family val="2"/>
        <charset val="162"/>
      </rPr>
      <t>Etiketleme, reglaj, kroşe ve klipslerle sabitleme, pabuç, yüksük, her iki uç bağlantısı ve testler dahil çalışır vaziyette teslim edilmesi</t>
    </r>
  </si>
  <si>
    <t>8.1.3</t>
  </si>
  <si>
    <t>8.1.4</t>
  </si>
  <si>
    <t>8.1.5</t>
  </si>
  <si>
    <t>8.1.6</t>
  </si>
  <si>
    <t xml:space="preserve">Ø20mm 750N Halojenden Arındırılmış Alev Yaymaz Düz Elektrik Borusu </t>
  </si>
  <si>
    <t xml:space="preserve">Ø26mm 750N Halojenden Arındırılmış Alev Yaymaz Düz Elektrik Borusu </t>
  </si>
  <si>
    <t xml:space="preserve">Ø32mm 750N Halojenden Arındırılmış Alev Yaymaz Düz Elektrik Borusu </t>
  </si>
  <si>
    <t xml:space="preserve">Ø40mm 750N Halojenden Arındırılmış Alev Yaymaz Düz Elektrik Borusu </t>
  </si>
  <si>
    <t xml:space="preserve">Ø63mm 750N Halojenden Arındırılmış Alev Yaymaz Düz Elektrik Borusu </t>
  </si>
  <si>
    <t xml:space="preserve">Ø75mm 750N Halojenden Arındırılmış Alev Yaymaz Düz Elektrik Borusu </t>
  </si>
  <si>
    <t>CANLAR, ENSMET, İPEK, ELSU,
ELECTROLINE,
TURKUAZ</t>
  </si>
  <si>
    <t>DÜZ-RİJİT HALOJENDEN ARINDIRILMIŞ ALEV YAYMAZ ELEKTRİK TESİSAT BORULARI
(Ek ve dönüş elemanları, boru ve pano tipi rakorları, kroşe, her türlü aksesuar ve montaj malzemesi dahil)</t>
  </si>
  <si>
    <t>8.2.4</t>
  </si>
  <si>
    <t>8.2.5</t>
  </si>
  <si>
    <t xml:space="preserve">Ø20mm 750N Halojenden Arındırılmış Alev Yaymaz Spiral Elektrik Borusu </t>
  </si>
  <si>
    <t xml:space="preserve">Ø25mm 750N Halojenden Arındırılmış Alev Yaymaz Spiral Elektrik Borusu </t>
  </si>
  <si>
    <t xml:space="preserve">Ø32mm 750N Halojenden Arındırılmış Alev Yaymaz Spiral Elektrik Borusu </t>
  </si>
  <si>
    <t xml:space="preserve">Ø40mm 750N Halojenden Arındırılmış Alev Yaymaz Spiral Elektrik Borusu </t>
  </si>
  <si>
    <t xml:space="preserve">Ø50mm 750N Halojenden Arındırılmış Alev Yaymaz Spiral Elektrik Borusu </t>
  </si>
  <si>
    <t>BÜKÜLEBİLEN- SPİRAL HALOJENDEN ARINDIRILMIŞ ALEV YAYMAZ ELEKTRİK TESİSAT BORULARI
(Ek ve dönüş elemanları, boru ve pano tipi rakorları, kroşe, her türlü aksesuar ve montaj malzemesi dahil)</t>
  </si>
  <si>
    <t>8.3.1</t>
  </si>
  <si>
    <t>8.3.2</t>
  </si>
  <si>
    <t>8.3.3</t>
  </si>
  <si>
    <t>8.3.4</t>
  </si>
  <si>
    <t>8.3.5</t>
  </si>
  <si>
    <t>8.3.6</t>
  </si>
  <si>
    <t>EMT-GALVANİZLİ ÇELİK ELEKTRİK TESİSAT BORULARI
(Ek ve dönüş elemanları, çekme ve bağlantı buatları, boru ve pano tipi rakorları, boru ve pano tipi entüller, kroşe, her türlü aksesuar ve montaj malzemesi dahil)</t>
  </si>
  <si>
    <t>1/2” EMT Galvaniz Boru</t>
  </si>
  <si>
    <t>3/4” EMT Galvaniz Boru</t>
  </si>
  <si>
    <t>1” EMT Galvaniz Boru</t>
  </si>
  <si>
    <t>1-1/2” EMT Galvaniz Boru</t>
  </si>
  <si>
    <t>2” EMT Galvaniz Boru</t>
  </si>
  <si>
    <t>3” EMT Galvaniz Boru</t>
  </si>
  <si>
    <t>8.4.1</t>
  </si>
  <si>
    <t>8.4.2</t>
  </si>
  <si>
    <t>8.4.3</t>
  </si>
  <si>
    <t>8.4.4</t>
  </si>
  <si>
    <t>8.4.5</t>
  </si>
  <si>
    <t>GALVANİZLİ ÇELİK PVC KAPLI BÜKÜLEBİLEN-SPİRAL ELEKTRİK TESİSAT BORULARI
(Ek ve dönüş elemanları, boru ve pano tipi rakorları, kroşe, her türlü aksesuar ve montaj malzemesi dahil)</t>
  </si>
  <si>
    <t>1/2” PVC Kaplı Galvaniz Çelik Spiral Boru</t>
  </si>
  <si>
    <t>3/4” PVC Kaplı Galvaniz Çelik Spiral Boru</t>
  </si>
  <si>
    <t>1” PVC Kaplı Galvaniz Çelik Spiral Boru</t>
  </si>
  <si>
    <t>1-1/2” PVC Kaplı Galvaniz Çelik Spiral Boru</t>
  </si>
  <si>
    <t>2” PVC Kaplı Galvaniz Çelik Spiral Boru</t>
  </si>
  <si>
    <t>8.5.1</t>
  </si>
  <si>
    <t>8.5.2</t>
  </si>
  <si>
    <t>8.5.3</t>
  </si>
  <si>
    <t>8.5.4</t>
  </si>
  <si>
    <t>8.5.5</t>
  </si>
  <si>
    <t>8.5.6</t>
  </si>
  <si>
    <t>8.5.7</t>
  </si>
  <si>
    <t>Ø80mm Halojenden Arındırılmış Alev Yaymaz Yuvarlak Buat</t>
  </si>
  <si>
    <t>Ø90mm Halojenden Arındırılmış Alev Yaymaz Yuvarlak Buat</t>
  </si>
  <si>
    <t>80x80x45mm Halojenden Arındırılmış Alev Yaymaz Buat</t>
  </si>
  <si>
    <t>110x110x70mm Halojenden Arındırılmış Alev Yaymaz Buat</t>
  </si>
  <si>
    <t>110x180x70mm Halojenden Arındırılmış Alev Yaymaz Buat</t>
  </si>
  <si>
    <t>210x280x90mm Halojenden Arındırılmış Alev Yaymaz Buat</t>
  </si>
  <si>
    <t>280x280x90mm Halojenden Arındırılmış Alev Yaymaz Buat</t>
  </si>
  <si>
    <t>HALOJENDEN ARINDIRILMIŞ ALEV YAYMAZ BUATLAR</t>
  </si>
  <si>
    <t>8.6.1</t>
  </si>
  <si>
    <t>8.6.2</t>
  </si>
  <si>
    <t>8.6.3</t>
  </si>
  <si>
    <t>8.6.4</t>
  </si>
  <si>
    <t>110x110x80mm ye kadar Delikli, Kare Metal Buatlar</t>
  </si>
  <si>
    <t>110x70x80mm ye kadar Delikli, Dikdörtgen Metal Buatlar</t>
  </si>
  <si>
    <t>110x110x80mm ye kadar Sızdırmaz, Kare Metal Buatlar</t>
  </si>
  <si>
    <t>110x70x80mm ye kadar Sızdırmaz, Dikdörtgen Metal Buatlar</t>
  </si>
  <si>
    <t>EMT BORU METAL BUATLARI</t>
  </si>
  <si>
    <t>8.7.1</t>
  </si>
  <si>
    <t>8.7.2</t>
  </si>
  <si>
    <t>8.7.3</t>
  </si>
  <si>
    <t>8.7.4</t>
  </si>
  <si>
    <t>8.7.5</t>
  </si>
  <si>
    <t>100x100x70mm Döküm Alüminyum Buat</t>
  </si>
  <si>
    <t>85x130x70mm Döküm Alüminyum Buat</t>
  </si>
  <si>
    <t>130x230x90mm Döküm Alüminyum Buat</t>
  </si>
  <si>
    <t>250x250x100mm Döküm Alüminyum Buat</t>
  </si>
  <si>
    <t>310x400x140mm Döküm Alüminyum Buat</t>
  </si>
  <si>
    <t>DÖKÜM ALÜMİNYUM BUATLAR</t>
  </si>
  <si>
    <r>
      <t>KABLO TAŞIMA SİSTEMLERİ</t>
    </r>
    <r>
      <rPr>
        <sz val="11"/>
        <color theme="1"/>
        <rFont val="Tahoma"/>
        <family val="2"/>
        <charset val="162"/>
      </rPr>
      <t xml:space="preserve">
</t>
    </r>
    <r>
      <rPr>
        <sz val="11"/>
        <color rgb="FFFF0000"/>
        <rFont val="Tahoma"/>
        <family val="2"/>
        <charset val="162"/>
      </rPr>
      <t>- Askı, Mesnet, Konsol, Dönüş, Kol Alma, Redüksiyon, Ek ve Seviye Değiştirme elemanları, Her Türlü Aksesuar ve Montaj Malzemeleri, Kapak tutturma ve bağlantı elemanları ve klipsleri, Civata-Somun-Pul-Rondela takımları birim fiyatlara dahildir</t>
    </r>
    <r>
      <rPr>
        <sz val="11"/>
        <color theme="1"/>
        <rFont val="Tahoma"/>
        <family val="2"/>
        <charset val="162"/>
      </rPr>
      <t xml:space="preserve">
- Orijinal fabrika imalatı Dönüş, Kol Alma, Redüksiyon, Ek ve Seviye Değiştirme elemanları kullanılacaktır.</t>
    </r>
  </si>
  <si>
    <t>9.1.1</t>
  </si>
  <si>
    <t>9.1.2</t>
  </si>
  <si>
    <t>9.1.3</t>
  </si>
  <si>
    <t>9.1.4</t>
  </si>
  <si>
    <t>9.1.5</t>
  </si>
  <si>
    <t>200mm Kablo Tavası  (h:60mm, t:1-1,2mm, 100kg/m 1,5m)</t>
  </si>
  <si>
    <t>300mm Kablo Tavası  (h:60mm, t:1-1,2mm, 125kg/m 1,5m)</t>
  </si>
  <si>
    <t>400mm Kablo Tavası  (h:60mm, t:1-1,2mm, 125kg/m 1,5m)</t>
  </si>
  <si>
    <t>500mm Kablo Tavası  (h:60mm, t:1-1,2mm, 135kg/m 1,5m)</t>
  </si>
  <si>
    <t>600mm Kablo Tavası  (h:60mm, t:1-1,2mm, 135kg/m 1,5m)</t>
  </si>
  <si>
    <t>AĞIR HİZMET TİPİ KABLO TAVA VE KONSOLLARI
SDG-Sıcak Daldırma Galvaniz, TS EN ISO 1461   (45-55µm)
Kenarlar dairesel içe kıvrık
Delikler Formalı (taşıma mukavemeti yüksek)</t>
  </si>
  <si>
    <t>EAE, GERSAN</t>
  </si>
  <si>
    <t>9.2.1</t>
  </si>
  <si>
    <t>9.2.2</t>
  </si>
  <si>
    <t>9.2.3</t>
  </si>
  <si>
    <t>9.2.4</t>
  </si>
  <si>
    <t>9.2.5</t>
  </si>
  <si>
    <t>9.2.6</t>
  </si>
  <si>
    <t>9.2.7</t>
  </si>
  <si>
    <r>
      <t xml:space="preserve">NORMAL TİP KABLO TAVA VE KONSOLLARI
</t>
    </r>
    <r>
      <rPr>
        <b/>
        <sz val="14"/>
        <color rgb="FFFF0000"/>
        <rFont val="Tahoma"/>
        <family val="2"/>
        <charset val="162"/>
      </rPr>
      <t>SDG-Sıcak Daldırma Galvaniz</t>
    </r>
    <r>
      <rPr>
        <b/>
        <sz val="14"/>
        <color theme="1"/>
        <rFont val="Tahoma"/>
        <family val="2"/>
        <charset val="162"/>
      </rPr>
      <t>, TS EN ISO 1461   (45-55µm)
Kenarlar dairesel içe kıvrık
Delikler Formalı (taşıma mukavemeti yüksek)</t>
    </r>
  </si>
  <si>
    <t>50mm Kablo Tavası  (h:60mm, t:0,75-0,8mm, 50kg/m 1,5m)</t>
  </si>
  <si>
    <t>100mm Kablo Tavası  (h:60mm, t:0,75-0,8mm, 50kg/m 1,5m)</t>
  </si>
  <si>
    <t>200mm Kablo Tavası  (h:60mm, t:0,75-0,8mm, 65kg/m 1,5m)</t>
  </si>
  <si>
    <t>300mm Kablo Tavası  (h:60mm, t:0,75-1mm, 80kg/m 1,5m)</t>
  </si>
  <si>
    <t>400mm Kablo Tavası  (h:60mm, t:0,75-1mm, 100kg/m 1,5m)</t>
  </si>
  <si>
    <t>500mm Kablo Tavası  (h:60mm, t:0,75-1,2mm, 115kg/m 1,5m)</t>
  </si>
  <si>
    <t>600mm Kablo Tavası  (h:60mm, t:0,75-1,2mm, 125kg/m 1,5m)</t>
  </si>
  <si>
    <t>200mm Kablo Merdiveni
(h:60mm, t:1,2mm-1,5mm, 125kg/m 1,5m)</t>
  </si>
  <si>
    <t>300mm Kablo Merdiveni
(h:60mm, t:1,2mm-1,5mm, 125kg/m 1,5m)</t>
  </si>
  <si>
    <t>400mm Kablo Merdiveni
(h:60mm, t:1,2mm-1,5mm, 125kg/m 1,5m)</t>
  </si>
  <si>
    <t>500mm Kablo Merdiveni
(h:60mm, t:1,2mm-1,5mm, 125kg/m 1,5m)</t>
  </si>
  <si>
    <t>600mm Kablo Merdiveni
(h:60mm, t:1,2mm-1,5mm, 125kg/m 1,5m)</t>
  </si>
  <si>
    <t>AĞIR HİZMET TİPİ KABLO MERDİVEN VE KONSOLLARI
SDG-Sıcak Daldırma Galvaniz, TS EN ISO 1461   (45-55µm)
Kenarlar dairesel içe kıvrık</t>
  </si>
  <si>
    <t>9.4.1</t>
  </si>
  <si>
    <t>9.4.2</t>
  </si>
  <si>
    <t>9.4.3</t>
  </si>
  <si>
    <t>9.4.4</t>
  </si>
  <si>
    <t>9.4.5</t>
  </si>
  <si>
    <t>9.4.6</t>
  </si>
  <si>
    <t>9.4.7</t>
  </si>
  <si>
    <t>9.4.8</t>
  </si>
  <si>
    <t>100 mm. Kablo Tava-Merdiven Kapağı (t:1mm)</t>
  </si>
  <si>
    <t>200 mm. Kablo Tava-Merdiven Kapağı (t:1mm)</t>
  </si>
  <si>
    <t>300 mm. Kablo Tava-Merdiven Kapağı (t:1mm)</t>
  </si>
  <si>
    <t>400 mm. Kablo Tava-Merdiven Kapağı (t:1,5mm)</t>
  </si>
  <si>
    <t>500 mm. Kablo Tava-Merdiven Kapağı (t:1,5mm)</t>
  </si>
  <si>
    <t>600 mm. Kablo Tava-Merdiven Kapağı (t:1,5mm)</t>
  </si>
  <si>
    <t>400mm Yükseklikte SDG- Sıcak Daldırma Galvaniz Seperatör</t>
  </si>
  <si>
    <t>600mm Yükseklikte SDG- Sıcak Daldırma Galvaniz Seperatör</t>
  </si>
  <si>
    <t>KAPAK VE SEPERATÖRLER
Sıcak Daldırma Galvaniz, TS EN ISO 1461   (45-55µm)(Deliksiz Formalı)</t>
  </si>
  <si>
    <t>9.5.1</t>
  </si>
  <si>
    <t>50x130mm. Parapet Kanalı (seperetör dahil)</t>
  </si>
  <si>
    <t>PARAPET KANALLAR ve AKSESUARLAR
(dönüş, ek elemanları, kapak ve her türlü aksesuar dahil)</t>
  </si>
  <si>
    <t>LEGRAND, SCHNEIDER</t>
  </si>
  <si>
    <t>9.6.1</t>
  </si>
  <si>
    <t>9.6.2</t>
  </si>
  <si>
    <t>9.6.3</t>
  </si>
  <si>
    <t>9.6.4</t>
  </si>
  <si>
    <t>9.6.5</t>
  </si>
  <si>
    <t>9.6.6</t>
  </si>
  <si>
    <t>9.6.7</t>
  </si>
  <si>
    <t>9.6.8</t>
  </si>
  <si>
    <t>9.6.9</t>
  </si>
  <si>
    <t>9.6.10</t>
  </si>
  <si>
    <t>DÖŞEME KANALLARI ve AKSESUARLAR
(dönüş, ek elemanları, kapak ve her türlü aksesuar dahil)</t>
  </si>
  <si>
    <t>35x240mm Üç bölmeli döşeme kanalı</t>
  </si>
  <si>
    <t>450x450mm Döşeme buatı (aksesuarları dahil) - şap altı</t>
  </si>
  <si>
    <t>360x360mm Döşeme buatı (aksesuarları dahil) - şap altı</t>
  </si>
  <si>
    <t>250x250mm PRİZ KUTUSU- aksesuar dahil komple - yükseltilmiş döşeme veya döşeme buatına montaj</t>
  </si>
  <si>
    <t>250x150mm PRİZ KUTUSU- aksesuar dahil komple  - yükseltilmiş döşeme veya döşeme buatına montaj</t>
  </si>
  <si>
    <t>Grommet Tip 6 modül Döşeme Buatı - şap altı</t>
  </si>
  <si>
    <t>Grommet Tip 6 modül PRİZ KUTUSU - yükseltilmiş döşeme veya döşeme buatına montaj</t>
  </si>
  <si>
    <t>IP66 Grommet Tip 4 modül Döşeme Buatı - şap altı</t>
  </si>
  <si>
    <t>IP66 Grommet Tip 4 modül PRİZ KUTUSU - yükseltilmiş döşeme veya döşeme buatına montaj</t>
  </si>
  <si>
    <t>Omurga Kanal (Vertebra Kanal)
Masa ile döşeme arasında kablo geçişi için bükülebilir kablo taşıma elemanı</t>
  </si>
  <si>
    <r>
      <t>AYDINLATMA-PRİZ SORTİLERİ</t>
    </r>
    <r>
      <rPr>
        <sz val="11"/>
        <color theme="1"/>
        <rFont val="Tahoma"/>
        <family val="2"/>
        <charset val="162"/>
      </rPr>
      <t xml:space="preserve">
- Anahtar, buton ve prizler hariç, kasa, boru, buat, her türlü aksesuar, montaj ve sarf malzemeleri, test ve devreye alma çalışmaları dahil çalışır vaziyette teslim edilmesi
AYDINLATMA ve PRİZ linyelerinin 35m yi aşan kısımları besleme hattı olarak AG kabloları kısmından ödenecektir.
Dikkat !
- Sortilerin kablo tavası dışında kalan kısımları boru içinde, tavan veya duvarlara kroşe ile sabilenecektir.
- Atölye çalışma alanlarında panodan kontrollü (aydınlatma otomasyonu ve/veya manuel) trifaze aydınlatma sortileri son armatüre kadar besleme hattı olarak (kablo pozları) kabul edilecektir.
- EXIT armatürler son armatüre kadar besleme hattı olarak (kablo pozları) kabul edilecektir.
- BİTİŞİK MONTE EDİLEN SPOTLARDAKİ ATLAMALAR PARALEL SORTİ OLARAK DEĞERLENDİRİLMEYECEKTİR.</t>
    </r>
  </si>
  <si>
    <t>10.1.1</t>
  </si>
  <si>
    <t>10.1.2</t>
  </si>
  <si>
    <t>10.1.3</t>
  </si>
  <si>
    <t>10.1.4</t>
  </si>
  <si>
    <t>10.1.5</t>
  </si>
  <si>
    <t>10.1.6</t>
  </si>
  <si>
    <t>10.1.7</t>
  </si>
  <si>
    <t>10.1.8</t>
  </si>
  <si>
    <t>10.1.9</t>
  </si>
  <si>
    <t>10.1.10</t>
  </si>
  <si>
    <t>10.1.11</t>
  </si>
  <si>
    <t>10.1.12</t>
  </si>
  <si>
    <t>AYDINLATMA SORTİLERİ (NHXMH Kablo ile)</t>
  </si>
  <si>
    <t>Normal Sorti</t>
  </si>
  <si>
    <t>Komütatör Sorti</t>
  </si>
  <si>
    <t>Vavien Sorti</t>
  </si>
  <si>
    <t>Paralel Sorti</t>
  </si>
  <si>
    <t>Normal Sorti (Panodan Kontrollü)</t>
  </si>
  <si>
    <t>Normal Sorti (Panodan Kontrollü - 4x2,5 kablo ile kitler için)</t>
  </si>
  <si>
    <t>LIHT Butonlu Sorti</t>
  </si>
  <si>
    <t>Hareket Sensörü Sortisi</t>
  </si>
  <si>
    <t>Panodan Kontrollü Monofaze Sorti</t>
  </si>
  <si>
    <t>Panodan Kontrollü Trifaze Sorti</t>
  </si>
  <si>
    <t>Normal aydınlatma sortisi (4x2,5 kablo ile kitler için)</t>
  </si>
  <si>
    <t>Komütatör aydınlatma sortisi (4x2,5 kablo ile kitler için)</t>
  </si>
  <si>
    <t>KLEMENS; WAGO,WEIDMULLER, PHOENIX CONTACT,
KABLO; NEXANS, 
PRYSMIAN,
BORU-BUAT; CANLAR, ENSMET, İPEK, ELSU,
ELECTROLINE,
TURKUAZ</t>
  </si>
  <si>
    <r>
      <t xml:space="preserve">PLASTİK BORULAR, METAL BORULAR, BUATLAR
</t>
    </r>
    <r>
      <rPr>
        <sz val="11"/>
        <color theme="1"/>
        <rFont val="Tahoma"/>
        <family val="2"/>
        <charset val="162"/>
      </rPr>
      <t>Her türlü aksesuar, montaj ve sarf malzemeleri dahil çalışır vaziyette teslim edilmesi</t>
    </r>
  </si>
  <si>
    <t>10.2.1</t>
  </si>
  <si>
    <t>10.2.2</t>
  </si>
  <si>
    <t>10.2.3</t>
  </si>
  <si>
    <t>10.2.4</t>
  </si>
  <si>
    <t>10.2.5</t>
  </si>
  <si>
    <t>10.2.6</t>
  </si>
  <si>
    <t>10.2.7</t>
  </si>
  <si>
    <t>10.2.8</t>
  </si>
  <si>
    <t>10.2.9</t>
  </si>
  <si>
    <t>10.2.10</t>
  </si>
  <si>
    <t>10.2.11</t>
  </si>
  <si>
    <t>10.2.12</t>
  </si>
  <si>
    <t>G.Hatlı Tekli Priz Sortisi</t>
  </si>
  <si>
    <t>G.Hatlı İkili Priz Sortisi</t>
  </si>
  <si>
    <t>G.Hatlı Tekli UPS Priz Sortisi</t>
  </si>
  <si>
    <t>G.Hatlı İkili UPS Priz Sortisi</t>
  </si>
  <si>
    <t>Etanj G.Hatlı Tekli Priz -IP54 Sortisi</t>
  </si>
  <si>
    <t>Etanj G.Hatlı Tekli Priz Ex-Proof/1 Tehlike sınıfı 1'e uygun Sorti</t>
  </si>
  <si>
    <t>Masaya Montajlı (Bürotik blok) G.Hatlı İkili Priz Sortisi</t>
  </si>
  <si>
    <t>Masaya Montajlı  (Bürotik blok) G.Hatlı İkili UPS Priz Sortisi</t>
  </si>
  <si>
    <t>Parapet Kanala Montajlı G.Hatlı İkili Priz Sortisi</t>
  </si>
  <si>
    <t>Parapet Kanala Montajlı G.Hatlı İkili UPS Priz Sortisi</t>
  </si>
  <si>
    <t>Sıva Üstü Etanj G.Hatlı Trifaze Priz -IP54 Sortisi</t>
  </si>
  <si>
    <t>Döşeme Tipi Priz sortisi</t>
  </si>
  <si>
    <t>PRİZ SORTİLERİ
(NHXMH Kablo ile)</t>
  </si>
  <si>
    <t>10.3.1</t>
  </si>
  <si>
    <t>10.3.2</t>
  </si>
  <si>
    <t>10.3.3</t>
  </si>
  <si>
    <t>10.3.4</t>
  </si>
  <si>
    <t>10.3.5</t>
  </si>
  <si>
    <t>10.3.6</t>
  </si>
  <si>
    <t>10.3.7</t>
  </si>
  <si>
    <t>10.3.8</t>
  </si>
  <si>
    <t>Termostat Montajı</t>
  </si>
  <si>
    <t>Fancoil Kontrol Ünitesi Montajı</t>
  </si>
  <si>
    <t>Fancoil Kontrol Ünitesi için 200x300x100mm ye kadar Buat ve Klemens grubu</t>
  </si>
  <si>
    <t>Hız Anahtarı Montajı</t>
  </si>
  <si>
    <t>Enerji Kesme Butonu</t>
  </si>
  <si>
    <t>Transformatör 220/24V 50W-AC/DC</t>
  </si>
  <si>
    <t>Elektrikli şarj istasyonu (harici tip) 12kW a kadar</t>
  </si>
  <si>
    <t>Elektrikli şarj istasyonu (harici tip) 150kW a kadar</t>
  </si>
  <si>
    <t>EKİPMAN MONTAJLARI VE DİĞER</t>
  </si>
  <si>
    <r>
      <t xml:space="preserve">ANAHTAR, BUTON, PRİZ VE SERVİS KUTULARI
</t>
    </r>
    <r>
      <rPr>
        <sz val="11"/>
        <color theme="1"/>
        <rFont val="Tahoma"/>
        <family val="2"/>
        <charset val="162"/>
      </rPr>
      <t>- Çerçe, kaide, her türlü aksesuar, montaj ve sarf malzemeleri, test ve devreye alma çalışmaları dahil çalışır vaziyette teslim edilmesi</t>
    </r>
  </si>
  <si>
    <t>Sıva Altı Normal Anahtar</t>
  </si>
  <si>
    <t>Sıva Altı Komitatör Anahtar</t>
  </si>
  <si>
    <t>Sıva Altı Vavien Anahtar</t>
  </si>
  <si>
    <t>Sıva Altı LIHT Buton</t>
  </si>
  <si>
    <t>Sıva Üstü Etanj Normal Anahtar</t>
  </si>
  <si>
    <t>Sıva Üstü Etanj Komütatör Anahtar</t>
  </si>
  <si>
    <t>Sıva Üstü Etanj Vavien Anahtar</t>
  </si>
  <si>
    <t>Sıva Üstü LIHT Buton</t>
  </si>
  <si>
    <t>Dimmer Anahtar</t>
  </si>
  <si>
    <t>Duvar Tipi Hareket Sensörü - 180°, Detection Range:Small Movement 9m² Body Movement 140m², 1-15mins,IP20</t>
  </si>
  <si>
    <t>Tavan Tipi Hareket Sensörü - 360°, Detection Range:Small Movement 9m² Body Movement 140m², 1-15mins,IP20</t>
  </si>
  <si>
    <t>Duvar Tipi Varlık Sensörü - 180°, Detection Range:Small Movement 9m² Body Movement 140m², 1-15mins,IP20</t>
  </si>
  <si>
    <t>Tavan Tipi Varlık Sensörü - 360°, Detection Range:Small Movement 9m² Body Movement 140m², 1-15mins,IP20</t>
  </si>
  <si>
    <t>AYDINLATMA ANAHTARLARI</t>
  </si>
  <si>
    <t xml:space="preserve">
LEGRAND Raventi Beyaz
LEGRAND
SCHNEIDER</t>
  </si>
  <si>
    <t>LEGRAND, SCHNEIDER,
NIKO-SERVODAN,
STEINEL</t>
  </si>
  <si>
    <t>11.1.1</t>
  </si>
  <si>
    <t>11.1.2</t>
  </si>
  <si>
    <t>11.1.3</t>
  </si>
  <si>
    <t>11.1.4</t>
  </si>
  <si>
    <t>11.1.5</t>
  </si>
  <si>
    <t>11.1.6</t>
  </si>
  <si>
    <t>11.1.7</t>
  </si>
  <si>
    <t>11.1.8</t>
  </si>
  <si>
    <t>11.1.9</t>
  </si>
  <si>
    <t>11.1.10</t>
  </si>
  <si>
    <t>11.1.11</t>
  </si>
  <si>
    <t>11.1.12</t>
  </si>
  <si>
    <t>11.1.13</t>
  </si>
  <si>
    <t>11.2.1</t>
  </si>
  <si>
    <t>11.2.2</t>
  </si>
  <si>
    <t>11.2.3</t>
  </si>
  <si>
    <t>Sıva Üstü Etanj Normal Anahtar EX-PROOF Tip,
Tehlike Sınıfı 1</t>
  </si>
  <si>
    <t>Sıva Üstü Etanj Normal Anahtar EX-PROOF Tip,
Tehlike Sınıfı 2</t>
  </si>
  <si>
    <t>Sıva Üstü Etanj Normal Anahtar EX-PROOF Tip,
Tehlike Sınıfı 3</t>
  </si>
  <si>
    <t>EX-PROOF SAHA ELEMANLARI</t>
  </si>
  <si>
    <t>11.3.1</t>
  </si>
  <si>
    <t>11.3.2</t>
  </si>
  <si>
    <t>11.3.3</t>
  </si>
  <si>
    <t>11.3.4</t>
  </si>
  <si>
    <t>11.3.5</t>
  </si>
  <si>
    <t>11.3.6</t>
  </si>
  <si>
    <t>11.3.7</t>
  </si>
  <si>
    <t>11.3.8</t>
  </si>
  <si>
    <t>11.3.9</t>
  </si>
  <si>
    <t>11.3.10</t>
  </si>
  <si>
    <t>11.3.11</t>
  </si>
  <si>
    <t>11.3.12</t>
  </si>
  <si>
    <t>11.3.13</t>
  </si>
  <si>
    <t>11.3.14</t>
  </si>
  <si>
    <t>11.3.15</t>
  </si>
  <si>
    <t>11.3.16</t>
  </si>
  <si>
    <t>11.3.17</t>
  </si>
  <si>
    <t>11.3.18</t>
  </si>
  <si>
    <t>11.3.19</t>
  </si>
  <si>
    <t>11.3.20</t>
  </si>
  <si>
    <t>PRİZLER</t>
  </si>
  <si>
    <t>LEGRAND Raventi Beyaz
LEGRAND, SCHNEIDER</t>
  </si>
  <si>
    <t>Sıva Altı G.Hatlı Tekli Priz</t>
  </si>
  <si>
    <t>Sıva Altı G.Hatlı Kapaklı Tekli Priz</t>
  </si>
  <si>
    <t>Sıva Altı G.Hatlı İkili Priz</t>
  </si>
  <si>
    <t>Sıva Altı G.Hatlı Tekli UPS Priz</t>
  </si>
  <si>
    <t>Sıva Altı G.Hatlı İkili UPS Priz</t>
  </si>
  <si>
    <t>Sıva Üstü Etanj G.Hatlı Tekli Priz -IP54</t>
  </si>
  <si>
    <t>Sıva Üstü Etanj G.Hatlı Tekli Priz Ex-Proof/1 Tehlike sınıfı 1'e uygun</t>
  </si>
  <si>
    <t>Sıva Üstü Etanj G.Hatlı Kapaklı Tekli Priz -IP55</t>
  </si>
  <si>
    <t>Sıva Üstü Etanj G.Hatlı Kapaklı İkili Priz -IP55</t>
  </si>
  <si>
    <t>Sıva Üstü Etanj G.Hatlı Tekli UPS Priz -IP54</t>
  </si>
  <si>
    <t>Sıva Üstü Etanj G.Hatlı İkili UPS Priz -IP54</t>
  </si>
  <si>
    <t>Masaya Montajlı G.Hatlı Tekli Priz</t>
  </si>
  <si>
    <t>Masaya Montajlı G.Hatlı İkili Priz</t>
  </si>
  <si>
    <t>Masaya Montajlı G.Hatlı Tekli UPS Priz</t>
  </si>
  <si>
    <t>Masaya Montajlı G.Hatlı İkili UPS Priz</t>
  </si>
  <si>
    <t>Masaya Montajlı Tekli USB Priz</t>
  </si>
  <si>
    <t>Parapet Kanala Montajlı G.Hatlı Tekli Priz</t>
  </si>
  <si>
    <t>Parapet Kanala Montajlı G.Hatlı İkili Priz</t>
  </si>
  <si>
    <t>Parapet Kanala Montajlı G.Hatlı Tekli UPS Priz</t>
  </si>
  <si>
    <t>Parapet Kanala Montajlı G.Hatlı İkili UPS Priz</t>
  </si>
  <si>
    <t>11.4.1</t>
  </si>
  <si>
    <t>11.4.2</t>
  </si>
  <si>
    <t>11.4.3</t>
  </si>
  <si>
    <t>11.4.4</t>
  </si>
  <si>
    <t>11.4.5</t>
  </si>
  <si>
    <t>11.4.6</t>
  </si>
  <si>
    <t>11.4.7</t>
  </si>
  <si>
    <t>11.4.8</t>
  </si>
  <si>
    <t>11.4.9</t>
  </si>
  <si>
    <t>Sıva Altı G.Hatlı Üçlü Priz</t>
  </si>
  <si>
    <t>Sıva Altı G.Hatlı Dörtlü Priz</t>
  </si>
  <si>
    <t>Sıva Altı G.Hatlı Üçlü UPS Priz</t>
  </si>
  <si>
    <t>Sıva Altı G.Hatlı Dörtlü UPS Priz</t>
  </si>
  <si>
    <t>DEKORATİF PRİZLER</t>
  </si>
  <si>
    <t>LEGRAND Raventi Füme
LEGRAND
SCHNEIDER</t>
  </si>
  <si>
    <t>11.5.1</t>
  </si>
  <si>
    <t>11.5.2</t>
  </si>
  <si>
    <t>11.5.3</t>
  </si>
  <si>
    <t>A- TİP-1 BÜROTİK BLOK ALÜMİNYUM GÖVDELİ, 8 MODÜL, YEDEK MODÜLLER KAPAKLI 2AD TOPRAKLI ŞEBEKE PRİZİ, 2AD TOPRAKLI UPS PRİZİ, 2AD DATA RJ45 PRİZİ, 1AD TEL RJ45 PRİZİ</t>
  </si>
  <si>
    <t>B- TİP-2 BÜROTİK BLOK ALÜMİNYUM GÖVDELİ, 12 MODÜL, YEDEK MODÜLLER KAPAKLI 2AD TOPRAKLI ŞEBEKE PRİZİ, 2AD TOPRAKLI UPS PRİZİ,3AD DATA RJ45 PRİZİ</t>
  </si>
  <si>
    <t>C- TİP-3 BÜROTİK BLOK ALÜMİNYUM GÖVDELİ, 10 MODÜL, YEDEK MODÜLLER KAPAKLI 2AD TOPRAKLI ŞEBEKE PRİZİ, 2AD TOPRAKLI UPS PRİZİ,2AD DATA RJ45 PRİZİ</t>
  </si>
  <si>
    <t>MASA PRİZ GRUPLARI</t>
  </si>
  <si>
    <t>11.6.1</t>
  </si>
  <si>
    <t>11.6.2</t>
  </si>
  <si>
    <t>11.6.3</t>
  </si>
  <si>
    <t>11.6.4</t>
  </si>
  <si>
    <t>11.6.5</t>
  </si>
  <si>
    <t>11.6.6</t>
  </si>
  <si>
    <t>11.6.7</t>
  </si>
  <si>
    <t>11.6.8</t>
  </si>
  <si>
    <t>11.6.9</t>
  </si>
  <si>
    <t>11.6.10</t>
  </si>
  <si>
    <t>11.6.11</t>
  </si>
  <si>
    <t>11.6.12</t>
  </si>
  <si>
    <t>11.6.13</t>
  </si>
  <si>
    <t>ENDÜSTRİYEL PRİZLER</t>
  </si>
  <si>
    <t>LEGRAND, SCHNEIDER,
EAE,
TPELECTRIC</t>
  </si>
  <si>
    <t>11.6.14</t>
  </si>
  <si>
    <t>11.6.15</t>
  </si>
  <si>
    <t>1x25A 2P+E CEE Norm, Monofaze, Eğik, SÜ Kutulu, Yaylı Kapaklı, IP65 Duvar Prizi</t>
  </si>
  <si>
    <t>1x32A 2P+E CEE Norm, Monofaze, Eğik, SÜ Kutulu, Yaylı Kapaklı, IP65 Duvar Prizi</t>
  </si>
  <si>
    <t>3x25A 2P+E CEE Norm, Monofaze, Eğik, SÜ Kutulu, Yaylı Kapaklı, IP65 Duvar Prizi</t>
  </si>
  <si>
    <t>5x25A 3P+N+E CEE Norm, Trifaze, Eğik, SÜ Kutulu, Yaylı Kapaklı, IP65 Duvar Prizi</t>
  </si>
  <si>
    <t>5x32A 3P+N+E CEE Norm, Trifaze, Eğik, SÜ Kutulu, Yaylı Kapaklı, IP65 Duvar Prizi</t>
  </si>
  <si>
    <t>5x63A 3P+N+E CEE Norm, Trifaze, Eğik, SÜ Kutulu, Yaylı Kapaklı, IP65 Duvar Prizi</t>
  </si>
  <si>
    <t>5x80A 3P+N+E CEE Norm, Trifaze, Eğik, SÜ Kutulu, Yaylı Kapaklı, IP65 Duvar Prizi</t>
  </si>
  <si>
    <t>1x25A 2P+E CEE Norm, Monofaze Fiş IP65</t>
  </si>
  <si>
    <t>1x32A 2P+E CEE Norm, Monofaze Fiş IP65</t>
  </si>
  <si>
    <t>3x25A 3P+N+E CEE Norm, Trifaze Fiş IP65</t>
  </si>
  <si>
    <t>3x32A 3P+N+E CEE Norm, Trifaze Fiş IP65</t>
  </si>
  <si>
    <t>3x63A 3P+N+E CEE Norm, Trifaze Fiş IP65</t>
  </si>
  <si>
    <t>3x80A 3P+N+E CEE Norm, Trifaze Fiş IP65</t>
  </si>
  <si>
    <t>PK-1: Standart Priz Kombinasyon Kutusu IP65
1 adet 25A 3P+N+E CEE tip trifaze priz (eğik yaylı kapaklı)
2 adet 16A Schuko tip monofaze priz (yaylı kapaklı makine prizi)
1 adet 4x40A 30mA kaçak akım rölesi 
1 adet 3x25A 6kA sigorta 
2 adet 1x16A 6kA sigorta</t>
  </si>
  <si>
    <t>PK-2: Standart Priz Kombinasyon Kutusu IP65
2 adet 32A 3P+N+E CEE tip trifaze priz (eğik yaylı kapaklı)
2 adet 16A Schuko tip monofaze priz (yaylı kapaklı makine prizi)
1 adet 4x63A 30mA kaçak akım rölesi 
1 adet 3x63A 6kA sigorta 
2 adet 1x16A 6kA sigorta</t>
  </si>
  <si>
    <t>11.7.1</t>
  </si>
  <si>
    <t>Sıva Üstü Kutulu Acil Durum Butonu - Sarı-Kırmızı Kilitli Mantar (Buton Bas-Çevir-Bırak anahtarsız) - yardımcı kontakları dahil</t>
  </si>
  <si>
    <t>ACİL DURUM BUTONLARI</t>
  </si>
  <si>
    <r>
      <t xml:space="preserve">AYDINLATMA ARMATÜRLERİ
</t>
    </r>
    <r>
      <rPr>
        <sz val="11"/>
        <color theme="1"/>
        <rFont val="Tahoma"/>
        <family val="2"/>
        <charset val="162"/>
      </rPr>
      <t>- Her türlü askı elemanı, aksesuar, montaj ve sarf malzemeleri, test ve devreye alma çalışmaları dahil çalışır vaziyette teslim edilmesi</t>
    </r>
  </si>
  <si>
    <t>12.1.1</t>
  </si>
  <si>
    <t>12.1.2</t>
  </si>
  <si>
    <t>12.1.3</t>
  </si>
  <si>
    <t>12.1.4</t>
  </si>
  <si>
    <t>12.1.5</t>
  </si>
  <si>
    <t>12.1.6</t>
  </si>
  <si>
    <t>12.1.7</t>
  </si>
  <si>
    <t>12.1.8</t>
  </si>
  <si>
    <t>12.1.9</t>
  </si>
  <si>
    <t>12.1.10</t>
  </si>
  <si>
    <t>12.1.11</t>
  </si>
  <si>
    <t>12.1.12</t>
  </si>
  <si>
    <t>12.1.13</t>
  </si>
  <si>
    <t>12.1.14</t>
  </si>
  <si>
    <t>12.1.15</t>
  </si>
  <si>
    <t>12.1.16</t>
  </si>
  <si>
    <t>12.1.17</t>
  </si>
  <si>
    <t>12.1.18</t>
  </si>
  <si>
    <t>12.1.19</t>
  </si>
  <si>
    <t>12.1.20</t>
  </si>
  <si>
    <t>12.1.21</t>
  </si>
  <si>
    <t>12.1.22</t>
  </si>
  <si>
    <t>12.1.23</t>
  </si>
  <si>
    <t>EX1.1 IP20: 5W - 330 LUMEN LED AMPÜLLÜ, 3 SAAT SÜRELİ Ni-cd BATARYALI,  DUVAR TİPİ (TEK YÜZLÜ), 15cm YÜKSEKLİKTE İŞARET ETİKETLİ, SÜREKLİ YANAR TİP  STANDART (İÇTEN AYDINLATMALI) TAHLİYE YÖNLENDİRME (ÇIKIŞ-EXIT) ARMATÜRÜ  (EN60598-2-22 EAC VE CE NORMLARINA UYGUN)</t>
  </si>
  <si>
    <t>EX1.2 IP20 5W - 330 LUMEN LED AMPÜLLÜ, 3 SAAT SÜRELİ Ni-cd BATARYALI,  TAVAN TİPİ (ÇİFT YÜZLÜ), 15cm YÜKSEKLİKTE İŞARET ETİKETLİ, SÜREKLİ YANAR TİP  STANDART (İÇTEN AYDINLATMALI) TAHLİYE YÖNLENDİRME (ÇIKIŞ-EXIT) ARMATÜRÜ  (EN60598-2-22 EAC VE CE NORMLARINA UYGUN)</t>
  </si>
  <si>
    <t>EX2.2 IP20 5W - 330 LUMEN LED AMPÜLLÜ, 3 SAAT SÜRELİ Ni-cd BATARYALI,  TAVAN TİPİ (ÇİFT YÜZLÜ), H:min 15cm İŞARET ETİKETLİ, SÜREKLİ YANAR TİP DEKORATİF (ÜSTTEN AYDINLATMALI) TAHLİYE YÖNLENDİRME (ÇIKIŞ-EXIT) ARMATÜRÜ  ( EN60598-2-22 EAC VE CE NORMLARINA UYGUN)</t>
  </si>
  <si>
    <t xml:space="preserve">EX3.1 IP20: İşaret etiket ebatı 40x20cm, 3W mid power LED, 3 Saat Süreli (270Lm) Ni-Cd Bataryalı,  Çift Yönlü, Sıva Üstü, Sürekli Yanar Tip Tahliye Yönlendirme (Çıkış-Exıt) Armatürü </t>
  </si>
  <si>
    <t>EM1.2 5W LED 2x800lm 3saat VRLA Bataryalı Self Testli ACİL AYDINLATMA PROJEKTÖRÜ (Endüstriyel Far Tipi)</t>
  </si>
  <si>
    <t>EM2 6x4W LED AMPULLÜ, 3 SAAT BATARYALI ACİL AYDINLATMA PROJEKTÖRÜ (ENDÜSTRİYEL FAR TİPİ)</t>
  </si>
  <si>
    <t>YPL 53W 149cm - 4000K IP65 SIVA ÜSTÜ ETANJ AYDINLATMA ARMATÜRÜ</t>
  </si>
  <si>
    <t>YPL-E 53W 149cm - 4000K IP65 SIVA ÜSTÜ ETANJ AYDINLATMA ARMATÜRÜ - 3 saat bataryalı (acil ayd)</t>
  </si>
  <si>
    <t>ORN SNS 18W - 4000K IP66 SIVA ÜSTÜ SENSÖRLÜ ETANJ AYDINLATMA ARMATÜRÜ - 3 saat bataryalı (acil ayd)</t>
  </si>
  <si>
    <t>DWL 14W - 4000K IP20 SIVA ALTI AYDINLATMA ARMATÜRÜ</t>
  </si>
  <si>
    <t>DWL-E 14W - 4000K IP20 SIVA ALTI AYDINLATMA ARMATÜRÜ - 3 saat bataryalı (acil ayd)</t>
  </si>
  <si>
    <t>DWL 10W - 4000K IP20 SIVA ALTI AYDINLATMA ARMATÜRÜ</t>
  </si>
  <si>
    <t>DWL-E 10W - 4000K IP20 SIVA ALTI AYDINLATMA ARMATÜRÜ - 3 saat bataryalı (acil ayd)</t>
  </si>
  <si>
    <t>LORY 10W -  - 4000K IP65 SIVA ALTI AYDINLATMA ARMATÜRÜ</t>
  </si>
  <si>
    <t>GLS 55W 149cm MR - 4000K IP66 ALÜMİNYUM GÖVDELİ ZONE2/21 SIVA ÜSTÜ EXPROOF AYDINLATMA ARMATÜRÜ</t>
  </si>
  <si>
    <t>GLS 55W 149cm MR - 4000K IP66 ALÜMİNYUM GÖVDELİ ZONE2/21 SIVA ÜSTÜ EXPROOF AYDINLATMA ARMATÜRÜ  - 3 saat bataryalı (acil ayd)</t>
  </si>
  <si>
    <t>LUP SRKT 14W 36 DERECE - 4000K IP20 ALÜMİNYUM EDSTRÜZYON GÖVDE SIVA ÜSTÜ SARKIT AYDINLATMA ARMATÜRÜ</t>
  </si>
  <si>
    <t>LUP-E SRKT 14W 36 DERECE - 4000K IP20 ALÜMİNYUM EDSTRÜZYON GÖVDE SIVA ÜSTÜ SARKIT AYDINLATMA ARMATÜRÜ  - 3 saat bataryalı (acil ayd)</t>
  </si>
  <si>
    <t>BLM-S NG 36W A - 4000K IP20 60x60cm SIVA ALTI AYDINLATMA ARMATÜRÜ</t>
  </si>
  <si>
    <t>BLM-S-E NG 36W A - 4000K IP20 60x60cm SIVA ALTI AYDINLATMA ARMATÜRÜ - 3 saat bataryalı (acil ayd)</t>
  </si>
  <si>
    <t>BLM-S1 NG 36W A - 4000K IP65 60x60cm SIVA ALTI AYDINLATMA ARMATÜRÜ</t>
  </si>
  <si>
    <t>BLM-S1-E NG 36W A - 4000K IP65 60x60cm SIVA ALTI AYDINLATMA ARMATÜRÜ - 3 saat bataryalı (acil ayd)</t>
  </si>
  <si>
    <t>GRM 95W 90 DERECE - 4000K IP65 ALÜMİNYUM GÖVDELİ SIVA ÜSTÜ ETANJ AYDINLATMA ARMATÜRÜ</t>
  </si>
  <si>
    <t>İÇ AYDINLATMA</t>
  </si>
  <si>
    <t>12.2.1</t>
  </si>
  <si>
    <t>12.2.2</t>
  </si>
  <si>
    <t>12.2.3</t>
  </si>
  <si>
    <t>12.2.4</t>
  </si>
  <si>
    <t>12.2.5</t>
  </si>
  <si>
    <t>12.2.6</t>
  </si>
  <si>
    <t xml:space="preserve">L-1 140W IP66 4000K HARİCİ AYDINLATMA ARMATÜRÜ - 6m ÇİFT KONSOL DİREK DAHİL </t>
  </si>
  <si>
    <t xml:space="preserve">L-2 70W IP66 4000K HARİCİ AYDINLATMA ARMATÜRÜ - 6m TEK KONSOL DİREK DAHİL </t>
  </si>
  <si>
    <t>L-3 15W IP66 4000K HARİCİ AYDINLATMA ARMATÜRÜ - 75cm BOLARD</t>
  </si>
  <si>
    <t xml:space="preserve">L-4 70W IP66 4000K HARİCİ AYDINLATMA ARMATÜRÜ -  APLİK - KONSOL DAHİL </t>
  </si>
  <si>
    <t xml:space="preserve">L-5 14W IP65 4000K HARİCİ SIVA ÜSTÜ AYDINLATMA ARMATÜRÜ </t>
  </si>
  <si>
    <t xml:space="preserve">L-5A 10W IP65 4000K HARİCİ SIVA ÜSTÜ AYDINLATMA ARMATÜRÜ </t>
  </si>
  <si>
    <t>L-6 193W IP65 4000K HARİCİ PROJEKTÖR</t>
  </si>
  <si>
    <t>12.2.7</t>
  </si>
  <si>
    <t>DIŞ AYDINLATMA</t>
  </si>
  <si>
    <r>
      <t xml:space="preserve">TOPRAKLAMA, YILDIRIMDAN KORUNMA VE İŞLETME TOPRAKLAMASI
</t>
    </r>
    <r>
      <rPr>
        <sz val="11"/>
        <color theme="1"/>
        <rFont val="Tahoma"/>
        <family val="2"/>
        <charset val="162"/>
      </rPr>
      <t>- Her Türlü Aksesuar ve Montaj Malzemelesi, Test ve Ölçümler Dahil Çalışır Vaziyette Teslim Edilmesi</t>
    </r>
  </si>
  <si>
    <t>13.1.1</t>
  </si>
  <si>
    <t>13.1.2</t>
  </si>
  <si>
    <t>13.1.3</t>
  </si>
  <si>
    <t>13.1.4</t>
  </si>
  <si>
    <t>13.1.5</t>
  </si>
  <si>
    <t>13.1.6</t>
  </si>
  <si>
    <t>13.1.7</t>
  </si>
  <si>
    <t>13.1.8</t>
  </si>
  <si>
    <t>13.1.9</t>
  </si>
  <si>
    <t>13.1.10</t>
  </si>
  <si>
    <t>13.1.11</t>
  </si>
  <si>
    <t>13.1.12</t>
  </si>
  <si>
    <t>13.1.13</t>
  </si>
  <si>
    <t>13.1.14</t>
  </si>
  <si>
    <t>13.1.15</t>
  </si>
  <si>
    <t>13.1.16</t>
  </si>
  <si>
    <t>13.1.17</t>
  </si>
  <si>
    <t>13.1.18</t>
  </si>
  <si>
    <t>13.1.19</t>
  </si>
  <si>
    <t>13.1.20</t>
  </si>
  <si>
    <t>BİNA İÇİ TOPRAKLAMA VE POTANSİYEL DENGELEME TESİSATI
- Kablo tavalarına döşenen topraklama iletkenleri kablo tavasının yan tarafına görünür şekilde metal (prinç vb) kroşe ile en fazla 60cm aralıkla sabitlenecektir. Çıplak örgülü iletken birim fiyatına kroşeler dahildir.</t>
  </si>
  <si>
    <t xml:space="preserve">30x3,5mm Sıcak Daldırma Galvaniz Kaplı Çelik Şerit-Lama iletken </t>
  </si>
  <si>
    <t xml:space="preserve">40x5mm Sıcak Daldırma Galvaniz Kaplı Çelik Şerit-Lama iletken </t>
  </si>
  <si>
    <t>40x4mm-40x5mm SDG Lama İletken için duvar kroşesi</t>
  </si>
  <si>
    <t>Eş Potansiyel Bara Som Bakır-Cu (40x5x200mm)</t>
  </si>
  <si>
    <t>Eş Potansiyel Bara Som Bakır-Cu (40x5x300mm)</t>
  </si>
  <si>
    <t>Eş Potansiyel Bara Som Bakır-Cu (50x5x400mm)</t>
  </si>
  <si>
    <t>Statik Elektrik EL Topraklama levhası</t>
  </si>
  <si>
    <t xml:space="preserve">20cm uzunluğa kadar 1x6 mm2 H07Z1-R/K (Sarı-Yeşil) PapuçluTopraklama Kablosu (atlama kabloloları - tava, kanal vb için) </t>
  </si>
  <si>
    <t xml:space="preserve">50cm uzunluğa kadar 1x6 mm2 H07Z1-R/K (Sarı-Yeşil) PapuçluTopraklama Kablosu (atlama kabloloları - tava, kanal vb için) </t>
  </si>
  <si>
    <t xml:space="preserve">100cm uzunluğa kadar 1x6 mm2 H07Z1-R/K (Sarı-Yeşil) PapuçluTopraklama Kablosu (atlama kabloloları - tava, kanal vb için) </t>
  </si>
  <si>
    <t xml:space="preserve">200cm uzunluğa kadar 1x6 mm2 H07Z1-R/K (Sarı-Yeşil) PapuçluTopraklama Kablosu (atlama kabloloları - tava, kanal vb için) </t>
  </si>
  <si>
    <t xml:space="preserve">1x6 mm2 H07Z1-R/K (Sarı-Yeşil) Topraklama Kablosu </t>
  </si>
  <si>
    <t xml:space="preserve">1x10 mm2 H07Z1-R/K (Sarı-Yeşil) Topraklama Kablosu </t>
  </si>
  <si>
    <t xml:space="preserve">1x16 mm2 H07Z1-R/K (Sarı-Yeşil) Topraklama Kablosu </t>
  </si>
  <si>
    <t xml:space="preserve">1x25 mm2 H07Z1-R/K (Sarı-Yeşil) Topraklama Kablosu </t>
  </si>
  <si>
    <t xml:space="preserve">1x50 mm2 H07Z1-R/K (Sarı-Yeşil) Topraklama Kablosu </t>
  </si>
  <si>
    <t xml:space="preserve">16mm2 Çıplak Örgülü Topraklama Kablosu </t>
  </si>
  <si>
    <t xml:space="preserve">25mm2 Çıplak Örgülü Topraklama Kablosu </t>
  </si>
  <si>
    <t xml:space="preserve">50mm2 Çıplak Örgülü Topraklama Kablosu </t>
  </si>
  <si>
    <t xml:space="preserve">95mm2 Çıplak Örgülü Topraklama Kablosu </t>
  </si>
  <si>
    <t>GERSAN, RADSAN, AMPER</t>
  </si>
  <si>
    <t>GERSAN, RADSAN, AMPER,
NEXANS, PRYSMIAN</t>
  </si>
  <si>
    <t>13.2.1</t>
  </si>
  <si>
    <t>13.2.2</t>
  </si>
  <si>
    <t>13.2.3</t>
  </si>
  <si>
    <t>13.2.4</t>
  </si>
  <si>
    <t>13.2.5</t>
  </si>
  <si>
    <t>13.2.6</t>
  </si>
  <si>
    <t>13.2.7</t>
  </si>
  <si>
    <t>13.2.8</t>
  </si>
  <si>
    <t>Ø20mm, L=600mm, Cr-Ni Kaplı Çelik Yakalama Ucu (kenetli metal çatıya uygun montaj tabanı dahil)</t>
  </si>
  <si>
    <t>Ф10mm Sıcak Daldırma Galvaniz Kaplı Çelik İletken Kenetli Metal Geçiş (su sızdırmaz) elemanı/detayı (özel)</t>
  </si>
  <si>
    <t>Ф10mm Sıcak Daldırma Galvaniz Kaplı Çelik İletken</t>
  </si>
  <si>
    <t>Metal Çatı için Çatı İletken Taşıyıcı (ref: Gersan GF-109-110'a benzer) (en fazla 0,6m aralıkla)</t>
  </si>
  <si>
    <t>Çatı İletken Taşıyıcı (ref: Gersan BP-300) (en fazla 1m aralıkla)</t>
  </si>
  <si>
    <t>Parapet Üzeri Montaj Kroşesi (ref: Gersan GTE-202/Gf-112 vb) (en fazla 0,6m aralıkla)</t>
  </si>
  <si>
    <t>İniş İletkenleri Duvara Tespit Kroşesi</t>
  </si>
  <si>
    <t>SDG kaplı Bağlantı elemanı (ek, kol alma, dörtlü bağlantı vb)</t>
  </si>
  <si>
    <t>ÇATI - YILDIRIMDAN KORUNMA TESİSATI</t>
  </si>
  <si>
    <t>13.3.1</t>
  </si>
  <si>
    <t>13.3.2</t>
  </si>
  <si>
    <t>13.3.3</t>
  </si>
  <si>
    <t>13.3.4</t>
  </si>
  <si>
    <t>Ф8mm 50mm2 Çıplak Som Bakır İletken</t>
  </si>
  <si>
    <t>Termokaynak (SDG iletken-Bakır iletken Cadweld kaynak)</t>
  </si>
  <si>
    <t>TESFİYE BETONU (GROBETON) İÇİ "TEMEL TOPRAKLAMA TESİSATI"</t>
  </si>
  <si>
    <t>13.4.1</t>
  </si>
  <si>
    <t>13.4.2</t>
  </si>
  <si>
    <t>13.4.3</t>
  </si>
  <si>
    <t>13.4.4</t>
  </si>
  <si>
    <t>13.4.5</t>
  </si>
  <si>
    <t>13.4.6</t>
  </si>
  <si>
    <t>SDG kaplı Bağlantı elemanı (SDG iletkenin Betonarme içindeki demir donatılara bağlantısı, sabitlenmesi için) (en fazla 2m aralıkla)</t>
  </si>
  <si>
    <t>Çelik kolon vb elemanlara kaynaklı bağlantı</t>
  </si>
  <si>
    <t>TEMEL İÇİ (BETONARME YAPIYA GÖMÜLÜ) EŞPOTANSİYEL TESİSATI</t>
  </si>
  <si>
    <t>RİNG TOPRAKLAMA TESİSATI</t>
  </si>
  <si>
    <t>Termokaynak (Bakır-Bakır iletken Cadweld kaynak)</t>
  </si>
  <si>
    <t>Ø20mm Çap ve l=1,5m uzunlukta Som Bakır Topraklama Elektrodu (iletken bağlantı klemensi dahil)</t>
  </si>
  <si>
    <t>Demir Döküm Kapaklı Betonarme Topraklama Rögarı (40x40x40cm)</t>
  </si>
  <si>
    <t>60cm Derinlikte 40cm Genişlikte Toprak Kanal (Açma ve Geri Kapatma dahil)</t>
  </si>
  <si>
    <t>13.5.1</t>
  </si>
  <si>
    <t>13.5.2</t>
  </si>
  <si>
    <t>13.5.3</t>
  </si>
  <si>
    <t>13.5.4</t>
  </si>
  <si>
    <t>13.5.5</t>
  </si>
  <si>
    <t>13.5.6</t>
  </si>
  <si>
    <t>13.6.1</t>
  </si>
  <si>
    <t>13.6.2</t>
  </si>
  <si>
    <t>13.6.3</t>
  </si>
  <si>
    <t>13.6.4</t>
  </si>
  <si>
    <t>13.6.5</t>
  </si>
  <si>
    <t>13.6.6</t>
  </si>
  <si>
    <t>13.6.7</t>
  </si>
  <si>
    <t>13.6.8</t>
  </si>
  <si>
    <t>TRAFO-JENERATÖR İŞLETME TOPRAKLAMASI TESİSATI</t>
  </si>
  <si>
    <t>50mm2 Çıplak Som Bakır İletken</t>
  </si>
  <si>
    <t xml:space="preserve">1x150 mm2 H07Z1-K (Sarı-Yeşil) Topraklama Kablosu </t>
  </si>
  <si>
    <t>Ø20mm Çap ve l=3m uzunlukta Som Bakır Topraklama Elektrodu (klemens, ek parçası, çakma başlığı, sivri uç vb aksesuarlar dahil)</t>
  </si>
  <si>
    <t>Termokaynak (Topraklama elektrodu ve 2 ad bakır iletken için Cadweld kaynak)</t>
  </si>
  <si>
    <t>Topraklama elektrodu ve topraklama iletken bağlantı klemensi (işletme topraklama kablosunun topraklama elektroduna bağlantısı için)</t>
  </si>
  <si>
    <t>Ø50mm 450N HDPE Çift Cidarlı Koruge Boru</t>
  </si>
  <si>
    <t>60cm Derinlikte 40cm GenişlikteToprak Kanal (Açma ve Geri Kapatma dahil)</t>
  </si>
  <si>
    <t>13.7.1</t>
  </si>
  <si>
    <t>13.7.2</t>
  </si>
  <si>
    <t>13.7.3</t>
  </si>
  <si>
    <t>13.7.4</t>
  </si>
  <si>
    <t>13.7.5</t>
  </si>
  <si>
    <t>TEST RAPORLARI</t>
  </si>
  <si>
    <t>Yıldırımdan Korunma Sistemi Test Raporu (EMO belgeli bağımsız firma)</t>
  </si>
  <si>
    <t>Bina Temel Topraklama Sistemi Test Raporu (EMO belgeli bağımsız firma)</t>
  </si>
  <si>
    <t>Trafo Binası Temel Topraklama Sistemi Test Raporu (EMO belgeli bağımsız firma)</t>
  </si>
  <si>
    <t>Trafo İşletme Toraklaması (Nötr) Test Raporu (EMO belgeli bağımsız firma)</t>
  </si>
  <si>
    <t>Jeneratör İşletme Toraklaması (Nötr) Test Raporu (EMO belgeli bağımsız firma)</t>
  </si>
  <si>
    <t>ZAYIF AKIM SİSTEMLERİ</t>
  </si>
  <si>
    <r>
      <t xml:space="preserve">YANGIN İHBAR SİSTEMİ
</t>
    </r>
    <r>
      <rPr>
        <sz val="11"/>
        <color theme="1"/>
        <rFont val="Tahoma"/>
        <family val="2"/>
        <charset val="162"/>
      </rPr>
      <t>- Gerekli her türlü kart, aksesuar ve montaj malzemelesi, test ve ölçümler, devreye alma çalışmaları dahil çalışır vaziyette teslim edilmesi</t>
    </r>
  </si>
  <si>
    <t>14.1.1</t>
  </si>
  <si>
    <t>14.1.2</t>
  </si>
  <si>
    <t>MERKEZİ ÜNİTE</t>
  </si>
  <si>
    <t>FAP-1 İnteraktif Adresli Yangın Algılama Paneli (aküler dahil)
- en az 2 Loop ve 500 adres kapasiteli</t>
  </si>
  <si>
    <t>FAP-2 İnteraktif Adresli Yangın Algılama TEKRARLAMA Paneli (aküler dahil)</t>
  </si>
  <si>
    <t>SIEMENS
SCHNEIDER
BOSCH
HONEYWELL</t>
  </si>
  <si>
    <t>SAHA ELEMANLARI
(kısa devre izolatörü, montaj tabanı dahil)</t>
  </si>
  <si>
    <t>14.2.1</t>
  </si>
  <si>
    <t>14.2.2</t>
  </si>
  <si>
    <t>14.2.3</t>
  </si>
  <si>
    <t>14.2.4</t>
  </si>
  <si>
    <t>14.2.5</t>
  </si>
  <si>
    <t>14.2.6</t>
  </si>
  <si>
    <t>14.2.7</t>
  </si>
  <si>
    <t>14.2.8</t>
  </si>
  <si>
    <t>14.2.9</t>
  </si>
  <si>
    <t>14.2.10</t>
  </si>
  <si>
    <t>14.2.11</t>
  </si>
  <si>
    <t>14.2.12</t>
  </si>
  <si>
    <t>14.2.13</t>
  </si>
  <si>
    <t>14.2.14</t>
  </si>
  <si>
    <t>14.2.15</t>
  </si>
  <si>
    <t>14.2.16</t>
  </si>
  <si>
    <t>14.2.17</t>
  </si>
  <si>
    <t>14.2.18</t>
  </si>
  <si>
    <t>14.2.19</t>
  </si>
  <si>
    <t>14.2.20</t>
  </si>
  <si>
    <t>14.2.21</t>
  </si>
  <si>
    <t>14.2.22</t>
  </si>
  <si>
    <t>14.2.23</t>
  </si>
  <si>
    <t>14.2.24</t>
  </si>
  <si>
    <t>İnteraktif Adresli Optik Duman Dedektörü</t>
  </si>
  <si>
    <t>İnteraktif Adresli Optik Duman Dedektörü(Yükseltilmiş döşeme içi)</t>
  </si>
  <si>
    <t>İnteraktif Adresli Optik Duman Dedektörü (Asma tavan içi)</t>
  </si>
  <si>
    <t>İnteraktif Adresli Sabit sıcaklık ve Isı Artış Hızı Dedektörü</t>
  </si>
  <si>
    <t>İnteraktif Adresli Kombine Dedektör (Optik+Isı)</t>
  </si>
  <si>
    <t>İnteraktif Adresli Kombine Dedektör (Optik+Isı)(Yükseltilmiş döşeme içi)</t>
  </si>
  <si>
    <t xml:space="preserve">İnteraktif Işın Tipi Duman Dedektörü </t>
  </si>
  <si>
    <t>İnteraktif Işın Tipi Duman Dedektörü (OSID)</t>
  </si>
  <si>
    <t>Işın Dedektörü için I/O Modülü</t>
  </si>
  <si>
    <t>İnteraktif Adresli Kanal Tipi Optik Duman Dedektörü (soket, kanal tipi muhafaza,örnekleme tüpü, LED gösterge ve test istasyonu)</t>
  </si>
  <si>
    <t>Doğalgaz Dedektörü (monitör modülü üzerinden sisteme bağlamak üzere kuru kontak çıkışlı)</t>
  </si>
  <si>
    <t>İndikatör (Paralel İhbar Lambası)</t>
  </si>
  <si>
    <t>İnteraktif Adresli Yangın İhbar Butonu</t>
  </si>
  <si>
    <t>İnteraktif Adresli Yangın İhbar Butonu (IP65 Harici Tip)</t>
  </si>
  <si>
    <t>Yangın İhbar Flaşörü(110cd)</t>
  </si>
  <si>
    <t>Yangın İhbar Sireni Flaşörlü(110cd)</t>
  </si>
  <si>
    <t>Yangın İhbar Sireni Flaşörlü(110cd)(IP65 Harici Tip)</t>
  </si>
  <si>
    <t>İnteraktif Adresli Kontrol Modülü</t>
  </si>
  <si>
    <t>İnteraktif Adresli Monitör Modülü</t>
  </si>
  <si>
    <t>İnteraktif Adresli Flaşör Kontrol Modülü</t>
  </si>
  <si>
    <t>24V DC Güç Kaynağı (batarya dahil komple) EN 54</t>
  </si>
  <si>
    <t>Flaşör-Siren Hattı Güç Kaynağı (batarya dahil komple) EN 54</t>
  </si>
  <si>
    <t>Bağlantı Klemens Kutusu (kat dağıtım kutusu)</t>
  </si>
  <si>
    <t>Yangın alarm flasörü hat sonu süpervizyon modulu</t>
  </si>
  <si>
    <t>14.3.1</t>
  </si>
  <si>
    <t>14.3.2</t>
  </si>
  <si>
    <t>14.3.3</t>
  </si>
  <si>
    <t>14.3.4</t>
  </si>
  <si>
    <t>14.3.5</t>
  </si>
  <si>
    <t>14.3.6</t>
  </si>
  <si>
    <t>Exproof Alev dedektörü</t>
  </si>
  <si>
    <t>Exproof Kombine Dedektör (Optik+Isı)</t>
  </si>
  <si>
    <t>Exproof Yangın İhbar Butonu</t>
  </si>
  <si>
    <t>Exproof Yangın İhbar Sireni Flaşörlü(110cd)</t>
  </si>
  <si>
    <t>Adresleme Modülü</t>
  </si>
  <si>
    <t>Zener Bariye Modülü</t>
  </si>
  <si>
    <t>EX-PROOF SAHA ELEMANLARI
(kısa devre izolatörü, montaj tabanı dahil)</t>
  </si>
  <si>
    <t>14.4.1</t>
  </si>
  <si>
    <t xml:space="preserve">Deprem Sensörü 
(Yangın İhbar sistemi için en az iki adet kuru kontağa sahip) 
Sismik Hareketi Algılayan Otomatik Gaz ve Enerji Kesme Cihazı *LCD Göstergeli, *Mekanik Sensörlü, *Elektromekanik </t>
  </si>
  <si>
    <t>DEPREM SENSÖRÜ
- Pano, her türlü şalt malzemeleri, ölçü aletleri, sinyal lambaları, her türlü aksesuar, montaj, sarf malzemesi, fabrika ve sahada montaj sonrası testleri ve devreye alma çalışmaları dahil, çalışır vaziyette teslim edilmesi</t>
  </si>
  <si>
    <t>SİSMİK - NOFIRE</t>
  </si>
  <si>
    <t>14.5.1</t>
  </si>
  <si>
    <t>14.5.2</t>
  </si>
  <si>
    <t>14.5.3</t>
  </si>
  <si>
    <t>14.5.4</t>
  </si>
  <si>
    <t>14.5.5</t>
  </si>
  <si>
    <t>14.5.6</t>
  </si>
  <si>
    <t>14.5.7</t>
  </si>
  <si>
    <t>2x2x1+0,8mm²  JH(St)H FE180 PH120</t>
  </si>
  <si>
    <t>2x2x1,5+1mm²  JH(St)H FE180 PH120</t>
  </si>
  <si>
    <t>2x1,5+0,8mm²  JH(St)H FE180 PH120</t>
  </si>
  <si>
    <t>3x2,5mm2 SIMH-O</t>
  </si>
  <si>
    <t>Ø16mm 750N Halojenden Arındırılmış Alev Yaymaz Düz Elektrik Borusu
(her türlü aksesuar ve montaj malzemesi dahil)</t>
  </si>
  <si>
    <t>Ø20mm 750N Halojenden Arındırılmış Alev Yaymaz Düz Elektrik Borusu
(kasa ve her türlü aksesuar ve montaj malzemesi dahil)</t>
  </si>
  <si>
    <t>KABLO - BORU</t>
  </si>
  <si>
    <t>14.6.1</t>
  </si>
  <si>
    <t>TEST-DEVREYE ALMA HİZMETLERİ</t>
  </si>
  <si>
    <t>Test ve devreye alma çalışmaları, mühendislik hizmetleri, dökümantasyon, eğitim ve işverene teslimi</t>
  </si>
  <si>
    <r>
      <t xml:space="preserve">ACİL ANONS, ANONS VE MÜZİK YAYIN SİSTEMİ
</t>
    </r>
    <r>
      <rPr>
        <sz val="11"/>
        <color theme="1"/>
        <rFont val="Tahoma"/>
        <family val="2"/>
        <charset val="162"/>
      </rPr>
      <t>- Gerekli her türlü kart, aksesuar ve montaj malzemelesi, test ve ölçümler, devreye alma çalışmaları dahil çalışır vaziyette teslim edilmesi</t>
    </r>
  </si>
  <si>
    <t>15.5.1</t>
  </si>
  <si>
    <t>Acil Anons Merkezi Ünite - 12 Bölgeli Sistem Merkezi Denetleyicisi, EN 54-16 sertifikalı, 24saat beyleme ve 30dk tam yükte çalışacak kapasitede bataryalı güç kaynağı dahil</t>
  </si>
  <si>
    <t>2x500W D-sınıfı amplifikatör, 100V-70V çıkışlı</t>
  </si>
  <si>
    <t>2x250W D-sınıfı amplifikatör, 100V-70V çıkışlı</t>
  </si>
  <si>
    <t>4x125W D-sınıfı amplifikatör, 100V-70V çıkışlı</t>
  </si>
  <si>
    <t>Hat sonu süpervizyon kartı</t>
  </si>
  <si>
    <t>Müzik Kaynağı, SD Kart ve USB desteği, MP3 ve FM Tuner</t>
  </si>
  <si>
    <t>Mikrofonlu Uzak Anons İstasyonu</t>
  </si>
  <si>
    <t>DVD/CD/MP3 Player</t>
  </si>
  <si>
    <t>26U Rack Kabinet ve Aksesuarları (600x800)</t>
  </si>
  <si>
    <t>BOSCH-Paviro
TOA
BIAMP
HONEYWELL</t>
  </si>
  <si>
    <t>Sıva Altı Hoparlör (3-6W) Metal 4" (inç) sürücü, EN54-24 sertifikalı, metal fire dome dahil</t>
  </si>
  <si>
    <t>Sıva Üstü Hoparlör (3-6W)  Metal 4" (inç) sürücü, EN54-24 sertifikalı, sıvaüstü montaj aksesuarı dahil</t>
  </si>
  <si>
    <t>Neme Dayanıklı Sıva Altı Hoparlör (3-6W)  EN54-24 Onaylı metal ızgara, IPx4, fire dome dahil</t>
  </si>
  <si>
    <t>Neme Dayanıklı Sıva Üstü Hoparlör (3-6W)  EN54-24 Onaylı metal ızgara, IPx4, fire dome dahil</t>
  </si>
  <si>
    <t>Kolon Tipi Hoparlör 10W 5" (inç) sürücü, EN54-24 sertifikalı</t>
  </si>
  <si>
    <t>Korna (Horn) Tipi Hoparlör 10W, EN54-24 sertifikalı</t>
  </si>
  <si>
    <t>Açık hava koşullarına Dayanıklı Sıva Üstü Projektör Tipi Hoparlör (5-10W) EN54-24 Onaylı</t>
  </si>
  <si>
    <t xml:space="preserve">Asansör kabini için 2W Sıva Altı Hoparlör, EN54-24 sertifikalı, </t>
  </si>
  <si>
    <t xml:space="preserve">Ses Kontrol Ünitesi 100W </t>
  </si>
  <si>
    <t>SAHA ELEMANLARI</t>
  </si>
  <si>
    <t>Hoparlör, Sıva Üstü Tip, 3-6W EX-PROOF/1 TEHLİKE SINIFI 1'E UYGUN</t>
  </si>
  <si>
    <t>Hoparlör, Sıva Üstü Tip, 3-6W EX-PROOF/2 TEHLİKE SINIFI 2'E UYGUN</t>
  </si>
  <si>
    <t>Hoparlör, Sıva Üstü Tip, 3-6W EX-PROOF/3 TEHLİKE SINIFI 3'E UYGUN</t>
  </si>
  <si>
    <t>Hat Sonu Süpervize Rölesi, 1 Zon</t>
  </si>
  <si>
    <t>15.1.1</t>
  </si>
  <si>
    <t>15.1.2</t>
  </si>
  <si>
    <t>15.1.3</t>
  </si>
  <si>
    <t>15.1.4</t>
  </si>
  <si>
    <t>15.1.5</t>
  </si>
  <si>
    <t>15.1.6</t>
  </si>
  <si>
    <t>15.1.7</t>
  </si>
  <si>
    <t>15.1.8</t>
  </si>
  <si>
    <t>15.1.9</t>
  </si>
  <si>
    <t>15.2.1</t>
  </si>
  <si>
    <t>15.2.2</t>
  </si>
  <si>
    <t>15.2.3</t>
  </si>
  <si>
    <t>15.2.4</t>
  </si>
  <si>
    <t>15.2.5</t>
  </si>
  <si>
    <t>15.2.6</t>
  </si>
  <si>
    <t>15.2.7</t>
  </si>
  <si>
    <t>15.2.8</t>
  </si>
  <si>
    <t>15.2.9</t>
  </si>
  <si>
    <t>15.3.1</t>
  </si>
  <si>
    <t>15.3.2</t>
  </si>
  <si>
    <t>15.3.3</t>
  </si>
  <si>
    <t>15.3.4</t>
  </si>
  <si>
    <t>15.4.1</t>
  </si>
  <si>
    <t>15.4.2</t>
  </si>
  <si>
    <t>15.4.3</t>
  </si>
  <si>
    <t>15.4.4</t>
  </si>
  <si>
    <t>15.4.5</t>
  </si>
  <si>
    <t>15.4.6</t>
  </si>
  <si>
    <t>15.4.7</t>
  </si>
  <si>
    <t>2x1,5mm2 LIHCH FE180-PH120</t>
  </si>
  <si>
    <t>4x1,5mm2 LIHCH FE180-PH120</t>
  </si>
  <si>
    <t>20x2x0,80 J-H(St)-H/ FE 180</t>
  </si>
  <si>
    <t>CAT6-UTP</t>
  </si>
  <si>
    <t>Özel mikrofon kablosu</t>
  </si>
  <si>
    <r>
      <t xml:space="preserve">TELEFON-DATA SİSTEMİ (YAPISAL KABLOLAMA)
</t>
    </r>
    <r>
      <rPr>
        <sz val="11"/>
        <color theme="1"/>
        <rFont val="Tahoma"/>
        <family val="2"/>
        <charset val="162"/>
      </rPr>
      <t xml:space="preserve">- Gerekli her türlü, aksesuar ve montaj malzemelesi, test ve ölçümler, devreye alma çalışmaları dahil çalışır vaziyette teslim edilmesi
- Gerekli duvar veya döşemeye bırakılacak gömülü ve sıva üstü altyapı tesisatları YÜKLENİCİ kapsamındadır(sıva altı ve sıva üstü boru, parapet kanal,kablo kanalı, kablo merdiveni, sıva üstü buat, kasa,  priz çerçevesi, bürotik blok vb.) </t>
    </r>
  </si>
  <si>
    <t>16.1.1</t>
  </si>
  <si>
    <t>16.1.2</t>
  </si>
  <si>
    <t>AKTİF-PASİF EKİPMANLAR - DATA KABİNETLERİ</t>
  </si>
  <si>
    <t>Wireless Access Point</t>
  </si>
  <si>
    <t>Ekipmanlar</t>
  </si>
  <si>
    <t>16.2.1</t>
  </si>
  <si>
    <t>16.2.2</t>
  </si>
  <si>
    <t>RJ-45 Data Prizi</t>
  </si>
  <si>
    <t>RJ-45 Data Jack</t>
  </si>
  <si>
    <t>Saha Priz-Jack</t>
  </si>
  <si>
    <t>HCS</t>
  </si>
  <si>
    <t>16.3.1</t>
  </si>
  <si>
    <t>4x2x23# U/UTP CAT 6 LS0H Gri, 500m Makara</t>
  </si>
  <si>
    <t>Kategori 6 U/UTP 100 Ohm Yatay LAN Kabloları</t>
  </si>
  <si>
    <t>16.4.1</t>
  </si>
  <si>
    <t>Kategori 6 U/UTP 100 Ohm Yatay LAN Kabloları (Outdoor)</t>
  </si>
  <si>
    <t>DATA CAT 6 U/UTP OUTDOOR PE 500 m DRUM siyah</t>
  </si>
  <si>
    <t>16.5.1</t>
  </si>
  <si>
    <t>16.5.2</t>
  </si>
  <si>
    <t>16.5.3</t>
  </si>
  <si>
    <t>Ø20mm 750N Halojenden Arındırılmış Alev Yaymaz Düz-Bükülebilir-Kangal Elektrik Borusu - KILAVUZ TELİ DAHİL (her türlü aksesuar ve montaj malzemesi dahil)</t>
  </si>
  <si>
    <t>BORULAR
- Ek ve dönüş elemanları, boru ve pano tipi rakorları, kroşe, her türlü aksesuar, montaj ve sarf malzemesi dahil</t>
  </si>
  <si>
    <t>16.6.1</t>
  </si>
  <si>
    <t>16.6.2</t>
  </si>
  <si>
    <t>16.6.3</t>
  </si>
  <si>
    <t>16.6.4</t>
  </si>
  <si>
    <t>4 Fiberli Paslanmaz Çelik Zırhlı,  Bina Dışı SM</t>
  </si>
  <si>
    <t>6 Fiberli Paslanmaz Çelik Zırhlı,  Bina Dışı SM</t>
  </si>
  <si>
    <t>8 Fiberli Paslanmaz Çelik Zırhlı,  Bina Dışı SM</t>
  </si>
  <si>
    <t>12 Fiberli Paslanmaz Çelik Zırhlı,  Bina Dışı SM</t>
  </si>
  <si>
    <t>Zırhlı Single Loose Tüp Fiber Optik Kablolar SM G.652 D</t>
  </si>
  <si>
    <t>17.1.1</t>
  </si>
  <si>
    <t>17.1.2</t>
  </si>
  <si>
    <t>17.1.3</t>
  </si>
  <si>
    <t>17.1.4</t>
  </si>
  <si>
    <r>
      <t xml:space="preserve">SMATV SİSTEMİ
</t>
    </r>
    <r>
      <rPr>
        <sz val="11"/>
        <color theme="1"/>
        <rFont val="Tahoma"/>
        <family val="2"/>
        <charset val="162"/>
      </rPr>
      <t>- Gerekli her türlü kart, aksesuar, jack, soket vb bağlantı elemanları ve montaj malzemeleri, test ve ölçümler, devreye alma çalışmaları dahil çalışır vaziyette teslim edilmesi</t>
    </r>
  </si>
  <si>
    <t>DAĞITIM SİSTEMİ</t>
  </si>
  <si>
    <t>17.1.5</t>
  </si>
  <si>
    <t>En az 3 Giriş - 8 Çıkış Kapasiteli Multiswitch</t>
  </si>
  <si>
    <t>Uydu TV Priz, Sonlu, 1.2 dB, F konektörlü</t>
  </si>
  <si>
    <t>50cm x 70cm x 22cm (en x boy x derinlik) taban saclı polyester pano</t>
  </si>
  <si>
    <t>LNB</t>
  </si>
  <si>
    <t>80cm Çanak anten</t>
  </si>
  <si>
    <t>17.2.1</t>
  </si>
  <si>
    <t>17.2.2</t>
  </si>
  <si>
    <t>RG11-U/6 LSZH Kablo</t>
  </si>
  <si>
    <t>RG6-U/6 LSZH Kablo</t>
  </si>
  <si>
    <t>KABLOLAR
- Etiketleme, reglaj, her türlü kroşe ve klipslerle sabitleme, pabuç, yüksük, her iki uç bağlantısı, izolasyon vb testler ve ölçümler dahil çalışır vaziyette teslim edilmesi</t>
  </si>
  <si>
    <t>17.3.1</t>
  </si>
  <si>
    <t>17.3.2</t>
  </si>
  <si>
    <t>17.4.1</t>
  </si>
  <si>
    <r>
      <t xml:space="preserve">GÜVENLİK-KARTLI GEÇİŞ SİSTEMLERİ
</t>
    </r>
    <r>
      <rPr>
        <sz val="11"/>
        <color theme="1"/>
        <rFont val="Tahoma"/>
        <family val="2"/>
        <charset val="162"/>
      </rPr>
      <t>- Gerekli her türlü, aksesuar ve montaj malzemelesi, test ve ölçümler, devreye alma çalışmaları dahil çalışır vaziyette teslim edilmesi
- kablo birim fiyatına her iki uç bağlantısı dahildir, bağlantı şemaları ve süpervizörlük işveren tarafından sağlanacaktır</t>
    </r>
  </si>
  <si>
    <t>18.1.1</t>
  </si>
  <si>
    <t>18.1.2</t>
  </si>
  <si>
    <t>18.1.3</t>
  </si>
  <si>
    <t>18.1.4</t>
  </si>
  <si>
    <t>18.1.5</t>
  </si>
  <si>
    <t>18.1.6</t>
  </si>
  <si>
    <t>18.1.7</t>
  </si>
  <si>
    <t>Sistem Kontrol Paneli - IP Tabanlı 32 kapı destekli- 50.000 kart 50.000 Olay hafıza kapasiteli, IP ve RS485 (1250m) Redundant data hattı desteği , online ve offline olarak yangın entegrasyonunu yönetebilme programlanabilmesi, acil durum senaryosunun (kapıların acil olarak açılması - kapıların acil olarak kart dahil kilitlenmesi) yazılım çalışmasa dahi kontrol kartı üzerinden çalışabilmesi (en fazla 3 sn içinde gerçekleşmesi), acil durum toplanma yeri senaryosu uyumlu, ODBC desteği</t>
  </si>
  <si>
    <t>Access Control Ünitesi 2 kapı kontrol cihazı</t>
  </si>
  <si>
    <t>Access Control Ünitesi 4 kapı kontrol cihazı</t>
  </si>
  <si>
    <t>Access Control Ünitesi 16 kapı kontrol cihazı</t>
  </si>
  <si>
    <t>Access PE Geçiş Kontrol Sistemi Yazılımı 5 Kullanıcılı , 50.000 kart desteği , SQL tabanlı, Türkçe ve İngilizce desteği , CCTV sistemi ile yazılım bazında entegrasyon sağlayabilmesi.</t>
  </si>
  <si>
    <t>Sistem Kontrol Yönetim Server (2 monitör çıkışlı bilgisayar - yazılım donanım)</t>
  </si>
  <si>
    <t>Sistem Paneli Muhafazası (8 Kart Kapasiteli Kapı Kontrol Ünitesi PSU Akü Dahil)</t>
  </si>
  <si>
    <t>18.2.1</t>
  </si>
  <si>
    <t>18.2.2</t>
  </si>
  <si>
    <t>18.2.3</t>
  </si>
  <si>
    <t>18.2.4</t>
  </si>
  <si>
    <t>18.2.5</t>
  </si>
  <si>
    <t>18.2.6</t>
  </si>
  <si>
    <t>18.2.7</t>
  </si>
  <si>
    <t>18.2.8</t>
  </si>
  <si>
    <t>18.2.9</t>
  </si>
  <si>
    <t>18.2.10</t>
  </si>
  <si>
    <t>18.2.11</t>
  </si>
  <si>
    <t>18.2.12</t>
  </si>
  <si>
    <t>18.2.13</t>
  </si>
  <si>
    <t>18.2.14</t>
  </si>
  <si>
    <t>iClass Wiegand Proximity Kart Okuyucu,9cm Okuma Mesafesi (R)</t>
  </si>
  <si>
    <t>Elektrikli Kilit Karşılığı, 12 VDC, Fail-Safe, 330 kg Tutma Gücü (EK)</t>
  </si>
  <si>
    <t>Manyetik kontak</t>
  </si>
  <si>
    <t>Paslanmaz Çelik Çıkış Butonu, Çift Kontaklı (REX)</t>
  </si>
  <si>
    <t>Resetlenebilir tip acil çıkış butonu, koruyucu kapaklı, çift kontaklı (EDR)</t>
  </si>
  <si>
    <t>Proximity Kart</t>
  </si>
  <si>
    <t>12/24 V DC Manyetik Kilit 250 kg</t>
  </si>
  <si>
    <t>Elektromanyetik Kilit L&amp;Z tipi montaj braketi</t>
  </si>
  <si>
    <t>İpli Çağrı Buton</t>
  </si>
  <si>
    <t>Sesli-Işıklı alarm ünitesi</t>
  </si>
  <si>
    <t>180 Derece Haraket Sensörü</t>
  </si>
  <si>
    <t>Acil Çağrı Butonu</t>
  </si>
  <si>
    <t>Acil Çağrı Butonu Adresleme Modülü</t>
  </si>
  <si>
    <t>Acil Çağrı Konsolu</t>
  </si>
  <si>
    <t>18.3.1</t>
  </si>
  <si>
    <t>18.3.2</t>
  </si>
  <si>
    <t>18.3.3</t>
  </si>
  <si>
    <t>18.3.4</t>
  </si>
  <si>
    <t>18.3.5</t>
  </si>
  <si>
    <t>18.3.6</t>
  </si>
  <si>
    <t>18.3.7</t>
  </si>
  <si>
    <t>18.3.8</t>
  </si>
  <si>
    <t>Cat6 UTP HF (Halogen Free)</t>
  </si>
  <si>
    <t>LIHCH 2x0,75</t>
  </si>
  <si>
    <t>LIHCH 2x1</t>
  </si>
  <si>
    <t>LIHCH 6x1</t>
  </si>
  <si>
    <t>LIHCH 4x0,75</t>
  </si>
  <si>
    <t>LIHCH 4x1</t>
  </si>
  <si>
    <t>LIHCH 8x0,75</t>
  </si>
  <si>
    <t>LIHCH 8x1</t>
  </si>
  <si>
    <t>18.4.1</t>
  </si>
  <si>
    <t>18.4.2</t>
  </si>
  <si>
    <t>18.4.3</t>
  </si>
  <si>
    <t>Ø20mm 750N Halojenden Arındırılmış Alev Yaymaz Düz-Bükülebilir-Kangal Elektrik Borusu - KILAVUZ TELİ DAHİL (kasa ve her türlü aksesuar ve montaj malzemesi dahil)</t>
  </si>
  <si>
    <t>18.5.1</t>
  </si>
  <si>
    <r>
      <t xml:space="preserve">CCTV SİSTEMİ EKİPMANLARI
</t>
    </r>
    <r>
      <rPr>
        <sz val="11"/>
        <color theme="1"/>
        <rFont val="Tahoma"/>
        <family val="2"/>
        <charset val="162"/>
      </rPr>
      <t>(Gerekli her türlü kart, aksesuar ve montaj malzemelesi, test ve ölçümler, devreye alma çalışmaları dahil çalışır vaziyette teslim edilmesi)</t>
    </r>
  </si>
  <si>
    <t>19.1.1</t>
  </si>
  <si>
    <t>19.1.2</t>
  </si>
  <si>
    <t>19.1.3</t>
  </si>
  <si>
    <t xml:space="preserve">Dahilip Tip IP Kamera </t>
  </si>
  <si>
    <t xml:space="preserve">Harici Tip IP Kamera </t>
  </si>
  <si>
    <t>SDG kaplı Kamera direği 3m (3 konsola kadar)</t>
  </si>
  <si>
    <t>19.2.1</t>
  </si>
  <si>
    <t>19.2.2</t>
  </si>
  <si>
    <t>19.3.1</t>
  </si>
  <si>
    <t>19.4.2</t>
  </si>
  <si>
    <t>19.3.2</t>
  </si>
  <si>
    <t>3x2,5 N2XH</t>
  </si>
  <si>
    <t>19.4.1</t>
  </si>
  <si>
    <t>19.4.3</t>
  </si>
  <si>
    <t>ALTYAPI-YANGIN BARİYERLERİ-SİSMİK TEDBİRLER</t>
  </si>
  <si>
    <r>
      <t xml:space="preserve">ALTYAPI İŞLERİ
</t>
    </r>
    <r>
      <rPr>
        <sz val="11"/>
        <color theme="1"/>
        <rFont val="Tahoma"/>
        <family val="2"/>
        <charset val="162"/>
      </rPr>
      <t>- Her türlü aksesuar, montaj ve sarf malzemeleri dahil çalışır vaziyette teslim edilmesi</t>
    </r>
  </si>
  <si>
    <t>20.1.1</t>
  </si>
  <si>
    <t>20.1.2</t>
  </si>
  <si>
    <t>20.1.3</t>
  </si>
  <si>
    <t>20.1.4</t>
  </si>
  <si>
    <t>20.1.5</t>
  </si>
  <si>
    <t>20.1.6</t>
  </si>
  <si>
    <t>20.1.7</t>
  </si>
  <si>
    <t>Ø32mm 450N HDPE Kangal Boru</t>
  </si>
  <si>
    <t>Ø40mm 450N HDPE Kangal Boru</t>
  </si>
  <si>
    <t>Ø50mm 450N HDPE Kangal Boru</t>
  </si>
  <si>
    <t>Ø70mm 450N HDPE Çift Cidarlı Koruge Boru</t>
  </si>
  <si>
    <t>Ø90mm 450N HDPE Çift Cidarlı Koruge Boru</t>
  </si>
  <si>
    <t>Ø110mm 450N HDPE Çift Cidarlı Koruge Boru</t>
  </si>
  <si>
    <t>20.2.1</t>
  </si>
  <si>
    <t>Ø50 Karotla delik</t>
  </si>
  <si>
    <t>Ø70 Karotla delik</t>
  </si>
  <si>
    <t>KAROTLA DELİK AÇILMASI</t>
  </si>
  <si>
    <t>BORULAR</t>
  </si>
  <si>
    <t>20.2.2</t>
  </si>
  <si>
    <t>20.3.1</t>
  </si>
  <si>
    <t>20.3.2</t>
  </si>
  <si>
    <t>20.3.3</t>
  </si>
  <si>
    <t>20.3.4</t>
  </si>
  <si>
    <t>500x500x500mm İç Ölçülerde Döküm Kapaklı Betonarme Rögar</t>
  </si>
  <si>
    <t>T1 - 600x600x600mm İç Ölçülerde Döküm Kapaklı Betonarme Rögar</t>
  </si>
  <si>
    <t>T2 - 800x800x800mm İç Ölçülerde Döküm Kapaklı Betonarme Rögar</t>
  </si>
  <si>
    <t>T3 - 1000x1000x1000mm İç Ölçülerde Döküm Kapaklı Betonarme Rögar</t>
  </si>
  <si>
    <t>RÖGARLAR</t>
  </si>
  <si>
    <t>20.4.1</t>
  </si>
  <si>
    <t>20.4.2</t>
  </si>
  <si>
    <t>20.4.3</t>
  </si>
  <si>
    <t>20.4.4</t>
  </si>
  <si>
    <t>600x600x800mm Aydınlatma-CCTV Betonarme Direk temeli</t>
  </si>
  <si>
    <t>400x400x600mm Aydınlatma-CCTV Betonarme Direk temeli</t>
  </si>
  <si>
    <t>250x250x300mm Bolard Armatür temeli</t>
  </si>
  <si>
    <t>200x200x200mm Bolard Armatür temeli</t>
  </si>
  <si>
    <t>DİREK TEMELLERİ
Kazı-dolgu, kalıp, C25 beton, boru her türlü montaj ve sarf malzemesi ve işçilik dahil komple
Direk veya armatürler ile birlikte işveren tarafından temin edilecek ankraj çubuklarının montajı yüklenici kapsamındadır</t>
  </si>
  <si>
    <t>20.5.1</t>
  </si>
  <si>
    <t>20.5.2</t>
  </si>
  <si>
    <t>20.5.3</t>
  </si>
  <si>
    <t>20.5.4</t>
  </si>
  <si>
    <t>KAZI-DOLGU İŞLERİ
Kazı-dolgu, sıkıştırma, C25 beton, boru her türlü montaj ve sarf malzemesi ve işçilik dahil komple</t>
  </si>
  <si>
    <t xml:space="preserve">40cm Genişlikte 60cm derinlikte kazı - dolgu </t>
  </si>
  <si>
    <t>40cm Genişlikte 80cm derinlikte kazı - dolgu</t>
  </si>
  <si>
    <t>60cm Genişlikte 80cm derinlikte kazı - dolgu</t>
  </si>
  <si>
    <t>80cm Genişlikte 100cm derinlikte kazı - dolgu</t>
  </si>
  <si>
    <r>
      <t xml:space="preserve">YANGIN BARİYERLERİ 
</t>
    </r>
    <r>
      <rPr>
        <sz val="11"/>
        <color theme="1"/>
        <rFont val="Tahoma"/>
        <family val="2"/>
        <charset val="162"/>
      </rPr>
      <t>- Mimari proje ve/veya yangın danışmanı raporları ve/veya yangın yönetmeliği ile tanımlanan sürede yangın dayanımı sağlayacak şekilde, sertifikalı yangın duruducu malzeme ile UL veya ETA onaylı detaylara uygun olarak sertifikalı firma ve montaj elemanları tarafından uygulamanın yapılması, her bir geçişin etiketlenmesi, uygulama fotoğraf, liste ve dökümanlarının uygulayıcı firma garanti belgesi ile İşverene teslimi, işletme ekiplerine gerekli eğitimlerin verilmesi
- Her türlü sertikalı yangın durudurucu malzeme, aksesuar ve montaj malzemesi dahil
- YANGIN BARİYERLERİ METRAJINDAN "YÜKLENİCİ" SORUMLUDUR. Yüklenici teklif aşamasında elektrik tesisat planlarını inceleyerek keşif özetinde metrajları düzenleyecek ve fiyatlandırma yapacaktır.</t>
    </r>
  </si>
  <si>
    <t>UL /  ETA onaylı detaylara uygun şekilde Sabit (Harç, mastik, boya vb) ve sökülebilir (yastık vb) yangın test sertifikalı malzemeler ile Yangın Bariyeri imalatı ve işverene teslimi</t>
  </si>
  <si>
    <t>21.1.1</t>
  </si>
  <si>
    <t>HILTI, 3M, OBO, SVT</t>
  </si>
  <si>
    <r>
      <t xml:space="preserve">SİSMİK TEDBİRLER 
</t>
    </r>
    <r>
      <rPr>
        <sz val="11"/>
        <color theme="1"/>
        <rFont val="Tahoma"/>
        <family val="2"/>
        <charset val="162"/>
      </rPr>
      <t>- Yetkili mühendislik firması tarafından hesapların yapılması, proje ve detayların hazırlanması, malzemelerin temini, montajı ve gerekli bilgi ve eğitimleri verilerek işverene teslimi
- SİSMİK TEDBİRLER METRAJINDAN "YÜKLENİCİ" SORUMLUDUR. Yüklenici teklif aşamasında elektrik tesisat planlarını inceleyerek keşif özetinde metrajları düzenleyecek ve fiyatlandırma yapacaktır.</t>
    </r>
  </si>
  <si>
    <t>22.1.1</t>
  </si>
  <si>
    <t>40kVA ya kadar UPS için çelik halatlar vb malzemeler ile sismik önlem alınması
UPS, Akü grupları, UPS ana dağıtım panoları dahil 
her türlü montaj malzemeleri ve aksesuarları dahil</t>
  </si>
  <si>
    <t>ACREFINE (ULUS)
MASON (DKM)
EAE</t>
  </si>
  <si>
    <t xml:space="preserve">UPS SİSTEMİ İÇİN SİSMİK TEDBİRLER </t>
  </si>
  <si>
    <t>Trafo merkezi AG ana dağıtım panoları, kompanzasyon panoları için çelik halatlar vb malzemeler ile sismik önlem alınması</t>
  </si>
  <si>
    <t>Bina AG odası ana dağıtım panoları için çelik halatlar vb malzemeler ile sismik önlem alınması</t>
  </si>
  <si>
    <t>UPS ana dağıtım panosu, için çelik halatlar vb malzemeler ile sismik önlem alınması</t>
  </si>
  <si>
    <t>DATA Racak kabin için çelik halatlar vb malzemeler ile sismik önlem alınması</t>
  </si>
  <si>
    <t xml:space="preserve">AG PANOLARI VE OG HÜCRELER İÇİN SİSMİK TEDBİRLER </t>
  </si>
  <si>
    <t>22.2.1</t>
  </si>
  <si>
    <t>22.2.2</t>
  </si>
  <si>
    <t>22.2.3</t>
  </si>
  <si>
    <t>22.2.4</t>
  </si>
  <si>
    <t>22.3.1</t>
  </si>
  <si>
    <t>22.3.2</t>
  </si>
  <si>
    <t>Kablo Tavaları için çelik halatlar vb malzemeler ile sismik önlem alınması - Yüksek tavanlı alanlar</t>
  </si>
  <si>
    <t>Kablo Tavaları için çelik halatlar vb malzemeler ile sismik önlem alınması</t>
  </si>
  <si>
    <t xml:space="preserve">ANA DAĞITIM HATLARI İÇİN SİSMİK TEDBİRLER </t>
  </si>
  <si>
    <t>DİĞER</t>
  </si>
  <si>
    <r>
      <t xml:space="preserve">DİĞER
</t>
    </r>
    <r>
      <rPr>
        <b/>
        <sz val="12"/>
        <color rgb="FFFF0000"/>
        <rFont val="Tahoma"/>
        <family val="2"/>
        <charset val="162"/>
      </rPr>
      <t>- Proje belirtilen sistemin sorunsuz çalışması ve tesisatın yapılması için gerekli olup keşif özetinde yukarıdaki kalemler arasında bulunmayan veya kapsam tarifine dahil edilmemiş olan "malzeme, montaj ve hizmetler" yüklenici tarafından bu kısıma ilave edilecektir.
Yüklenicinin bu kısıma ilave etmediği ancak işin yapımı ve işverene teslimi için gerekli malzeme, montaj ve hizmetler ilgili bölümlerin birim fiyatlarına dahil kabul edilecektir.
- Keşif özetinde bu bölüm (Diğer başlıklı bölüm) dışında satır ilavesi ve satır iptali yapılamaz. Açıklama ve birimlerde değişiklik yapılamaz. Değişiklik gerektiği düşünülen kalemler yukarıda fiyatlandırılmayacak, bu bölümde tanımı veya birimi düzenlenecek ve fiyatlandırılacaktır.</t>
    </r>
  </si>
  <si>
    <t>NO</t>
  </si>
  <si>
    <t>AÇIKLAMA</t>
  </si>
  <si>
    <t>MALZEME TUTAR</t>
  </si>
  <si>
    <t>İŞÇİLİK TUTAR</t>
  </si>
  <si>
    <t>TOPLAM
TUTAR</t>
  </si>
  <si>
    <t>İNŞAAAT İŞLERİ (BİNA)</t>
  </si>
  <si>
    <t>İNŞAAT İŞLERİ (SAHA&amp;PEYZAJ)</t>
  </si>
  <si>
    <t>TEKLİF VEREN FİRMA KAŞE İMZA</t>
  </si>
  <si>
    <t>SOCOMEC/EATON/
VERTİV/ABB</t>
  </si>
  <si>
    <t>İŞVEREN / YÜKLENİCİ</t>
  </si>
  <si>
    <t>LEDVANCE/EAE</t>
  </si>
  <si>
    <t>- Aylık hakedişlere istinaden düzenlenecek fatura bedeli, fatura tarihinden itibaren 45/60 gün içerisinde hesaba EFT/HAVALE olarak yapılır.
- Taep edilecek avans tutarı karşılığı, geçici kabulde iade etmek üzere, işverenin formatına uygun banka teminat mektubu alınır.
- Kesin kabulden 1 sene sonra iade etmek üzere 10% kesin teminat alınır.
- İş birim fiyat usulüdür.</t>
  </si>
  <si>
    <r>
      <rPr>
        <b/>
        <u/>
        <sz val="11"/>
        <color rgb="FFFF0000"/>
        <rFont val="Tahoma"/>
        <family val="2"/>
        <charset val="162"/>
      </rPr>
      <t>FIRMA-I BURSA SAHA-BIR OSB FABRİKA BİNASI</t>
    </r>
    <r>
      <rPr>
        <b/>
        <sz val="11"/>
        <color rgb="FFFF0000"/>
        <rFont val="Tahoma"/>
        <family val="2"/>
        <charset val="162"/>
      </rPr>
      <t xml:space="preserve">
</t>
    </r>
    <r>
      <rPr>
        <b/>
        <sz val="11"/>
        <rFont val="Tahoma"/>
        <family val="2"/>
        <charset val="162"/>
      </rPr>
      <t>İnşaat İşleri</t>
    </r>
  </si>
  <si>
    <t>AP-6.25_ C Profil taşıyıcılı (50mm) Standart Alçıkarton Duvar Paneli (1.25cm)</t>
  </si>
  <si>
    <t xml:space="preserve">S-07 Lavabo Tezgahı (Yerine göre özel ölçülerde) </t>
  </si>
  <si>
    <t>9.4</t>
  </si>
  <si>
    <t>Endüstriyel Mutfak Ekipmanları</t>
  </si>
  <si>
    <t>9.4.9</t>
  </si>
  <si>
    <t>9.4.10</t>
  </si>
  <si>
    <t>9.4.11</t>
  </si>
  <si>
    <t>9.4.12</t>
  </si>
  <si>
    <t>9.4.13</t>
  </si>
  <si>
    <t>M.01 - Buzdolabı</t>
  </si>
  <si>
    <t>M.02 - İçecek Dolabı</t>
  </si>
  <si>
    <t xml:space="preserve">M.03 - Sıcak Banket Arabası </t>
  </si>
  <si>
    <t>M.04 - Küver Ünitesi</t>
  </si>
  <si>
    <t>M.05 - Sıcak Servis Ünitesi (Paslanmaz çelik sactan imal edilmiş, 5 Gözlü, Aydınlatmalı Servis Raflı ve Tepsi Standlı)</t>
  </si>
  <si>
    <t>M.06 - Servis Ünitesi (Paslanmaz çelik sactan imal edilmiş, Aydınlatmalı Servis Raflı ve Tepsi Standlı)</t>
  </si>
  <si>
    <t>M.07 - Salata Bar (Paslanmaz çelik sactan imal edilmiş, 4 Gözlü, Aydınlatmalı Servis Raflı ve Tepsi Standlı)</t>
  </si>
  <si>
    <t>M.08 - Paslanmaz Çelik Tepsi Rafı</t>
  </si>
  <si>
    <t>M.09 - Paslanmaz Çelik İstif Rafı</t>
  </si>
  <si>
    <t>M.10 - Atık Delikli Tezgah (Paslanmaz çelik sactan imal edilmiş)</t>
  </si>
  <si>
    <t>M.11 - Eviyeli Tezgah (Paslanmaz çelik sactan imal edilmiş)</t>
  </si>
  <si>
    <t>M.12 - Endüstriyel Mutfak Lavabo Bataryası</t>
  </si>
  <si>
    <t>M.13 - Endüstriyel Bulaşık Makinası</t>
  </si>
  <si>
    <t>9.5</t>
  </si>
  <si>
    <t>9.5.2</t>
  </si>
  <si>
    <t>9.5.3</t>
  </si>
  <si>
    <t>Mobilyalar</t>
  </si>
  <si>
    <t>Danışma Bankosu ve Duvar Dolap Sistemi Yapılması</t>
  </si>
  <si>
    <t>Müşteri Bekleme Salonu - Sabit Mobilya Yapılması</t>
  </si>
  <si>
    <t>Persolnel Dinlenme Alanı - Sabit Mobilya Yapılması</t>
  </si>
  <si>
    <t>GİRİŞ GÜVENLİK KULÜBESİ</t>
  </si>
  <si>
    <t>Proje ve detaylarına uygun (5.00x3.00 metre boyutlarında) hazır konteyner tipi güvenlik kulübesi temini ve montajı</t>
  </si>
  <si>
    <t>10.1</t>
  </si>
  <si>
    <t>M1-Galvaniz metal 3mm h:25cm detaya uygun boyalı levha imal edilmesi ve zeminden h:15cm olacak şekilde yeşil alan sınırına montajının yapılması (bağlantı için gerekli her türlü çelik konstrüksiyon, tüm aksesuar ve ankraj dahildir)</t>
  </si>
  <si>
    <t>Yeşil alanlar için bitkilendirme projesi ve sulama altyapısı bilgileri verilmiş olan 1.500m²  yeşil alana uygun otomatik sulama sistemi projelendirme ve imalatının yapılması (İş için gerekli sistem gereksinimleri Yüklenici tarafından hesaplanıp bu kapsama dahil edilecektir.) Otomatik sulama sisteminin pilli kontrol üniteleri ile kumanda edilmesi, ağaç-çalı alanlarının damlama hattından, çim alanların sprinkler sulama yöntemiyle sulanması öngörülmüştür. Bahçede bırakılan altyapıdan beslenip sahada gerekli çıkış noktalarına yerleştirilen vana grupları ile dağıtımı sağlanacaktır. Vana grupları, sprinkler açıları, cansuyu vanası ve bunun gibi sistem gereksinimlerinin ölçü, adet ve yerleşimleri Yüklenici tarafından hesaplanıp projelendirilecektir.</t>
  </si>
  <si>
    <t>BİTKİLENDİRME İŞLERİ</t>
  </si>
  <si>
    <t>Ağaçlar (Tüm ağaçlarda fidan kazığı-herek ve ağaç bağı ile sabitleme yapılması dahildir.)</t>
  </si>
  <si>
    <t>32 93 00</t>
  </si>
  <si>
    <t>Acer platanoides / Çınar Yapraklı Akçaağaç, Ø20-25, Boy:350-400cm, CLT50</t>
  </si>
  <si>
    <t>Betula alba / Huş Ağacı, Ø20-25, Boy:350-400cm, CLT50</t>
  </si>
  <si>
    <t>Ligustrum japonicum / Kurtbağrı (tijli olursa formu hacimli ve dalların dağılımı düzgün olanı veya alttan dalı çok gövdeli olanı seçilmelidir) Ø20-25, Boy:350-400cm, CLT50</t>
  </si>
  <si>
    <t>Çalılar &amp; Çim</t>
  </si>
  <si>
    <t>Abelia grandiflora / Güzellik çalısı, Boy:30-40cm, CLT5</t>
  </si>
  <si>
    <t>Pittosporum tobira "Nana" / Pitos çalısı, Boy:30-40cm, CLT5</t>
  </si>
  <si>
    <t>Viburnum lucidum / Kartopu çalısı, Boy:80-100cm, CLT5</t>
  </si>
  <si>
    <t>Hazır rulo çim serilmesi (%40 Festuca alta merida, %40 Festuca alta firaces, %10 Lolium perenne ringles, %10 Poa pratensis blue chip)</t>
  </si>
  <si>
    <t>Toprak İşleri</t>
  </si>
  <si>
    <t>Nebati toprak serilmesi (%50 Elenmiş bitkisel toprak, %30 Mil, %15 Torf, %5 Gübre-Organik Madde) (h:40cm)</t>
  </si>
  <si>
    <t>Dikim harcı (%30 Elenmiş nebati toprak, %20 Torf, %20 Mil, %20 Kula cürufu, %10 Humus)-h:80cm ağaçlar için 18ad ağaç x 0.512 (0,8x0,8) =9m³)</t>
  </si>
  <si>
    <t>Qc=3,5kW</t>
  </si>
  <si>
    <t>Qc=7,00kW</t>
  </si>
  <si>
    <t xml:space="preserve">Tip : DİZEL </t>
  </si>
  <si>
    <t>EMNİYET VANASI ( RELİEF VANA)</t>
  </si>
  <si>
    <t>DN125 PLOT KONTROL</t>
  </si>
  <si>
    <t>YAKIT TANKI</t>
  </si>
  <si>
    <t>Y-22</t>
  </si>
  <si>
    <t>Y-23</t>
  </si>
  <si>
    <t>Y-24</t>
  </si>
  <si>
    <t>Syah malzemeden , şefaf seviye göstergesi, boşaltma vanaları, taşkan vanaları ve tüm bağlantıları ile birlkikte 150 GALON</t>
  </si>
  <si>
    <t>YAKIT TANKI BORULAMASI</t>
  </si>
  <si>
    <t>NOT #1</t>
  </si>
  <si>
    <t>NOT #2</t>
  </si>
  <si>
    <t>NOT #3</t>
  </si>
  <si>
    <t>NOT #4</t>
  </si>
  <si>
    <t>Malzeme kapsamında malzeme, nakliye, tedarikçi karı, zayiat ve malzeme ile ilgili diğer maliyetler değerlendirilmelidir.</t>
  </si>
  <si>
    <t>İşçilik kapsamında montaj, işçilik karı ve işçilik ile ilgili diğer maliyetler değerlendirilmelidir.</t>
  </si>
  <si>
    <t xml:space="preserve">Genel gider kapsamında, Yüklenicinin mühendislik giderleri, saha ofis giderleri ve diğer tüm endirek maliyetleri değerlendirilmelidir. </t>
  </si>
  <si>
    <t xml:space="preserve">Kar ve risk kapsamında, Yüklenicinin kar ve zamana dayalı tüm malzeme, işçilik, alt yüklenici kar vs. artış riskleri değerlendirilmelidir. </t>
  </si>
  <si>
    <t>ODA TERMOSTADI (KABLOLU TİP)</t>
  </si>
  <si>
    <t>ARÇELİK - LG -DAIKIN</t>
  </si>
  <si>
    <t>Cihaz Kodu: SP-01-02/GB</t>
  </si>
  <si>
    <t>Ekipman Yeri : GÜVENLİK BİNASI</t>
  </si>
  <si>
    <t>Hizmet Alanı : GÜVENLİK BİNASI</t>
  </si>
  <si>
    <t>ATLAS COPCO - LA PADANA - DALGAKIRAN</t>
  </si>
  <si>
    <t>ATLAS COPPCO - G11P 10 400/50 FM CE YADA MUADİLİ
YER MONTELİ YAĞ ENJEKSİYONLU VİDALI KOMPRESÖR Yağ püskürtmeli, kayış kasnak model, tek kademeli, hava soğutmalı, IE3 Motor verimliliği, %100 sürekli çalışma döngüsü, 46°C/115°F'ye kadar ortam sıcaklıklarında 7/24 çalışma, Elektronikon® Nano™ kontrol modülü, Gürültü Seviyesi: 67 dB(A), 11 kW Ana Elektrik motoru, 6-10 bar çalışma basınç aralığına sahip, Kapasite: 24 l/s (1,44 m3 /dk) @ 10 bar (ISO1217 EK-C’ye göre) 29 l/s (1,74 m3/dk) @ 7,5 bar (ISO1217 EK-C’ye göre)
basınçlı hava kompresürünün temini ve yerine montajı</t>
  </si>
  <si>
    <t>Genel Maksatlı basınçlı hava filtresi, Kuru toz, ince partikül için.
( Atlas Copco - PDP45+ (G3/4) yada muadili</t>
  </si>
  <si>
    <t>Genel uygulamalar için nihai, yağlı aerosol/ıslak toz filtresi
( Atlas Copco - UD45+ (G3/4) yada muadili</t>
  </si>
  <si>
    <t>ATLAS COPCO - FX30 (E4) ACE 230V1PH50 FC yada muadili
3 Çiğleme derecesi 1,8 m3/dk hava kurutucusu, R410A Gaz tipi, Giriş Çıkış Çapı 3/4" Dijital gösterge</t>
  </si>
  <si>
    <t>GLOBE-VICTAULIC-TYCO</t>
  </si>
  <si>
    <t>GLOBE-VICTUALIC-TYCO</t>
  </si>
  <si>
    <t>MİKTAR</t>
  </si>
  <si>
    <t>TOPLAM</t>
  </si>
  <si>
    <t>BİNA İÇİ</t>
  </si>
  <si>
    <t>BODRUM KAT</t>
  </si>
  <si>
    <t>BEKÇİ KULÜBESİ</t>
  </si>
  <si>
    <t>VAZİYET PLANI</t>
  </si>
  <si>
    <t>KOMP</t>
  </si>
  <si>
    <t>TR</t>
  </si>
  <si>
    <t>PYP</t>
  </si>
  <si>
    <t>ASP</t>
  </si>
  <si>
    <t>EAS-1</t>
  </si>
  <si>
    <t>EAS-2</t>
  </si>
  <si>
    <t>ZEMİN
KAT</t>
  </si>
  <si>
    <t>ASNA
 KAT</t>
  </si>
  <si>
    <t>6.4.9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</si>
  <si>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</si>
  <si>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</si>
  <si>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</si>
  <si>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</si>
  <si>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</si>
  <si>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</si>
  <si>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</si>
  <si>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</si>
  <si>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</si>
  <si>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</si>
  <si>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</si>
  <si>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</si>
  <si>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</si>
  <si>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</si>
  <si>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</si>
  <si>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</si>
  <si>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</si>
  <si>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</si>
  <si>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</si>
  <si>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</si>
  <si>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</si>
  <si>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</si>
  <si>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</si>
  <si>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</si>
  <si>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</si>
  <si>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</si>
  <si>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</si>
  <si>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</si>
  <si>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</si>
  <si>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</si>
  <si>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</si>
  <si>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</si>
  <si>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</si>
  <si>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</si>
  <si>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</si>
  <si>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</si>
  <si>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</si>
  <si>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</si>
  <si>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</si>
  <si>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</si>
  <si>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</si>
  <si>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</si>
  <si>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</si>
  <si>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</si>
  <si>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</si>
  <si>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</si>
  <si>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</si>
  <si>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ENERJİ TEMİNİ</t>
  </si>
  <si>
    <t>AD</t>
  </si>
  <si>
    <t>ENERJİ TEMİNİ VE ORTA GERİLİM İŞLERİ</t>
  </si>
  <si>
    <t>Bina güç ihtiyacına uygun olarak enerji temini yapılabilmesi için ilgili kurumlara başvuru yapılması, enerji şartı alınması, projelerin hazırlanarak onaylatılması</t>
  </si>
  <si>
    <t>Hazırlanacak enerji temin projesine uygun olarak beton köşkün temin edilmesi, tüm uygulamanın yapılması tesise enerji verilene kadar gerekli teknik ve idari süreçlerin takip edilmesi, İşverene çalışır vaziyette teslim edilmesi.</t>
  </si>
  <si>
    <t>ASANSÖR</t>
  </si>
  <si>
    <t>ASANSÖR TEMİNİ VE MONTAJI</t>
  </si>
  <si>
    <t>800 Kg kapasiteli elektrik motorlu asansörün avan proje ve teknik şartnamesine uygun olarak uygulama-ruhsat projelerinin hazırlanması, gerekli kurumlara onaylatılması, temini ve montajının yapılarak, asansörün kullanıma açılması için tüm onayların alınarak işletmeye açılması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</si>
</sst>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0\ &quot;TL&quot;"/>
    <numFmt numFmtId="166" formatCode="[$$-1009]#,##0.00"/>
    <numFmt numFmtId="167" formatCode="_-[$₺-41F]* #,##0.00_-;\-[$₺-41F]* #,##0.00_-;_-[$₺-41F]* &quot;-&quot;??_-;_-@_-"/>
    <numFmt numFmtId="168" formatCode="_(* #,##0.00_);_(* \(#,##0.00\);_(* \-??_);_(@_)"/>
    <numFmt numFmtId="169" formatCode="#,##0.00&quot;      &quot;;&quot;-&quot;#,##0.00&quot;      &quot;;&quot; -&quot;#&quot;      &quot;;@&quot; &quot;"/>
  </numFmts>
  <fonts count="31" x14ac:knownFonts="1">
    <font>
      <sz val="11"/>
      <color theme="1"/>
      <name val="Calibri"/>
      <family val="2"/>
      <charset val="162"/>
      <scheme val="minor"/>
    </font>
    <font>
      <sz val="10"/>
      <color theme="1"/>
      <name val="Tahoma"/>
      <family val="2"/>
      <charset val="162"/>
    </font>
    <font>
      <b/>
      <sz val="14"/>
      <color theme="1"/>
      <name val="Tahoma"/>
      <family val="2"/>
      <charset val="162"/>
    </font>
    <font>
      <b/>
      <sz val="11"/>
      <color theme="1"/>
      <name val="Tahoma"/>
      <family val="2"/>
      <charset val="162"/>
    </font>
    <font>
      <b/>
      <sz val="12"/>
      <color theme="1"/>
      <name val="Tahoma"/>
      <family val="2"/>
      <charset val="162"/>
    </font>
    <font>
      <b/>
      <sz val="11"/>
      <name val="Tahoma"/>
      <family val="2"/>
      <charset val="162"/>
    </font>
    <font>
      <sz val="11"/>
      <color rgb="FFFF0000"/>
      <name val="Tahoma"/>
      <family val="2"/>
      <charset val="162"/>
    </font>
    <font>
      <sz val="11"/>
      <color theme="1"/>
      <name val="Tahoma"/>
      <family val="2"/>
      <charset val="162"/>
    </font>
    <font>
      <sz val="11"/>
      <name val="Tahoma"/>
      <family val="2"/>
      <charset val="162"/>
    </font>
    <font>
      <b/>
      <sz val="11"/>
      <color rgb="FFFF0000"/>
      <name val="Tahoma"/>
      <family val="2"/>
      <charset val="162"/>
    </font>
    <font>
      <b/>
      <u/>
      <sz val="12"/>
      <color theme="1"/>
      <name val="Tahoma"/>
      <family val="2"/>
      <charset val="162"/>
    </font>
    <font>
      <sz val="11"/>
      <color theme="1"/>
      <name val="Calibri"/>
      <family val="2"/>
      <charset val="162"/>
      <scheme val="minor"/>
    </font>
    <font>
      <b/>
      <sz val="16"/>
      <color rgb="FFFF0000"/>
      <name val="Tahoma"/>
      <family val="2"/>
      <charset val="162"/>
    </font>
    <font>
      <sz val="12"/>
      <color theme="1"/>
      <name val="Tahoma"/>
      <family val="2"/>
      <charset val="162"/>
    </font>
    <font>
      <sz val="8"/>
      <name val="Calibri"/>
      <family val="2"/>
      <charset val="162"/>
      <scheme val="minor"/>
    </font>
    <font>
      <b/>
      <u/>
      <sz val="11"/>
      <color theme="1"/>
      <name val="Tahoma"/>
      <family val="2"/>
      <charset val="162"/>
    </font>
    <font>
      <sz val="10"/>
      <color theme="1"/>
      <name val="Arial"/>
      <family val="2"/>
      <charset val="162"/>
    </font>
    <font>
      <sz val="10"/>
      <name val="Arial"/>
      <family val="2"/>
      <charset val="162"/>
    </font>
    <font>
      <sz val="10"/>
      <color rgb="FFFF0000"/>
      <name val="Tahoma"/>
      <family val="2"/>
      <charset val="162"/>
    </font>
    <font>
      <sz val="11"/>
      <color rgb="FF000000"/>
      <name val="Calibri"/>
      <family val="2"/>
      <charset val="162"/>
    </font>
    <font>
      <sz val="10"/>
      <name val="Tahoma"/>
      <family val="2"/>
      <charset val="162"/>
    </font>
    <font>
      <b/>
      <sz val="12"/>
      <color rgb="FFFF0000"/>
      <name val="Tahoma"/>
      <family val="2"/>
      <charset val="162"/>
    </font>
    <font>
      <b/>
      <sz val="12"/>
      <name val="Tahoma"/>
      <family val="2"/>
      <charset val="162"/>
    </font>
    <font>
      <b/>
      <sz val="14"/>
      <name val="Tahoma"/>
      <family val="2"/>
      <charset val="162"/>
    </font>
    <font>
      <sz val="14"/>
      <color theme="1"/>
      <name val="Tahoma"/>
      <family val="2"/>
      <charset val="162"/>
    </font>
    <font>
      <sz val="14"/>
      <name val="Tahoma"/>
      <family val="2"/>
      <charset val="162"/>
    </font>
    <font>
      <b/>
      <sz val="14"/>
      <color rgb="FFFF0000"/>
      <name val="Tahoma"/>
      <family val="2"/>
      <charset val="162"/>
    </font>
    <font>
      <b/>
      <u/>
      <sz val="11"/>
      <color rgb="FFFF0000"/>
      <name val="Tahoma"/>
      <family val="2"/>
      <charset val="162"/>
    </font>
    <font>
      <b/>
      <i/>
      <sz val="10"/>
      <color theme="1"/>
      <name val="Tahoma"/>
      <family val="2"/>
      <charset val="162"/>
    </font>
    <font>
      <sz val="10"/>
      <name val="Arial"/>
      <family val="2"/>
      <charset val="204"/>
    </font>
    <font>
      <sz val="11"/>
      <color rgb="FF000000"/>
      <name val="Arial"/>
      <family val="2"/>
      <charset val="162"/>
    </font>
  </fonts>
  <fills count="9">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1"/>
        <bgColor indexed="64"/>
      </patternFill>
    </fill>
    <fill>
      <patternFill patternType="solid">
        <fgColor theme="7" tint="0.39997558519241921"/>
        <bgColor indexed="64"/>
      </patternFill>
    </fill>
    <fill>
      <patternFill patternType="solid">
        <fgColor theme="4" tint="0.79998168889431442"/>
        <bgColor indexed="64"/>
      </patternFill>
    </fill>
  </fills>
  <borders count="8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thin">
        <color indexed="64"/>
      </left>
      <right style="hair">
        <color indexed="64"/>
      </right>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diagonal/>
    </border>
    <border>
      <left style="hair">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hair">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hair">
        <color indexed="64"/>
      </left>
      <right style="thin">
        <color indexed="64"/>
      </right>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bottom style="double">
        <color indexed="64"/>
      </bottom>
      <diagonal/>
    </border>
    <border>
      <left/>
      <right/>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hair">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double">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right style="thin">
        <color indexed="64"/>
      </right>
      <top/>
      <bottom style="double">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hair">
        <color indexed="64"/>
      </left>
      <right style="thin">
        <color indexed="64"/>
      </right>
      <top/>
      <bottom style="hair">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bottom style="double">
        <color indexed="64"/>
      </bottom>
      <diagonal/>
    </border>
    <border>
      <left style="hair">
        <color indexed="64"/>
      </left>
      <right style="thin">
        <color indexed="64"/>
      </right>
      <top/>
      <bottom style="double">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style="thin">
        <color indexed="64"/>
      </bottom>
      <diagonal/>
    </border>
  </borders>
  <cellStyleXfs count="8">
    <xf numFmtId="0" fontId="0" fillId="0" borderId="0"/>
    <xf numFmtId="9" fontId="11" fillId="0" borderId="0" applyFont="0" applyFill="0" applyBorder="0" applyAlignment="0" applyProtection="0"/>
    <xf numFmtId="0" fontId="19" fillId="0" borderId="0"/>
    <xf numFmtId="166" fontId="17" fillId="0" borderId="0"/>
    <xf numFmtId="0" fontId="17" fillId="0" borderId="0"/>
    <xf numFmtId="43" fontId="11" fillId="0" borderId="0" applyFont="0" applyFill="0" applyBorder="0" applyAlignment="0" applyProtection="0"/>
    <xf numFmtId="168" fontId="29" fillId="0" borderId="0" applyFill="0" applyBorder="0" applyAlignment="0" applyProtection="0"/>
    <xf numFmtId="169" fontId="30" fillId="0" borderId="0"/>
  </cellStyleXfs>
  <cellXfs count="486">
    <xf numFmtId="0" fontId="0" fillId="0" borderId="0" xfId="0"/>
    <xf numFmtId="4" fontId="6" fillId="3" borderId="10" xfId="0" applyNumberFormat="1" applyFont="1" applyFill="1" applyBorder="1" applyAlignment="1" applyProtection="1">
      <alignment horizontal="right" vertical="center"/>
      <protection locked="0"/>
    </xf>
    <xf numFmtId="4" fontId="6" fillId="3" borderId="15" xfId="0" applyNumberFormat="1" applyFont="1" applyFill="1" applyBorder="1" applyAlignment="1" applyProtection="1">
      <alignment horizontal="right" vertical="center"/>
      <protection locked="0"/>
    </xf>
    <xf numFmtId="4" fontId="6" fillId="3" borderId="16" xfId="0" applyNumberFormat="1" applyFont="1" applyFill="1" applyBorder="1" applyAlignment="1" applyProtection="1">
      <alignment horizontal="right" vertical="center"/>
      <protection locked="0"/>
    </xf>
    <xf numFmtId="9" fontId="5" fillId="3" borderId="12" xfId="1" applyFont="1" applyFill="1" applyBorder="1" applyAlignment="1" applyProtection="1">
      <alignment horizontal="center" vertical="center"/>
      <protection locked="0"/>
    </xf>
    <xf numFmtId="0" fontId="22" fillId="2" borderId="19" xfId="0" applyFont="1" applyFill="1" applyBorder="1" applyAlignment="1">
      <alignment horizontal="center" vertical="center" wrapText="1"/>
    </xf>
    <xf numFmtId="0" fontId="7" fillId="3" borderId="53" xfId="0" applyFont="1" applyFill="1" applyBorder="1" applyAlignment="1" applyProtection="1">
      <alignment horizontal="left" vertical="center" wrapText="1"/>
      <protection locked="0"/>
    </xf>
    <xf numFmtId="0" fontId="7" fillId="3" borderId="54" xfId="0" applyFont="1" applyFill="1" applyBorder="1" applyAlignment="1" applyProtection="1">
      <alignment horizontal="left" vertical="center" wrapText="1"/>
      <protection locked="0"/>
    </xf>
    <xf numFmtId="0" fontId="2" fillId="3" borderId="63" xfId="0" quotePrefix="1" applyFont="1" applyFill="1" applyBorder="1" applyAlignment="1" applyProtection="1">
      <alignment horizontal="center" vertical="center" wrapText="1"/>
      <protection locked="0"/>
    </xf>
    <xf numFmtId="0" fontId="24" fillId="3" borderId="63" xfId="0" quotePrefix="1" applyFont="1" applyFill="1" applyBorder="1" applyAlignment="1" applyProtection="1">
      <alignment horizontal="center" vertical="center" wrapText="1"/>
      <protection locked="0"/>
    </xf>
    <xf numFmtId="0" fontId="3" fillId="3" borderId="63" xfId="0" applyFont="1" applyFill="1" applyBorder="1" applyAlignment="1" applyProtection="1">
      <alignment horizontal="center" vertical="center" wrapText="1"/>
      <protection locked="0"/>
    </xf>
    <xf numFmtId="4" fontId="5" fillId="3" borderId="54" xfId="0" applyNumberFormat="1" applyFont="1" applyFill="1" applyBorder="1" applyAlignment="1" applyProtection="1">
      <alignment horizontal="center" vertical="center"/>
      <protection locked="0"/>
    </xf>
    <xf numFmtId="4" fontId="6" fillId="3" borderId="59" xfId="0" applyNumberFormat="1" applyFont="1" applyFill="1" applyBorder="1" applyAlignment="1" applyProtection="1">
      <alignment horizontal="right" vertical="center"/>
      <protection locked="0"/>
    </xf>
    <xf numFmtId="4" fontId="6" fillId="3" borderId="58" xfId="0" applyNumberFormat="1" applyFont="1" applyFill="1" applyBorder="1" applyAlignment="1" applyProtection="1">
      <alignment horizontal="right" vertical="center"/>
      <protection locked="0"/>
    </xf>
    <xf numFmtId="4" fontId="6" fillId="3" borderId="60" xfId="0" applyNumberFormat="1" applyFont="1" applyFill="1" applyBorder="1" applyAlignment="1" applyProtection="1">
      <alignment horizontal="right" vertical="center"/>
      <protection locked="0"/>
    </xf>
    <xf numFmtId="0" fontId="7" fillId="0" borderId="0" xfId="0" applyFont="1" applyAlignment="1">
      <alignment vertical="center"/>
    </xf>
    <xf numFmtId="49" fontId="22" fillId="2" borderId="13" xfId="0" applyNumberFormat="1" applyFont="1" applyFill="1" applyBorder="1" applyAlignment="1">
      <alignment horizontal="center" vertical="center" wrapText="1"/>
    </xf>
    <xf numFmtId="0" fontId="22" fillId="2" borderId="9" xfId="0" applyFont="1" applyFill="1" applyBorder="1" applyAlignment="1">
      <alignment horizontal="center" vertical="center" wrapText="1"/>
    </xf>
    <xf numFmtId="0" fontId="4" fillId="2" borderId="13" xfId="0" applyFont="1" applyFill="1" applyBorder="1" applyAlignment="1">
      <alignment horizontal="center" vertical="center"/>
    </xf>
    <xf numFmtId="0" fontId="4" fillId="0" borderId="9" xfId="0" applyFont="1" applyBorder="1" applyAlignment="1">
      <alignment vertical="center"/>
    </xf>
    <xf numFmtId="167" fontId="3" fillId="0" borderId="0" xfId="5" applyNumberFormat="1" applyFont="1" applyAlignment="1" applyProtection="1">
      <alignment vertical="center"/>
    </xf>
    <xf numFmtId="0" fontId="23" fillId="4" borderId="0" xfId="0" quotePrefix="1" applyFont="1" applyFill="1" applyAlignment="1">
      <alignment vertical="center" wrapText="1"/>
    </xf>
    <xf numFmtId="0" fontId="3" fillId="3" borderId="54" xfId="0" applyFont="1" applyFill="1" applyBorder="1" applyAlignment="1" applyProtection="1">
      <alignment horizontal="center" vertical="center" wrapText="1"/>
      <protection locked="0"/>
    </xf>
    <xf numFmtId="0" fontId="1" fillId="0" borderId="0" xfId="0" applyFont="1"/>
    <xf numFmtId="0" fontId="4" fillId="2" borderId="1"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19"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2" borderId="22" xfId="0" applyFont="1" applyFill="1" applyBorder="1" applyAlignment="1">
      <alignment horizontal="center" vertical="center" wrapText="1"/>
    </xf>
    <xf numFmtId="1" fontId="3" fillId="2" borderId="23" xfId="0" applyNumberFormat="1" applyFont="1" applyFill="1" applyBorder="1" applyAlignment="1">
      <alignment horizontal="center" vertical="center"/>
    </xf>
    <xf numFmtId="0" fontId="4" fillId="2" borderId="24" xfId="0" applyFont="1" applyFill="1" applyBorder="1" applyAlignment="1">
      <alignment vertical="center" wrapText="1"/>
    </xf>
    <xf numFmtId="0" fontId="4" fillId="2" borderId="25" xfId="0" applyFont="1" applyFill="1" applyBorder="1" applyAlignment="1">
      <alignment vertical="center" wrapText="1"/>
    </xf>
    <xf numFmtId="4" fontId="6" fillId="2" borderId="22" xfId="0" applyNumberFormat="1" applyFont="1" applyFill="1" applyBorder="1" applyAlignment="1">
      <alignment horizontal="right" vertical="center"/>
    </xf>
    <xf numFmtId="4" fontId="4" fillId="2" borderId="25" xfId="0" applyNumberFormat="1" applyFont="1" applyFill="1" applyBorder="1" applyAlignment="1">
      <alignment horizontal="right" vertical="center"/>
    </xf>
    <xf numFmtId="4" fontId="7" fillId="2" borderId="22" xfId="0" applyNumberFormat="1" applyFont="1" applyFill="1" applyBorder="1" applyAlignment="1">
      <alignment horizontal="right" vertical="center"/>
    </xf>
    <xf numFmtId="0" fontId="3" fillId="2" borderId="17" xfId="0" applyFont="1" applyFill="1" applyBorder="1" applyAlignment="1">
      <alignment horizontal="center" vertical="center"/>
    </xf>
    <xf numFmtId="1" fontId="3" fillId="5" borderId="11" xfId="0" quotePrefix="1" applyNumberFormat="1" applyFont="1" applyFill="1" applyBorder="1" applyAlignment="1">
      <alignment horizontal="center" vertical="center"/>
    </xf>
    <xf numFmtId="0" fontId="7" fillId="4" borderId="13" xfId="0" applyFont="1" applyFill="1" applyBorder="1" applyAlignment="1">
      <alignment horizontal="left" vertical="center" wrapText="1"/>
    </xf>
    <xf numFmtId="0" fontId="7" fillId="4" borderId="14" xfId="0" applyFont="1" applyFill="1" applyBorder="1" applyAlignment="1">
      <alignment horizontal="left" vertical="center" wrapText="1"/>
    </xf>
    <xf numFmtId="0" fontId="7" fillId="4" borderId="12" xfId="0" applyFont="1" applyFill="1" applyBorder="1" applyAlignment="1">
      <alignment horizontal="left" vertical="center" wrapText="1"/>
    </xf>
    <xf numFmtId="0" fontId="3" fillId="2" borderId="9" xfId="0" applyFont="1" applyFill="1" applyBorder="1" applyAlignment="1">
      <alignment horizontal="center" vertical="center" wrapText="1"/>
    </xf>
    <xf numFmtId="4" fontId="5" fillId="2" borderId="12" xfId="0" applyNumberFormat="1" applyFont="1" applyFill="1" applyBorder="1" applyAlignment="1">
      <alignment horizontal="center" vertical="center"/>
    </xf>
    <xf numFmtId="4" fontId="7" fillId="0" borderId="11" xfId="0" applyNumberFormat="1" applyFont="1" applyBorder="1" applyAlignment="1">
      <alignment horizontal="right" vertical="center"/>
    </xf>
    <xf numFmtId="4" fontId="9" fillId="0" borderId="10" xfId="0" applyNumberFormat="1" applyFont="1" applyBorder="1" applyAlignment="1">
      <alignment horizontal="right" vertical="center"/>
    </xf>
    <xf numFmtId="0" fontId="1" fillId="0" borderId="2" xfId="0" applyFont="1" applyBorder="1"/>
    <xf numFmtId="0" fontId="1" fillId="0" borderId="2" xfId="0" applyFont="1" applyBorder="1" applyAlignment="1">
      <alignment horizontal="left" vertical="center"/>
    </xf>
    <xf numFmtId="0" fontId="7" fillId="0" borderId="2" xfId="0" applyFont="1" applyBorder="1" applyAlignment="1">
      <alignment horizontal="left" vertical="center"/>
    </xf>
    <xf numFmtId="0" fontId="7" fillId="0" borderId="2" xfId="0" applyFont="1" applyBorder="1" applyAlignment="1">
      <alignment horizontal="left" vertical="center" wrapText="1"/>
    </xf>
    <xf numFmtId="164" fontId="5" fillId="0" borderId="2" xfId="0" applyNumberFormat="1" applyFont="1" applyBorder="1" applyAlignment="1">
      <alignment horizontal="center" vertical="center"/>
    </xf>
    <xf numFmtId="4" fontId="7" fillId="0" borderId="2" xfId="0" applyNumberFormat="1" applyFont="1" applyBorder="1" applyAlignment="1">
      <alignment horizontal="center" vertical="center"/>
    </xf>
    <xf numFmtId="4" fontId="7" fillId="0" borderId="14" xfId="0" applyNumberFormat="1" applyFont="1" applyBorder="1" applyAlignment="1">
      <alignment horizontal="center" vertical="center"/>
    </xf>
    <xf numFmtId="0" fontId="1" fillId="0" borderId="0" xfId="0" applyFont="1" applyAlignment="1">
      <alignment horizontal="right" vertical="center"/>
    </xf>
    <xf numFmtId="0" fontId="3" fillId="2" borderId="22" xfId="0" applyFont="1" applyFill="1" applyBorder="1" applyAlignment="1">
      <alignment vertical="center"/>
    </xf>
    <xf numFmtId="0" fontId="3" fillId="2" borderId="23" xfId="0" applyFont="1" applyFill="1" applyBorder="1" applyAlignment="1">
      <alignment horizontal="center" vertical="center"/>
    </xf>
    <xf numFmtId="2" fontId="3" fillId="2" borderId="20" xfId="0" quotePrefix="1" applyNumberFormat="1" applyFont="1" applyFill="1" applyBorder="1" applyAlignment="1">
      <alignment horizontal="center" vertical="center"/>
    </xf>
    <xf numFmtId="0" fontId="3" fillId="2" borderId="21" xfId="0" applyFont="1" applyFill="1" applyBorder="1" applyAlignment="1">
      <alignment horizontal="center" vertical="center" wrapText="1"/>
    </xf>
    <xf numFmtId="4" fontId="5" fillId="2" borderId="8" xfId="0" applyNumberFormat="1" applyFont="1" applyFill="1" applyBorder="1" applyAlignment="1">
      <alignment horizontal="center" vertical="center"/>
    </xf>
    <xf numFmtId="4" fontId="7" fillId="0" borderId="20" xfId="0" applyNumberFormat="1" applyFont="1" applyBorder="1" applyAlignment="1">
      <alignment horizontal="right" vertical="center"/>
    </xf>
    <xf numFmtId="4" fontId="9" fillId="0" borderId="16" xfId="0" applyNumberFormat="1" applyFont="1" applyBorder="1" applyAlignment="1">
      <alignment horizontal="right" vertical="center"/>
    </xf>
    <xf numFmtId="2" fontId="3" fillId="2" borderId="18" xfId="0" quotePrefix="1" applyNumberFormat="1" applyFont="1" applyFill="1" applyBorder="1" applyAlignment="1">
      <alignment horizontal="center" vertical="center"/>
    </xf>
    <xf numFmtId="0" fontId="3" fillId="2" borderId="19" xfId="0" applyFont="1" applyFill="1" applyBorder="1" applyAlignment="1">
      <alignment horizontal="center" vertical="center" wrapText="1"/>
    </xf>
    <xf numFmtId="4" fontId="5" fillId="2" borderId="3" xfId="0" applyNumberFormat="1" applyFont="1" applyFill="1" applyBorder="1" applyAlignment="1">
      <alignment horizontal="center" vertical="center"/>
    </xf>
    <xf numFmtId="4" fontId="7" fillId="0" borderId="18" xfId="0" applyNumberFormat="1" applyFont="1" applyBorder="1" applyAlignment="1">
      <alignment horizontal="right" vertical="center"/>
    </xf>
    <xf numFmtId="4" fontId="9" fillId="0" borderId="15" xfId="0" applyNumberFormat="1" applyFont="1" applyBorder="1" applyAlignment="1">
      <alignment horizontal="right" vertical="center"/>
    </xf>
    <xf numFmtId="0" fontId="3" fillId="2" borderId="22" xfId="0" applyFont="1" applyFill="1" applyBorder="1" applyAlignment="1">
      <alignment horizontal="center" vertical="center"/>
    </xf>
    <xf numFmtId="1" fontId="3" fillId="2" borderId="20" xfId="0" quotePrefix="1" applyNumberFormat="1" applyFont="1" applyFill="1" applyBorder="1" applyAlignment="1">
      <alignment horizontal="center" vertical="center"/>
    </xf>
    <xf numFmtId="1" fontId="3" fillId="2" borderId="11" xfId="0" quotePrefix="1" applyNumberFormat="1" applyFont="1" applyFill="1" applyBorder="1" applyAlignment="1">
      <alignment horizontal="center" vertical="center"/>
    </xf>
    <xf numFmtId="1" fontId="3" fillId="2" borderId="18" xfId="0" quotePrefix="1" applyNumberFormat="1" applyFont="1" applyFill="1" applyBorder="1" applyAlignment="1">
      <alignment horizontal="center" vertical="center"/>
    </xf>
    <xf numFmtId="0" fontId="3" fillId="2" borderId="26" xfId="0" applyFont="1" applyFill="1" applyBorder="1" applyAlignment="1">
      <alignment vertical="center"/>
    </xf>
    <xf numFmtId="1" fontId="3" fillId="5" borderId="20" xfId="0" quotePrefix="1" applyNumberFormat="1" applyFont="1" applyFill="1" applyBorder="1" applyAlignment="1">
      <alignment horizontal="center" vertical="center"/>
    </xf>
    <xf numFmtId="0" fontId="3" fillId="5" borderId="27" xfId="0" applyFont="1" applyFill="1" applyBorder="1" applyAlignment="1">
      <alignment horizontal="center" vertical="center" wrapText="1"/>
    </xf>
    <xf numFmtId="0" fontId="3" fillId="5" borderId="7" xfId="0" applyFont="1" applyFill="1" applyBorder="1" applyAlignment="1">
      <alignment vertical="center" wrapText="1"/>
    </xf>
    <xf numFmtId="0" fontId="3" fillId="5" borderId="8" xfId="0" applyFont="1" applyFill="1" applyBorder="1" applyAlignment="1">
      <alignment vertical="center" wrapText="1"/>
    </xf>
    <xf numFmtId="4" fontId="18" fillId="5" borderId="6" xfId="0" applyNumberFormat="1" applyFont="1" applyFill="1" applyBorder="1" applyAlignment="1">
      <alignment horizontal="right" vertical="center"/>
    </xf>
    <xf numFmtId="4" fontId="3" fillId="5" borderId="8" xfId="0" applyNumberFormat="1" applyFont="1" applyFill="1" applyBorder="1" applyAlignment="1">
      <alignment horizontal="right" vertical="center"/>
    </xf>
    <xf numFmtId="0" fontId="3" fillId="2" borderId="17" xfId="0" applyFont="1" applyFill="1" applyBorder="1" applyAlignment="1">
      <alignment vertical="center"/>
    </xf>
    <xf numFmtId="0" fontId="3" fillId="5" borderId="13" xfId="0" applyFont="1" applyFill="1" applyBorder="1" applyAlignment="1">
      <alignment horizontal="center" vertical="center" wrapText="1"/>
    </xf>
    <xf numFmtId="4" fontId="18" fillId="5" borderId="13" xfId="0" applyNumberFormat="1" applyFont="1" applyFill="1" applyBorder="1" applyAlignment="1">
      <alignment horizontal="right" vertical="center"/>
    </xf>
    <xf numFmtId="4" fontId="3" fillId="5" borderId="12" xfId="0" applyNumberFormat="1" applyFont="1" applyFill="1" applyBorder="1" applyAlignment="1">
      <alignment horizontal="right" vertical="center"/>
    </xf>
    <xf numFmtId="0" fontId="3" fillId="2" borderId="16" xfId="0" applyFont="1" applyFill="1" applyBorder="1" applyAlignment="1">
      <alignment horizontal="center" vertical="center"/>
    </xf>
    <xf numFmtId="0" fontId="3" fillId="2" borderId="26" xfId="0" applyFont="1" applyFill="1" applyBorder="1" applyAlignment="1">
      <alignment horizontal="center" vertical="center"/>
    </xf>
    <xf numFmtId="3" fontId="5" fillId="2" borderId="12" xfId="0" applyNumberFormat="1" applyFont="1" applyFill="1" applyBorder="1" applyAlignment="1">
      <alignment horizontal="center" vertical="center"/>
    </xf>
    <xf numFmtId="0" fontId="3" fillId="5" borderId="14" xfId="0" applyFont="1" applyFill="1" applyBorder="1" applyAlignment="1">
      <alignment vertical="center" wrapText="1"/>
    </xf>
    <xf numFmtId="0" fontId="3" fillId="5" borderId="12" xfId="0" applyFont="1" applyFill="1" applyBorder="1" applyAlignment="1">
      <alignment vertical="center" wrapText="1"/>
    </xf>
    <xf numFmtId="0" fontId="3" fillId="2" borderId="17" xfId="0" applyFont="1" applyFill="1" applyBorder="1" applyAlignment="1">
      <alignment horizontal="center" vertical="center" wrapText="1"/>
    </xf>
    <xf numFmtId="0" fontId="3" fillId="2" borderId="4" xfId="0" applyFont="1" applyFill="1" applyBorder="1" applyAlignment="1">
      <alignment horizontal="center" vertical="center" wrapText="1"/>
    </xf>
    <xf numFmtId="1" fontId="3" fillId="5" borderId="18" xfId="0" quotePrefix="1" applyNumberFormat="1" applyFont="1" applyFill="1" applyBorder="1" applyAlignment="1">
      <alignment horizontal="center" vertical="center"/>
    </xf>
    <xf numFmtId="0" fontId="1" fillId="0" borderId="0" xfId="0" applyFont="1" applyAlignment="1">
      <alignment vertical="center"/>
    </xf>
    <xf numFmtId="0" fontId="4" fillId="2" borderId="40" xfId="0" applyFont="1" applyFill="1" applyBorder="1" applyAlignment="1">
      <alignment horizontal="center" vertical="center" wrapText="1"/>
    </xf>
    <xf numFmtId="0" fontId="3" fillId="5" borderId="27" xfId="0" applyFont="1" applyFill="1" applyBorder="1" applyAlignment="1">
      <alignment vertical="center" wrapText="1"/>
    </xf>
    <xf numFmtId="0" fontId="7" fillId="4" borderId="19" xfId="0" applyFont="1" applyFill="1" applyBorder="1" applyAlignment="1">
      <alignment horizontal="center" vertical="center" wrapText="1"/>
    </xf>
    <xf numFmtId="4" fontId="5" fillId="2" borderId="19" xfId="0" applyNumberFormat="1" applyFont="1" applyFill="1" applyBorder="1" applyAlignment="1">
      <alignment horizontal="center" vertical="center"/>
    </xf>
    <xf numFmtId="4" fontId="9" fillId="4" borderId="15" xfId="0" applyNumberFormat="1" applyFont="1" applyFill="1" applyBorder="1" applyAlignment="1">
      <alignment horizontal="right" vertical="center"/>
    </xf>
    <xf numFmtId="1" fontId="3" fillId="5" borderId="33" xfId="0" quotePrefix="1" applyNumberFormat="1" applyFont="1" applyFill="1" applyBorder="1" applyAlignment="1">
      <alignment horizontal="center" vertical="center"/>
    </xf>
    <xf numFmtId="0" fontId="7" fillId="4" borderId="21" xfId="0" applyFont="1" applyFill="1" applyBorder="1" applyAlignment="1">
      <alignment horizontal="center" vertical="center" wrapText="1"/>
    </xf>
    <xf numFmtId="0" fontId="7" fillId="4" borderId="9" xfId="0" applyFont="1" applyFill="1" applyBorder="1" applyAlignment="1">
      <alignment vertical="center" wrapText="1"/>
    </xf>
    <xf numFmtId="0" fontId="3" fillId="5" borderId="13" xfId="0" applyFont="1" applyFill="1" applyBorder="1" applyAlignment="1">
      <alignment vertical="center" wrapText="1"/>
    </xf>
    <xf numFmtId="1" fontId="3" fillId="5" borderId="18" xfId="0" quotePrefix="1" applyNumberFormat="1" applyFont="1" applyFill="1" applyBorder="1" applyAlignment="1">
      <alignment vertical="center"/>
    </xf>
    <xf numFmtId="0" fontId="7" fillId="4" borderId="19" xfId="0" applyFont="1" applyFill="1" applyBorder="1" applyAlignment="1">
      <alignment vertical="center" wrapText="1"/>
    </xf>
    <xf numFmtId="1" fontId="3" fillId="5" borderId="33" xfId="0" quotePrefix="1" applyNumberFormat="1" applyFont="1" applyFill="1" applyBorder="1" applyAlignment="1">
      <alignment vertical="center"/>
    </xf>
    <xf numFmtId="0" fontId="7" fillId="4" borderId="39" xfId="0" applyFont="1" applyFill="1" applyBorder="1" applyAlignment="1">
      <alignment vertical="center" wrapText="1"/>
    </xf>
    <xf numFmtId="1" fontId="3" fillId="5" borderId="20" xfId="0" quotePrefix="1" applyNumberFormat="1" applyFont="1" applyFill="1" applyBorder="1" applyAlignment="1">
      <alignment vertical="center"/>
    </xf>
    <xf numFmtId="0" fontId="7" fillId="4" borderId="21" xfId="0" applyFont="1" applyFill="1" applyBorder="1" applyAlignment="1">
      <alignment vertical="center" wrapText="1"/>
    </xf>
    <xf numFmtId="0" fontId="7" fillId="4" borderId="41" xfId="0" applyFont="1" applyFill="1" applyBorder="1" applyAlignment="1">
      <alignment horizontal="left" vertical="center" wrapText="1"/>
    </xf>
    <xf numFmtId="0" fontId="7" fillId="4" borderId="45" xfId="0" applyFont="1" applyFill="1" applyBorder="1" applyAlignment="1">
      <alignment horizontal="left" vertical="center" wrapText="1"/>
    </xf>
    <xf numFmtId="0" fontId="7" fillId="4" borderId="49" xfId="0" applyFont="1" applyFill="1" applyBorder="1" applyAlignment="1">
      <alignment horizontal="left" vertical="center" wrapText="1"/>
    </xf>
    <xf numFmtId="0" fontId="3" fillId="4" borderId="13" xfId="0" applyFont="1" applyFill="1" applyBorder="1" applyAlignment="1">
      <alignment horizontal="center" vertical="center" wrapText="1"/>
    </xf>
    <xf numFmtId="0" fontId="8" fillId="0" borderId="42" xfId="3" applyNumberFormat="1" applyFont="1" applyBorder="1" applyAlignment="1">
      <alignment vertical="center"/>
    </xf>
    <xf numFmtId="0" fontId="8" fillId="0" borderId="43" xfId="3" applyNumberFormat="1" applyFont="1" applyBorder="1" applyAlignment="1">
      <alignment vertical="center"/>
    </xf>
    <xf numFmtId="0" fontId="8" fillId="0" borderId="46" xfId="3" applyNumberFormat="1" applyFont="1" applyBorder="1" applyAlignment="1">
      <alignment vertical="center"/>
    </xf>
    <xf numFmtId="0" fontId="8" fillId="0" borderId="47" xfId="3" applyNumberFormat="1" applyFont="1" applyBorder="1" applyAlignment="1">
      <alignment vertical="center"/>
    </xf>
    <xf numFmtId="0" fontId="8" fillId="0" borderId="50" xfId="3" applyNumberFormat="1" applyFont="1" applyBorder="1" applyAlignment="1">
      <alignment vertical="center"/>
    </xf>
    <xf numFmtId="0" fontId="8" fillId="0" borderId="51" xfId="3" applyNumberFormat="1" applyFont="1" applyBorder="1" applyAlignment="1">
      <alignment vertical="center"/>
    </xf>
    <xf numFmtId="0" fontId="7" fillId="4" borderId="6" xfId="0" applyFont="1" applyFill="1" applyBorder="1" applyAlignment="1">
      <alignment horizontal="center" vertical="center" wrapText="1"/>
    </xf>
    <xf numFmtId="0" fontId="8" fillId="0" borderId="13" xfId="3" applyNumberFormat="1" applyFont="1" applyBorder="1" applyAlignment="1">
      <alignment horizontal="left" vertical="center"/>
    </xf>
    <xf numFmtId="0" fontId="8" fillId="0" borderId="12" xfId="3" applyNumberFormat="1" applyFont="1" applyBorder="1" applyAlignment="1">
      <alignment horizontal="left" vertical="center"/>
    </xf>
    <xf numFmtId="0" fontId="3" fillId="4" borderId="6" xfId="0" applyFont="1" applyFill="1" applyBorder="1" applyAlignment="1">
      <alignment horizontal="center" vertical="center" wrapText="1"/>
    </xf>
    <xf numFmtId="4" fontId="6" fillId="6" borderId="10" xfId="0" applyNumberFormat="1" applyFont="1" applyFill="1" applyBorder="1" applyAlignment="1">
      <alignment horizontal="right" vertical="center"/>
    </xf>
    <xf numFmtId="4" fontId="6" fillId="4" borderId="13" xfId="0" applyNumberFormat="1" applyFont="1" applyFill="1" applyBorder="1" applyAlignment="1">
      <alignment horizontal="right" vertical="center"/>
    </xf>
    <xf numFmtId="4" fontId="7" fillId="0" borderId="12" xfId="0" applyNumberFormat="1" applyFont="1" applyBorder="1" applyAlignment="1">
      <alignment horizontal="right" vertical="center"/>
    </xf>
    <xf numFmtId="4" fontId="9" fillId="0" borderId="13" xfId="0" applyNumberFormat="1" applyFont="1" applyBorder="1" applyAlignment="1">
      <alignment horizontal="right" vertical="center"/>
    </xf>
    <xf numFmtId="0" fontId="7" fillId="4" borderId="13" xfId="0" applyFont="1" applyFill="1" applyBorder="1" applyAlignment="1">
      <alignment vertical="center" wrapText="1"/>
    </xf>
    <xf numFmtId="0" fontId="7" fillId="4" borderId="12" xfId="0" applyFont="1" applyFill="1" applyBorder="1" applyAlignment="1">
      <alignment vertical="center" wrapText="1"/>
    </xf>
    <xf numFmtId="0" fontId="8" fillId="0" borderId="41" xfId="3" applyNumberFormat="1" applyFont="1" applyBorder="1" applyAlignment="1">
      <alignment horizontal="left" vertical="center" wrapText="1"/>
    </xf>
    <xf numFmtId="0" fontId="8" fillId="0" borderId="45" xfId="3" applyNumberFormat="1" applyFont="1" applyBorder="1" applyAlignment="1">
      <alignment horizontal="left" vertical="center" wrapText="1"/>
    </xf>
    <xf numFmtId="0" fontId="8" fillId="0" borderId="49" xfId="3" applyNumberFormat="1" applyFont="1" applyBorder="1" applyAlignment="1">
      <alignment horizontal="left" vertical="center" wrapText="1"/>
    </xf>
    <xf numFmtId="0" fontId="3" fillId="5" borderId="33" xfId="0" applyFont="1" applyFill="1" applyBorder="1" applyAlignment="1">
      <alignment horizontal="center" vertical="center"/>
    </xf>
    <xf numFmtId="0" fontId="1" fillId="0" borderId="2" xfId="0" applyFont="1" applyBorder="1" applyAlignment="1">
      <alignment vertical="center"/>
    </xf>
    <xf numFmtId="0" fontId="4" fillId="2" borderId="3" xfId="0" applyFont="1" applyFill="1" applyBorder="1" applyAlignment="1">
      <alignment horizontal="center" vertical="center" wrapText="1"/>
    </xf>
    <xf numFmtId="0" fontId="4" fillId="8" borderId="70" xfId="0" applyFont="1" applyFill="1" applyBorder="1" applyAlignment="1">
      <alignment horizontal="center" vertical="center" wrapText="1"/>
    </xf>
    <xf numFmtId="0" fontId="4" fillId="8" borderId="71" xfId="0" applyFont="1" applyFill="1" applyBorder="1" applyAlignment="1">
      <alignment horizontal="center" vertical="center" wrapText="1"/>
    </xf>
    <xf numFmtId="0" fontId="3" fillId="5" borderId="26" xfId="0" applyFont="1" applyFill="1" applyBorder="1" applyAlignment="1">
      <alignment vertical="center"/>
    </xf>
    <xf numFmtId="0" fontId="3" fillId="5" borderId="57" xfId="0" applyFont="1" applyFill="1" applyBorder="1" applyAlignment="1">
      <alignment horizontal="center" vertical="center" wrapText="1"/>
    </xf>
    <xf numFmtId="0" fontId="25" fillId="0" borderId="3" xfId="3" applyNumberFormat="1" applyFont="1" applyBorder="1" applyAlignment="1">
      <alignment horizontal="center" vertical="center" wrapText="1"/>
    </xf>
    <xf numFmtId="0" fontId="9" fillId="2" borderId="19"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68" xfId="0" applyFont="1" applyFill="1" applyBorder="1" applyAlignment="1">
      <alignment horizontal="center" vertical="center" wrapText="1"/>
    </xf>
    <xf numFmtId="0" fontId="3" fillId="8" borderId="11" xfId="0" applyFont="1" applyFill="1" applyBorder="1" applyAlignment="1">
      <alignment horizontal="center" vertical="center" wrapText="1"/>
    </xf>
    <xf numFmtId="4" fontId="6" fillId="6" borderId="15" xfId="0" applyNumberFormat="1" applyFont="1" applyFill="1" applyBorder="1" applyAlignment="1">
      <alignment horizontal="right" vertical="center"/>
    </xf>
    <xf numFmtId="0" fontId="3" fillId="5" borderId="17" xfId="0" applyFont="1" applyFill="1" applyBorder="1" applyAlignment="1">
      <alignment vertical="center"/>
    </xf>
    <xf numFmtId="0" fontId="3" fillId="5" borderId="9" xfId="0" applyFont="1" applyFill="1" applyBorder="1" applyAlignment="1">
      <alignment horizontal="center" vertical="center" wrapText="1"/>
    </xf>
    <xf numFmtId="0" fontId="3" fillId="5" borderId="1" xfId="0" applyFont="1" applyFill="1" applyBorder="1" applyAlignment="1">
      <alignment vertical="center" wrapText="1"/>
    </xf>
    <xf numFmtId="0" fontId="3" fillId="5" borderId="3" xfId="0" applyFont="1" applyFill="1" applyBorder="1" applyAlignment="1">
      <alignment vertical="center" wrapText="1"/>
    </xf>
    <xf numFmtId="0" fontId="3" fillId="5" borderId="2" xfId="0" applyFont="1" applyFill="1" applyBorder="1" applyAlignment="1">
      <alignment vertical="center" wrapText="1"/>
    </xf>
    <xf numFmtId="4" fontId="18" fillId="5" borderId="1" xfId="0" applyNumberFormat="1" applyFont="1" applyFill="1" applyBorder="1" applyAlignment="1">
      <alignment horizontal="right" vertical="center"/>
    </xf>
    <xf numFmtId="4" fontId="3" fillId="5" borderId="2" xfId="0" applyNumberFormat="1" applyFont="1" applyFill="1" applyBorder="1" applyAlignment="1">
      <alignment vertical="center"/>
    </xf>
    <xf numFmtId="4" fontId="3" fillId="5" borderId="3" xfId="0" applyNumberFormat="1" applyFont="1" applyFill="1" applyBorder="1" applyAlignment="1">
      <alignment vertical="center"/>
    </xf>
    <xf numFmtId="1" fontId="3" fillId="5" borderId="41" xfId="0" quotePrefix="1" applyNumberFormat="1" applyFont="1" applyFill="1" applyBorder="1" applyAlignment="1">
      <alignment horizontal="center" vertical="center"/>
    </xf>
    <xf numFmtId="0" fontId="7" fillId="4" borderId="42" xfId="0" applyFont="1" applyFill="1" applyBorder="1" applyAlignment="1">
      <alignment horizontal="left" vertical="center" wrapText="1"/>
    </xf>
    <xf numFmtId="0" fontId="7" fillId="4" borderId="43" xfId="0" applyFont="1" applyFill="1" applyBorder="1" applyAlignment="1">
      <alignment horizontal="left" vertical="center" wrapText="1"/>
    </xf>
    <xf numFmtId="0" fontId="3" fillId="2" borderId="44" xfId="0" applyFont="1" applyFill="1" applyBorder="1" applyAlignment="1">
      <alignment horizontal="center" vertical="center" wrapText="1"/>
    </xf>
    <xf numFmtId="0" fontId="3" fillId="8" borderId="58" xfId="0" applyFont="1" applyFill="1" applyBorder="1" applyAlignment="1">
      <alignment horizontal="center" vertical="center" wrapText="1"/>
    </xf>
    <xf numFmtId="0" fontId="3" fillId="8" borderId="74" xfId="0" applyFont="1" applyFill="1" applyBorder="1" applyAlignment="1">
      <alignment horizontal="center" vertical="center" wrapText="1"/>
    </xf>
    <xf numFmtId="0" fontId="3" fillId="8" borderId="41" xfId="0" applyFont="1" applyFill="1" applyBorder="1" applyAlignment="1">
      <alignment horizontal="center" vertical="center" wrapText="1"/>
    </xf>
    <xf numFmtId="4" fontId="5" fillId="2" borderId="43" xfId="0" applyNumberFormat="1" applyFont="1" applyFill="1" applyBorder="1" applyAlignment="1">
      <alignment horizontal="center" vertical="center"/>
    </xf>
    <xf numFmtId="4" fontId="7" fillId="0" borderId="41" xfId="0" applyNumberFormat="1" applyFont="1" applyBorder="1" applyAlignment="1">
      <alignment horizontal="right" vertical="center"/>
    </xf>
    <xf numFmtId="4" fontId="9" fillId="0" borderId="58" xfId="0" applyNumberFormat="1" applyFont="1" applyBorder="1" applyAlignment="1">
      <alignment horizontal="right" vertical="center"/>
    </xf>
    <xf numFmtId="1" fontId="3" fillId="5" borderId="45" xfId="0" quotePrefix="1" applyNumberFormat="1" applyFont="1" applyFill="1" applyBorder="1" applyAlignment="1">
      <alignment horizontal="center" vertical="center"/>
    </xf>
    <xf numFmtId="0" fontId="7" fillId="4" borderId="46" xfId="0" applyFont="1" applyFill="1" applyBorder="1" applyAlignment="1">
      <alignment horizontal="left" vertical="center" wrapText="1"/>
    </xf>
    <xf numFmtId="0" fontId="7" fillId="4" borderId="47" xfId="0" applyFont="1" applyFill="1" applyBorder="1" applyAlignment="1">
      <alignment horizontal="left" vertical="center" wrapText="1"/>
    </xf>
    <xf numFmtId="0" fontId="13" fillId="4" borderId="39" xfId="0" applyFont="1" applyFill="1" applyBorder="1" applyAlignment="1">
      <alignment horizontal="center" vertical="center" wrapText="1"/>
    </xf>
    <xf numFmtId="0" fontId="3" fillId="2" borderId="48" xfId="0" applyFont="1" applyFill="1" applyBorder="1" applyAlignment="1">
      <alignment horizontal="center" vertical="center" wrapText="1"/>
    </xf>
    <xf numFmtId="0" fontId="3" fillId="8" borderId="59" xfId="0" applyFont="1" applyFill="1" applyBorder="1" applyAlignment="1">
      <alignment horizontal="center" vertical="center" wrapText="1"/>
    </xf>
    <xf numFmtId="0" fontId="3" fillId="8" borderId="75" xfId="0" applyFont="1" applyFill="1" applyBorder="1" applyAlignment="1">
      <alignment horizontal="center" vertical="center" wrapText="1"/>
    </xf>
    <xf numFmtId="0" fontId="3" fillId="8" borderId="45" xfId="0" applyFont="1" applyFill="1" applyBorder="1" applyAlignment="1">
      <alignment horizontal="center" vertical="center" wrapText="1"/>
    </xf>
    <xf numFmtId="4" fontId="5" fillId="2" borderId="47" xfId="0" applyNumberFormat="1" applyFont="1" applyFill="1" applyBorder="1" applyAlignment="1">
      <alignment horizontal="center" vertical="center"/>
    </xf>
    <xf numFmtId="4" fontId="7" fillId="0" borderId="45" xfId="0" applyNumberFormat="1" applyFont="1" applyBorder="1" applyAlignment="1">
      <alignment horizontal="right" vertical="center"/>
    </xf>
    <xf numFmtId="4" fontId="9" fillId="0" borderId="59" xfId="0" applyNumberFormat="1" applyFont="1" applyBorder="1" applyAlignment="1">
      <alignment horizontal="right" vertical="center"/>
    </xf>
    <xf numFmtId="1" fontId="3" fillId="5" borderId="49" xfId="0" quotePrefix="1" applyNumberFormat="1" applyFont="1" applyFill="1" applyBorder="1" applyAlignment="1">
      <alignment horizontal="center" vertical="center"/>
    </xf>
    <xf numFmtId="0" fontId="7" fillId="4" borderId="50" xfId="0" applyFont="1" applyFill="1" applyBorder="1" applyAlignment="1">
      <alignment horizontal="left" vertical="center" wrapText="1"/>
    </xf>
    <xf numFmtId="0" fontId="7" fillId="4" borderId="51" xfId="0" applyFont="1" applyFill="1" applyBorder="1" applyAlignment="1">
      <alignment horizontal="left" vertical="center" wrapText="1"/>
    </xf>
    <xf numFmtId="0" fontId="13" fillId="4" borderId="21" xfId="0" applyFont="1" applyFill="1" applyBorder="1" applyAlignment="1">
      <alignment horizontal="center" vertical="center" wrapText="1"/>
    </xf>
    <xf numFmtId="0" fontId="3" fillId="2" borderId="52" xfId="0" applyFont="1" applyFill="1" applyBorder="1" applyAlignment="1">
      <alignment horizontal="center" vertical="center" wrapText="1"/>
    </xf>
    <xf numFmtId="0" fontId="3" fillId="8" borderId="60" xfId="0" applyFont="1" applyFill="1" applyBorder="1" applyAlignment="1">
      <alignment horizontal="center" vertical="center" wrapText="1"/>
    </xf>
    <xf numFmtId="0" fontId="3" fillId="8" borderId="76" xfId="0" applyFont="1" applyFill="1" applyBorder="1" applyAlignment="1">
      <alignment horizontal="center" vertical="center" wrapText="1"/>
    </xf>
    <xf numFmtId="0" fontId="3" fillId="8" borderId="49" xfId="0" applyFont="1" applyFill="1" applyBorder="1" applyAlignment="1">
      <alignment horizontal="center" vertical="center" wrapText="1"/>
    </xf>
    <xf numFmtId="4" fontId="5" fillId="2" borderId="51" xfId="0" applyNumberFormat="1" applyFont="1" applyFill="1" applyBorder="1" applyAlignment="1">
      <alignment horizontal="center" vertical="center"/>
    </xf>
    <xf numFmtId="4" fontId="7" fillId="0" borderId="49" xfId="0" applyNumberFormat="1" applyFont="1" applyBorder="1" applyAlignment="1">
      <alignment horizontal="right" vertical="center"/>
    </xf>
    <xf numFmtId="4" fontId="9" fillId="0" borderId="60" xfId="0" applyNumberFormat="1" applyFont="1" applyBorder="1" applyAlignment="1">
      <alignment horizontal="right" vertical="center"/>
    </xf>
    <xf numFmtId="4" fontId="3" fillId="5" borderId="3" xfId="0" applyNumberFormat="1" applyFont="1" applyFill="1" applyBorder="1" applyAlignment="1">
      <alignment horizontal="right" vertical="center"/>
    </xf>
    <xf numFmtId="4" fontId="5" fillId="2" borderId="21" xfId="0" applyNumberFormat="1" applyFont="1" applyFill="1" applyBorder="1" applyAlignment="1">
      <alignment horizontal="center" vertical="center" wrapText="1"/>
    </xf>
    <xf numFmtId="1" fontId="3" fillId="5" borderId="61" xfId="0" quotePrefix="1" applyNumberFormat="1" applyFont="1" applyFill="1" applyBorder="1" applyAlignment="1">
      <alignment horizontal="center" vertical="center"/>
    </xf>
    <xf numFmtId="0" fontId="23" fillId="0" borderId="12" xfId="3" applyNumberFormat="1" applyFont="1" applyBorder="1" applyAlignment="1">
      <alignment horizontal="center" vertical="center" wrapText="1"/>
    </xf>
    <xf numFmtId="0" fontId="5" fillId="2" borderId="9" xfId="0" applyFont="1" applyFill="1" applyBorder="1" applyAlignment="1">
      <alignment vertical="center" wrapText="1"/>
    </xf>
    <xf numFmtId="4" fontId="5" fillId="2" borderId="9" xfId="0" applyNumberFormat="1" applyFont="1" applyFill="1" applyBorder="1" applyAlignment="1">
      <alignment vertical="center"/>
    </xf>
    <xf numFmtId="0" fontId="5" fillId="5" borderId="13" xfId="0" applyFont="1" applyFill="1" applyBorder="1" applyAlignment="1">
      <alignment vertical="center" wrapText="1"/>
    </xf>
    <xf numFmtId="0" fontId="5" fillId="5" borderId="12" xfId="0" applyFont="1" applyFill="1" applyBorder="1" applyAlignment="1">
      <alignment vertical="center" wrapText="1"/>
    </xf>
    <xf numFmtId="0" fontId="2" fillId="4" borderId="9" xfId="0" quotePrefix="1" applyFont="1" applyFill="1" applyBorder="1" applyAlignment="1">
      <alignment horizontal="center" vertical="center" wrapText="1"/>
    </xf>
    <xf numFmtId="0" fontId="13" fillId="4" borderId="9" xfId="0" applyFont="1" applyFill="1" applyBorder="1" applyAlignment="1">
      <alignment horizontal="center" vertical="center" wrapText="1"/>
    </xf>
    <xf numFmtId="0" fontId="5" fillId="2" borderId="9" xfId="0" applyFont="1" applyFill="1" applyBorder="1" applyAlignment="1">
      <alignment horizontal="center" vertical="center" wrapText="1"/>
    </xf>
    <xf numFmtId="4" fontId="5" fillId="2" borderId="9" xfId="0" applyNumberFormat="1" applyFont="1" applyFill="1" applyBorder="1" applyAlignment="1">
      <alignment horizontal="center" vertical="center" wrapText="1"/>
    </xf>
    <xf numFmtId="0" fontId="7" fillId="4" borderId="42" xfId="0" applyFont="1" applyFill="1" applyBorder="1" applyAlignment="1">
      <alignment vertical="center" wrapText="1"/>
    </xf>
    <xf numFmtId="0" fontId="7" fillId="4" borderId="43" xfId="0" applyFont="1" applyFill="1" applyBorder="1" applyAlignment="1">
      <alignment vertical="center" wrapText="1"/>
    </xf>
    <xf numFmtId="0" fontId="7" fillId="4" borderId="46" xfId="0" applyFont="1" applyFill="1" applyBorder="1" applyAlignment="1">
      <alignment vertical="center" wrapText="1"/>
    </xf>
    <xf numFmtId="0" fontId="7" fillId="4" borderId="47" xfId="0" applyFont="1" applyFill="1" applyBorder="1" applyAlignment="1">
      <alignment vertical="center" wrapText="1"/>
    </xf>
    <xf numFmtId="0" fontId="7" fillId="4" borderId="50" xfId="0" applyFont="1" applyFill="1" applyBorder="1" applyAlignment="1">
      <alignment vertical="center" wrapText="1"/>
    </xf>
    <xf numFmtId="0" fontId="7" fillId="4" borderId="51" xfId="0" applyFont="1" applyFill="1" applyBorder="1" applyAlignment="1">
      <alignment vertical="center" wrapText="1"/>
    </xf>
    <xf numFmtId="0" fontId="24" fillId="4" borderId="9" xfId="0" quotePrefix="1" applyFont="1" applyFill="1" applyBorder="1" applyAlignment="1">
      <alignment horizontal="center" vertical="center" wrapText="1"/>
    </xf>
    <xf numFmtId="0" fontId="7" fillId="4" borderId="55" xfId="0" applyFont="1" applyFill="1" applyBorder="1" applyAlignment="1">
      <alignment horizontal="left" vertical="center" wrapText="1"/>
    </xf>
    <xf numFmtId="0" fontId="7" fillId="4" borderId="56" xfId="0" applyFont="1" applyFill="1" applyBorder="1" applyAlignment="1">
      <alignment horizontal="left" vertical="center" wrapText="1"/>
    </xf>
    <xf numFmtId="0" fontId="3" fillId="2" borderId="64" xfId="0" applyFont="1" applyFill="1" applyBorder="1" applyAlignment="1">
      <alignment horizontal="center" vertical="center" wrapText="1"/>
    </xf>
    <xf numFmtId="0" fontId="3" fillId="8" borderId="77" xfId="0" applyFont="1" applyFill="1" applyBorder="1" applyAlignment="1">
      <alignment horizontal="center" vertical="center" wrapText="1"/>
    </xf>
    <xf numFmtId="0" fontId="3" fillId="8" borderId="78" xfId="0" applyFont="1" applyFill="1" applyBorder="1" applyAlignment="1">
      <alignment horizontal="center" vertical="center" wrapText="1"/>
    </xf>
    <xf numFmtId="0" fontId="3" fillId="8" borderId="61" xfId="0" applyFont="1" applyFill="1" applyBorder="1" applyAlignment="1">
      <alignment horizontal="center" vertical="center" wrapText="1"/>
    </xf>
    <xf numFmtId="4" fontId="5" fillId="2" borderId="56" xfId="0" applyNumberFormat="1" applyFont="1" applyFill="1" applyBorder="1" applyAlignment="1">
      <alignment horizontal="center" vertical="center"/>
    </xf>
    <xf numFmtId="0" fontId="13" fillId="4" borderId="39" xfId="0" applyFont="1" applyFill="1" applyBorder="1" applyAlignment="1">
      <alignment vertical="center" wrapText="1"/>
    </xf>
    <xf numFmtId="0" fontId="3" fillId="2" borderId="63" xfId="0" applyFont="1" applyFill="1" applyBorder="1" applyAlignment="1">
      <alignment horizontal="center" vertical="center" wrapText="1"/>
    </xf>
    <xf numFmtId="0" fontId="3" fillId="8" borderId="79" xfId="0" applyFont="1" applyFill="1" applyBorder="1" applyAlignment="1">
      <alignment horizontal="center" vertical="center" wrapText="1"/>
    </xf>
    <xf numFmtId="0" fontId="3" fillId="8" borderId="80" xfId="0" applyFont="1" applyFill="1" applyBorder="1" applyAlignment="1">
      <alignment horizontal="center" vertical="center" wrapText="1"/>
    </xf>
    <xf numFmtId="0" fontId="3" fillId="8" borderId="65" xfId="0" applyFont="1" applyFill="1" applyBorder="1" applyAlignment="1">
      <alignment horizontal="center" vertical="center" wrapText="1"/>
    </xf>
    <xf numFmtId="4" fontId="5" fillId="2" borderId="54" xfId="0" applyNumberFormat="1" applyFont="1" applyFill="1" applyBorder="1" applyAlignment="1">
      <alignment horizontal="center" vertical="center"/>
    </xf>
    <xf numFmtId="0" fontId="3" fillId="8" borderId="16" xfId="0" applyFont="1" applyFill="1" applyBorder="1" applyAlignment="1">
      <alignment horizontal="center" vertical="center" wrapText="1"/>
    </xf>
    <xf numFmtId="0" fontId="3" fillId="8" borderId="81" xfId="0" applyFont="1" applyFill="1" applyBorder="1" applyAlignment="1">
      <alignment horizontal="center" vertical="center" wrapText="1"/>
    </xf>
    <xf numFmtId="0" fontId="3" fillId="8" borderId="20" xfId="0" applyFont="1" applyFill="1" applyBorder="1" applyAlignment="1">
      <alignment horizontal="center" vertical="center" wrapText="1"/>
    </xf>
    <xf numFmtId="0" fontId="13" fillId="4" borderId="21" xfId="0" applyFont="1" applyFill="1" applyBorder="1" applyAlignment="1">
      <alignment vertical="center" wrapText="1"/>
    </xf>
    <xf numFmtId="0" fontId="13" fillId="4" borderId="9" xfId="0" applyFont="1" applyFill="1" applyBorder="1" applyAlignment="1">
      <alignment vertical="center" wrapText="1"/>
    </xf>
    <xf numFmtId="4" fontId="9" fillId="2" borderId="44" xfId="0" applyNumberFormat="1" applyFont="1" applyFill="1" applyBorder="1" applyAlignment="1">
      <alignment horizontal="center" vertical="center" wrapText="1"/>
    </xf>
    <xf numFmtId="4" fontId="6" fillId="6" borderId="58" xfId="0" applyNumberFormat="1" applyFont="1" applyFill="1" applyBorder="1" applyAlignment="1">
      <alignment horizontal="right" vertical="center"/>
    </xf>
    <xf numFmtId="4" fontId="6" fillId="6" borderId="60" xfId="0" applyNumberFormat="1" applyFont="1" applyFill="1" applyBorder="1" applyAlignment="1">
      <alignment horizontal="right" vertical="center"/>
    </xf>
    <xf numFmtId="4" fontId="3" fillId="2" borderId="9" xfId="0" applyNumberFormat="1" applyFont="1" applyFill="1" applyBorder="1" applyAlignment="1">
      <alignment horizontal="center" vertical="center" wrapText="1"/>
    </xf>
    <xf numFmtId="0" fontId="7" fillId="4" borderId="53" xfId="0" applyFont="1" applyFill="1" applyBorder="1" applyAlignment="1">
      <alignment horizontal="left" vertical="center" wrapText="1"/>
    </xf>
    <xf numFmtId="0" fontId="7" fillId="4" borderId="54" xfId="0" applyFont="1" applyFill="1" applyBorder="1" applyAlignment="1">
      <alignment horizontal="left" vertical="center" wrapText="1"/>
    </xf>
    <xf numFmtId="4" fontId="6" fillId="6" borderId="59" xfId="0" applyNumberFormat="1" applyFont="1" applyFill="1" applyBorder="1" applyAlignment="1">
      <alignment horizontal="right" vertical="center"/>
    </xf>
    <xf numFmtId="4" fontId="9" fillId="2" borderId="9" xfId="0" applyNumberFormat="1" applyFont="1" applyFill="1" applyBorder="1" applyAlignment="1">
      <alignment horizontal="center" vertical="center" wrapText="1"/>
    </xf>
    <xf numFmtId="0" fontId="13" fillId="4" borderId="44" xfId="0" applyFont="1" applyFill="1" applyBorder="1" applyAlignment="1">
      <alignment horizontal="center" vertical="center" wrapText="1"/>
    </xf>
    <xf numFmtId="0" fontId="13" fillId="4" borderId="52" xfId="0" applyFont="1" applyFill="1" applyBorder="1" applyAlignment="1">
      <alignment horizontal="center" vertical="center" wrapText="1"/>
    </xf>
    <xf numFmtId="0" fontId="7" fillId="4" borderId="53" xfId="0" applyFont="1" applyFill="1" applyBorder="1" applyAlignment="1">
      <alignment vertical="center" wrapText="1"/>
    </xf>
    <xf numFmtId="0" fontId="7" fillId="4" borderId="54" xfId="0" applyFont="1" applyFill="1" applyBorder="1" applyAlignment="1">
      <alignment vertical="center" wrapText="1"/>
    </xf>
    <xf numFmtId="1" fontId="3" fillId="2" borderId="65" xfId="0" quotePrefix="1" applyNumberFormat="1" applyFont="1" applyFill="1" applyBorder="1" applyAlignment="1">
      <alignment horizontal="center" vertical="center"/>
    </xf>
    <xf numFmtId="0" fontId="1" fillId="4" borderId="0" xfId="0" applyFont="1" applyFill="1"/>
    <xf numFmtId="0" fontId="2" fillId="4" borderId="0" xfId="0" applyFont="1" applyFill="1" applyAlignment="1">
      <alignment horizontal="center" vertical="center"/>
    </xf>
    <xf numFmtId="0" fontId="2" fillId="4" borderId="0" xfId="0" applyFont="1" applyFill="1" applyAlignment="1">
      <alignment vertical="center"/>
    </xf>
    <xf numFmtId="167" fontId="7" fillId="4" borderId="9" xfId="5" applyNumberFormat="1" applyFont="1" applyFill="1" applyBorder="1" applyAlignment="1" applyProtection="1">
      <alignment vertical="center"/>
    </xf>
    <xf numFmtId="4" fontId="0" fillId="3" borderId="10" xfId="0" applyNumberFormat="1" applyFill="1" applyBorder="1" applyAlignment="1" applyProtection="1">
      <alignment horizontal="right" vertical="center"/>
      <protection locked="0"/>
    </xf>
    <xf numFmtId="0" fontId="10" fillId="7" borderId="9" xfId="0" applyFont="1" applyFill="1" applyBorder="1" applyAlignment="1">
      <alignment horizontal="center" vertical="center"/>
    </xf>
    <xf numFmtId="0" fontId="7" fillId="0" borderId="9" xfId="0" applyFont="1" applyBorder="1" applyAlignment="1">
      <alignment horizontal="center" vertical="center"/>
    </xf>
    <xf numFmtId="0" fontId="22" fillId="2" borderId="9" xfId="0" applyFont="1" applyFill="1" applyBorder="1" applyAlignment="1">
      <alignment horizontal="center" vertical="center" wrapText="1"/>
    </xf>
    <xf numFmtId="0" fontId="22" fillId="2" borderId="13" xfId="0" applyFont="1" applyFill="1" applyBorder="1" applyAlignment="1">
      <alignment horizontal="center" vertical="center" wrapText="1"/>
    </xf>
    <xf numFmtId="0" fontId="22" fillId="2" borderId="12" xfId="0" applyFont="1" applyFill="1" applyBorder="1" applyAlignment="1">
      <alignment horizontal="center" vertical="center" wrapText="1"/>
    </xf>
    <xf numFmtId="14" fontId="3" fillId="0" borderId="1" xfId="0" applyNumberFormat="1" applyFont="1" applyBorder="1" applyAlignment="1">
      <alignment horizontal="right" vertical="center"/>
    </xf>
    <xf numFmtId="14" fontId="3" fillId="0" borderId="3" xfId="0" applyNumberFormat="1" applyFont="1" applyBorder="1" applyAlignment="1">
      <alignment horizontal="right" vertical="center"/>
    </xf>
    <xf numFmtId="0" fontId="23" fillId="4" borderId="9" xfId="0" quotePrefix="1" applyFont="1" applyFill="1" applyBorder="1" applyAlignment="1">
      <alignment horizontal="left" vertical="center" wrapText="1"/>
    </xf>
    <xf numFmtId="0" fontId="9" fillId="0" borderId="6" xfId="0" applyFont="1" applyBorder="1" applyAlignment="1">
      <alignment horizontal="center" vertical="center" wrapText="1"/>
    </xf>
    <xf numFmtId="0" fontId="9" fillId="0" borderId="8" xfId="0" applyFont="1" applyBorder="1" applyAlignment="1">
      <alignment horizontal="center" vertical="center" wrapText="1"/>
    </xf>
    <xf numFmtId="0" fontId="28" fillId="0" borderId="1" xfId="0" quotePrefix="1" applyFont="1" applyBorder="1" applyAlignment="1">
      <alignment horizontal="center" vertical="center" wrapText="1"/>
    </xf>
    <xf numFmtId="0" fontId="28" fillId="0" borderId="2" xfId="0" quotePrefix="1" applyFont="1" applyBorder="1" applyAlignment="1">
      <alignment horizontal="center" vertical="center" wrapText="1"/>
    </xf>
    <xf numFmtId="0" fontId="28" fillId="0" borderId="3" xfId="0" quotePrefix="1" applyFont="1" applyBorder="1" applyAlignment="1">
      <alignment horizontal="center" vertical="center" wrapText="1"/>
    </xf>
    <xf numFmtId="0" fontId="28" fillId="0" borderId="6" xfId="0" quotePrefix="1" applyFont="1" applyBorder="1" applyAlignment="1">
      <alignment horizontal="center" vertical="center" wrapText="1"/>
    </xf>
    <xf numFmtId="0" fontId="28" fillId="0" borderId="7" xfId="0" quotePrefix="1" applyFont="1" applyBorder="1" applyAlignment="1">
      <alignment horizontal="center" vertical="center" wrapText="1"/>
    </xf>
    <xf numFmtId="0" fontId="28" fillId="0" borderId="8" xfId="0" quotePrefix="1" applyFont="1" applyBorder="1" applyAlignment="1">
      <alignment horizontal="center" vertical="center" wrapText="1"/>
    </xf>
    <xf numFmtId="0" fontId="9" fillId="4" borderId="9" xfId="0" applyFont="1" applyFill="1" applyBorder="1" applyAlignment="1">
      <alignment horizontal="right" vertical="center"/>
    </xf>
    <xf numFmtId="165" fontId="21" fillId="0" borderId="9" xfId="0" applyNumberFormat="1" applyFont="1" applyBorder="1" applyAlignment="1">
      <alignment horizontal="right" vertical="center"/>
    </xf>
    <xf numFmtId="0" fontId="26" fillId="2" borderId="40" xfId="0" applyFont="1" applyFill="1" applyBorder="1" applyAlignment="1">
      <alignment horizontal="right" vertical="center"/>
    </xf>
    <xf numFmtId="165" fontId="26" fillId="2" borderId="40" xfId="0" applyNumberFormat="1" applyFont="1" applyFill="1" applyBorder="1" applyAlignment="1">
      <alignment horizontal="right" vertical="center"/>
    </xf>
    <xf numFmtId="0" fontId="26" fillId="2" borderId="34" xfId="0" applyFont="1" applyFill="1" applyBorder="1" applyAlignment="1">
      <alignment horizontal="center" vertical="center"/>
    </xf>
    <xf numFmtId="0" fontId="26" fillId="2" borderId="35" xfId="0" applyFont="1" applyFill="1" applyBorder="1" applyAlignment="1">
      <alignment horizontal="center" vertical="center"/>
    </xf>
    <xf numFmtId="0" fontId="26" fillId="2" borderId="36"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0" xfId="0" applyFont="1" applyFill="1" applyAlignment="1">
      <alignment horizontal="center" vertical="center"/>
    </xf>
    <xf numFmtId="0" fontId="26" fillId="2" borderId="5" xfId="0" applyFont="1" applyFill="1" applyBorder="1" applyAlignment="1">
      <alignment horizontal="center" vertical="center"/>
    </xf>
    <xf numFmtId="0" fontId="26" fillId="2" borderId="37" xfId="0" applyFont="1" applyFill="1" applyBorder="1" applyAlignment="1">
      <alignment horizontal="center" vertical="center"/>
    </xf>
    <xf numFmtId="0" fontId="26" fillId="2" borderId="38" xfId="0" applyFont="1" applyFill="1" applyBorder="1" applyAlignment="1">
      <alignment horizontal="center" vertical="center"/>
    </xf>
    <xf numFmtId="0" fontId="26" fillId="2" borderId="62"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40" xfId="0" applyFont="1" applyFill="1" applyBorder="1" applyAlignment="1">
      <alignment horizontal="center" vertical="center"/>
    </xf>
    <xf numFmtId="0" fontId="5" fillId="4" borderId="9" xfId="0" applyFont="1" applyFill="1" applyBorder="1" applyAlignment="1">
      <alignment horizontal="right" vertical="center"/>
    </xf>
    <xf numFmtId="165" fontId="22" fillId="0" borderId="9" xfId="0" applyNumberFormat="1" applyFont="1" applyBorder="1" applyAlignment="1">
      <alignment horizontal="right" vertical="center"/>
    </xf>
    <xf numFmtId="0" fontId="23" fillId="2" borderId="40" xfId="0" applyFont="1" applyFill="1" applyBorder="1" applyAlignment="1">
      <alignment horizontal="right" vertical="center"/>
    </xf>
    <xf numFmtId="165" fontId="23" fillId="2" borderId="40" xfId="0" applyNumberFormat="1" applyFont="1" applyFill="1" applyBorder="1" applyAlignment="1">
      <alignment horizontal="right" vertical="center"/>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24" xfId="0" applyFont="1" applyFill="1" applyBorder="1" applyAlignment="1">
      <alignment horizontal="center" vertical="center" wrapText="1"/>
    </xf>
    <xf numFmtId="0" fontId="3" fillId="5" borderId="27" xfId="0" applyFont="1" applyFill="1" applyBorder="1" applyAlignment="1">
      <alignment horizontal="center" vertical="center" wrapText="1"/>
    </xf>
    <xf numFmtId="0" fontId="3" fillId="5" borderId="28" xfId="0" applyFont="1" applyFill="1" applyBorder="1" applyAlignment="1">
      <alignment horizontal="center" vertical="center" wrapText="1"/>
    </xf>
    <xf numFmtId="0" fontId="7" fillId="4" borderId="13" xfId="0" applyFont="1" applyFill="1" applyBorder="1" applyAlignment="1">
      <alignment horizontal="left" vertical="center" wrapText="1"/>
    </xf>
    <xf numFmtId="0" fontId="7" fillId="4" borderId="14" xfId="0" applyFont="1" applyFill="1" applyBorder="1" applyAlignment="1">
      <alignment horizontal="left" vertical="center" wrapText="1"/>
    </xf>
    <xf numFmtId="0" fontId="7" fillId="4" borderId="12" xfId="0" applyFont="1" applyFill="1" applyBorder="1" applyAlignment="1">
      <alignment horizontal="left" vertical="center" wrapText="1"/>
    </xf>
    <xf numFmtId="0" fontId="3" fillId="2" borderId="17" xfId="0" applyFont="1" applyFill="1" applyBorder="1" applyAlignment="1">
      <alignment horizontal="center" vertical="center"/>
    </xf>
    <xf numFmtId="0" fontId="7" fillId="4" borderId="27" xfId="0" applyFont="1" applyFill="1" applyBorder="1" applyAlignment="1">
      <alignment horizontal="left" vertical="center" wrapText="1"/>
    </xf>
    <xf numFmtId="0" fontId="7" fillId="4" borderId="28" xfId="0" applyFont="1" applyFill="1" applyBorder="1" applyAlignment="1">
      <alignment horizontal="left" vertical="center" wrapText="1"/>
    </xf>
    <xf numFmtId="0" fontId="7" fillId="4" borderId="29" xfId="0" applyFont="1" applyFill="1" applyBorder="1" applyAlignment="1">
      <alignment horizontal="left" vertical="center" wrapText="1"/>
    </xf>
    <xf numFmtId="0" fontId="7" fillId="4" borderId="1" xfId="0" applyFont="1" applyFill="1" applyBorder="1" applyAlignment="1">
      <alignment horizontal="left" vertical="center" wrapText="1"/>
    </xf>
    <xf numFmtId="0" fontId="7" fillId="4" borderId="2" xfId="0" applyFont="1" applyFill="1" applyBorder="1" applyAlignment="1">
      <alignment horizontal="left" vertical="center" wrapText="1"/>
    </xf>
    <xf numFmtId="0" fontId="7" fillId="4" borderId="3" xfId="0" applyFont="1" applyFill="1" applyBorder="1" applyAlignment="1">
      <alignment horizontal="left" vertical="center" wrapText="1"/>
    </xf>
    <xf numFmtId="0" fontId="16" fillId="4" borderId="13" xfId="0" applyFont="1" applyFill="1" applyBorder="1" applyAlignment="1">
      <alignment horizontal="left" vertical="center" wrapText="1"/>
    </xf>
    <xf numFmtId="0" fontId="16" fillId="4" borderId="14" xfId="0" applyFont="1" applyFill="1" applyBorder="1" applyAlignment="1">
      <alignment horizontal="left" vertical="center" wrapText="1"/>
    </xf>
    <xf numFmtId="0" fontId="16" fillId="4" borderId="12" xfId="0" applyFont="1" applyFill="1" applyBorder="1" applyAlignment="1">
      <alignment horizontal="left" vertical="center" wrapText="1"/>
    </xf>
    <xf numFmtId="0" fontId="1" fillId="4" borderId="13" xfId="0" applyFont="1" applyFill="1" applyBorder="1" applyAlignment="1">
      <alignment horizontal="left" vertical="center" wrapText="1"/>
    </xf>
    <xf numFmtId="0" fontId="1" fillId="4" borderId="14" xfId="0" applyFont="1" applyFill="1" applyBorder="1" applyAlignment="1">
      <alignment horizontal="left" vertical="center" wrapText="1"/>
    </xf>
    <xf numFmtId="0" fontId="1" fillId="4" borderId="12" xfId="0" applyFont="1" applyFill="1" applyBorder="1" applyAlignment="1">
      <alignment horizontal="left" vertical="center" wrapText="1"/>
    </xf>
    <xf numFmtId="0" fontId="20" fillId="4" borderId="1" xfId="2" applyFont="1" applyFill="1" applyBorder="1" applyAlignment="1">
      <alignment horizontal="left" vertical="center" wrapText="1"/>
    </xf>
    <xf numFmtId="0" fontId="20" fillId="4" borderId="2" xfId="2" applyFont="1" applyFill="1" applyBorder="1" applyAlignment="1">
      <alignment horizontal="left" vertical="center" wrapText="1"/>
    </xf>
    <xf numFmtId="0" fontId="20" fillId="4" borderId="3" xfId="2" applyFont="1" applyFill="1" applyBorder="1" applyAlignment="1">
      <alignment horizontal="left" vertical="center" wrapText="1"/>
    </xf>
    <xf numFmtId="0" fontId="20" fillId="4" borderId="13" xfId="2" applyFont="1" applyFill="1" applyBorder="1" applyAlignment="1">
      <alignment horizontal="left" vertical="center" wrapText="1"/>
    </xf>
    <xf numFmtId="0" fontId="20" fillId="4" borderId="14" xfId="2" applyFont="1" applyFill="1" applyBorder="1" applyAlignment="1">
      <alignment horizontal="left" vertical="center" wrapText="1"/>
    </xf>
    <xf numFmtId="0" fontId="20" fillId="4" borderId="12" xfId="2" applyFont="1" applyFill="1" applyBorder="1" applyAlignment="1">
      <alignment horizontal="left" vertical="center" wrapText="1"/>
    </xf>
    <xf numFmtId="0" fontId="7" fillId="4" borderId="6" xfId="0" applyFont="1" applyFill="1" applyBorder="1" applyAlignment="1">
      <alignment horizontal="left" vertical="center" wrapText="1"/>
    </xf>
    <xf numFmtId="0" fontId="7" fillId="4" borderId="7" xfId="0" applyFont="1" applyFill="1" applyBorder="1" applyAlignment="1">
      <alignment horizontal="left" vertical="center" wrapText="1"/>
    </xf>
    <xf numFmtId="0" fontId="7" fillId="4" borderId="8" xfId="0" applyFont="1" applyFill="1" applyBorder="1" applyAlignment="1">
      <alignment horizontal="left" vertical="center" wrapText="1"/>
    </xf>
    <xf numFmtId="0" fontId="4" fillId="2" borderId="11"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4" borderId="6" xfId="0" applyFont="1" applyFill="1" applyBorder="1" applyAlignment="1">
      <alignment horizontal="left" vertical="center" wrapText="1"/>
    </xf>
    <xf numFmtId="0" fontId="3" fillId="4" borderId="7" xfId="0" applyFont="1" applyFill="1" applyBorder="1" applyAlignment="1">
      <alignment horizontal="left" vertical="center" wrapText="1"/>
    </xf>
    <xf numFmtId="0" fontId="3" fillId="4" borderId="8"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4" borderId="3" xfId="0" applyFont="1" applyFill="1" applyBorder="1" applyAlignment="1">
      <alignment horizontal="left" vertical="center" wrapText="1"/>
    </xf>
    <xf numFmtId="0" fontId="4" fillId="2" borderId="9" xfId="0" applyFont="1" applyFill="1" applyBorder="1" applyAlignment="1">
      <alignment horizontal="center" vertical="center"/>
    </xf>
    <xf numFmtId="0" fontId="12" fillId="2" borderId="6"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7" fillId="4" borderId="34" xfId="0" applyFont="1" applyFill="1" applyBorder="1" applyAlignment="1">
      <alignment horizontal="left" vertical="center" wrapText="1"/>
    </xf>
    <xf numFmtId="0" fontId="7" fillId="4" borderId="35" xfId="0" applyFont="1" applyFill="1" applyBorder="1" applyAlignment="1">
      <alignment horizontal="left" vertical="center" wrapText="1"/>
    </xf>
    <xf numFmtId="0" fontId="7" fillId="4" borderId="36" xfId="0" applyFont="1" applyFill="1" applyBorder="1" applyAlignment="1">
      <alignment horizontal="left" vertical="center" wrapText="1"/>
    </xf>
    <xf numFmtId="0" fontId="7" fillId="4" borderId="30" xfId="0" applyFont="1" applyFill="1" applyBorder="1" applyAlignment="1">
      <alignment horizontal="left" vertical="center" wrapText="1"/>
    </xf>
    <xf numFmtId="0" fontId="7" fillId="4" borderId="31" xfId="0" applyFont="1" applyFill="1" applyBorder="1" applyAlignment="1">
      <alignment horizontal="left" vertical="center" wrapText="1"/>
    </xf>
    <xf numFmtId="0" fontId="7" fillId="4" borderId="32" xfId="0" applyFont="1" applyFill="1" applyBorder="1" applyAlignment="1">
      <alignment horizontal="left" vertical="center" wrapText="1"/>
    </xf>
    <xf numFmtId="0" fontId="1" fillId="4" borderId="30" xfId="0" applyFont="1" applyFill="1" applyBorder="1" applyAlignment="1">
      <alignment horizontal="left" vertical="center" wrapText="1"/>
    </xf>
    <xf numFmtId="0" fontId="1" fillId="4" borderId="31" xfId="0" applyFont="1" applyFill="1" applyBorder="1" applyAlignment="1">
      <alignment horizontal="left" vertical="center" wrapText="1"/>
    </xf>
    <xf numFmtId="0" fontId="1" fillId="4" borderId="32" xfId="0" applyFont="1" applyFill="1" applyBorder="1" applyAlignment="1">
      <alignment horizontal="left" vertical="center" wrapText="1"/>
    </xf>
    <xf numFmtId="4" fontId="2" fillId="2" borderId="9" xfId="0" applyNumberFormat="1" applyFont="1" applyFill="1" applyBorder="1" applyAlignment="1">
      <alignment horizontal="center" vertical="center"/>
    </xf>
    <xf numFmtId="0" fontId="8" fillId="0" borderId="13" xfId="3" applyNumberFormat="1" applyFont="1" applyBorder="1" applyAlignment="1">
      <alignment horizontal="left" vertical="center" wrapText="1"/>
    </xf>
    <xf numFmtId="0" fontId="8" fillId="0" borderId="12" xfId="3" applyNumberFormat="1" applyFont="1" applyBorder="1" applyAlignment="1">
      <alignment horizontal="left" vertical="center" wrapText="1"/>
    </xf>
    <xf numFmtId="0" fontId="2" fillId="0" borderId="0" xfId="0" applyFont="1" applyAlignment="1">
      <alignment horizontal="left" vertical="center" wrapText="1"/>
    </xf>
    <xf numFmtId="0" fontId="7" fillId="4" borderId="19" xfId="0" applyFont="1" applyFill="1" applyBorder="1" applyAlignment="1">
      <alignment horizontal="center" vertical="center" wrapText="1"/>
    </xf>
    <xf numFmtId="0" fontId="7" fillId="4" borderId="39" xfId="0" applyFont="1" applyFill="1" applyBorder="1" applyAlignment="1">
      <alignment horizontal="center" vertical="center" wrapText="1"/>
    </xf>
    <xf numFmtId="0" fontId="7" fillId="4" borderId="21"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21" xfId="0" applyFont="1" applyFill="1" applyBorder="1" applyAlignment="1">
      <alignment horizontal="center" vertical="center" wrapText="1"/>
    </xf>
    <xf numFmtId="4" fontId="7" fillId="0" borderId="18" xfId="0" applyNumberFormat="1" applyFont="1" applyBorder="1" applyAlignment="1">
      <alignment horizontal="right" vertical="center"/>
    </xf>
    <xf numFmtId="4" fontId="7" fillId="0" borderId="33" xfId="0" applyNumberFormat="1" applyFont="1" applyBorder="1" applyAlignment="1">
      <alignment horizontal="right" vertical="center"/>
    </xf>
    <xf numFmtId="4" fontId="7" fillId="0" borderId="20" xfId="0" applyNumberFormat="1" applyFont="1" applyBorder="1" applyAlignment="1">
      <alignment horizontal="right" vertical="center"/>
    </xf>
    <xf numFmtId="4" fontId="9" fillId="0" borderId="15" xfId="0" applyNumberFormat="1" applyFont="1" applyBorder="1" applyAlignment="1">
      <alignment horizontal="right" vertical="center"/>
    </xf>
    <xf numFmtId="4" fontId="9" fillId="0" borderId="17" xfId="0" applyNumberFormat="1" applyFont="1" applyBorder="1" applyAlignment="1">
      <alignment horizontal="right" vertical="center"/>
    </xf>
    <xf numFmtId="4" fontId="9" fillId="0" borderId="16" xfId="0" applyNumberFormat="1" applyFont="1" applyBorder="1" applyAlignment="1">
      <alignment horizontal="right" vertical="center"/>
    </xf>
    <xf numFmtId="4" fontId="6" fillId="3" borderId="15" xfId="0" applyNumberFormat="1" applyFont="1" applyFill="1" applyBorder="1" applyAlignment="1" applyProtection="1">
      <alignment horizontal="right" vertical="center"/>
      <protection locked="0"/>
    </xf>
    <xf numFmtId="4" fontId="6" fillId="3" borderId="17" xfId="0" applyNumberFormat="1" applyFont="1" applyFill="1" applyBorder="1" applyAlignment="1" applyProtection="1">
      <alignment horizontal="right" vertical="center"/>
      <protection locked="0"/>
    </xf>
    <xf numFmtId="4" fontId="6" fillId="3" borderId="16" xfId="0" applyNumberFormat="1" applyFont="1" applyFill="1" applyBorder="1" applyAlignment="1" applyProtection="1">
      <alignment horizontal="right" vertical="center"/>
      <protection locked="0"/>
    </xf>
    <xf numFmtId="4" fontId="5" fillId="2" borderId="19" xfId="0" applyNumberFormat="1" applyFont="1" applyFill="1" applyBorder="1" applyAlignment="1">
      <alignment horizontal="center" vertical="center"/>
    </xf>
    <xf numFmtId="4" fontId="5" fillId="2" borderId="39" xfId="0" applyNumberFormat="1" applyFont="1" applyFill="1" applyBorder="1" applyAlignment="1">
      <alignment horizontal="center" vertical="center"/>
    </xf>
    <xf numFmtId="4" fontId="5" fillId="2" borderId="21" xfId="0" applyNumberFormat="1" applyFont="1" applyFill="1" applyBorder="1" applyAlignment="1">
      <alignment horizontal="center" vertical="center"/>
    </xf>
    <xf numFmtId="0" fontId="8" fillId="0" borderId="46" xfId="3" applyNumberFormat="1" applyFont="1" applyBorder="1" applyAlignment="1">
      <alignment horizontal="left" vertical="center"/>
    </xf>
    <xf numFmtId="0" fontId="8" fillId="0" borderId="47" xfId="3" applyNumberFormat="1" applyFont="1" applyBorder="1" applyAlignment="1">
      <alignment horizontal="left" vertical="center"/>
    </xf>
    <xf numFmtId="0" fontId="8" fillId="0" borderId="50" xfId="3" applyNumberFormat="1" applyFont="1" applyBorder="1" applyAlignment="1">
      <alignment horizontal="left" vertical="center"/>
    </xf>
    <xf numFmtId="0" fontId="8" fillId="0" borderId="51" xfId="3" applyNumberFormat="1" applyFont="1" applyBorder="1" applyAlignment="1">
      <alignment horizontal="left" vertical="center"/>
    </xf>
    <xf numFmtId="0" fontId="8" fillId="0" borderId="42" xfId="3" applyNumberFormat="1" applyFont="1" applyBorder="1" applyAlignment="1">
      <alignment horizontal="left" vertical="center"/>
    </xf>
    <xf numFmtId="0" fontId="8" fillId="0" borderId="43" xfId="3" applyNumberFormat="1" applyFont="1" applyBorder="1" applyAlignment="1">
      <alignment horizontal="left" vertical="center"/>
    </xf>
    <xf numFmtId="0" fontId="3" fillId="5" borderId="12" xfId="0" applyFont="1" applyFill="1" applyBorder="1" applyAlignment="1">
      <alignment horizontal="center" vertical="center" wrapText="1"/>
    </xf>
    <xf numFmtId="0" fontId="8" fillId="0" borderId="13" xfId="3" applyNumberFormat="1" applyFont="1" applyBorder="1" applyAlignment="1">
      <alignment horizontal="left" vertical="center"/>
    </xf>
    <xf numFmtId="0" fontId="8" fillId="0" borderId="12" xfId="3" applyNumberFormat="1" applyFont="1" applyBorder="1" applyAlignment="1">
      <alignment horizontal="left" vertical="center"/>
    </xf>
    <xf numFmtId="1" fontId="3" fillId="5" borderId="18" xfId="0" quotePrefix="1" applyNumberFormat="1" applyFont="1" applyFill="1" applyBorder="1" applyAlignment="1">
      <alignment horizontal="center" vertical="center"/>
    </xf>
    <xf numFmtId="1" fontId="3" fillId="5" borderId="33" xfId="0" quotePrefix="1" applyNumberFormat="1" applyFont="1" applyFill="1" applyBorder="1" applyAlignment="1">
      <alignment horizontal="center" vertical="center"/>
    </xf>
    <xf numFmtId="1" fontId="3" fillId="5" borderId="20" xfId="0" quotePrefix="1" applyNumberFormat="1" applyFont="1" applyFill="1" applyBorder="1" applyAlignment="1">
      <alignment horizontal="center" vertical="center"/>
    </xf>
    <xf numFmtId="0" fontId="8" fillId="4" borderId="13" xfId="3" applyNumberFormat="1" applyFont="1" applyFill="1" applyBorder="1" applyAlignment="1">
      <alignment horizontal="left" vertical="center" wrapText="1"/>
    </xf>
    <xf numFmtId="0" fontId="8" fillId="4" borderId="12" xfId="3" applyNumberFormat="1" applyFont="1" applyFill="1" applyBorder="1" applyAlignment="1">
      <alignment horizontal="left" vertical="center" wrapText="1"/>
    </xf>
    <xf numFmtId="0" fontId="8" fillId="0" borderId="1" xfId="3" applyNumberFormat="1" applyFont="1" applyBorder="1" applyAlignment="1">
      <alignment horizontal="left" vertical="center" wrapText="1"/>
    </xf>
    <xf numFmtId="0" fontId="8" fillId="0" borderId="4" xfId="3" applyNumberFormat="1" applyFont="1" applyBorder="1" applyAlignment="1">
      <alignment horizontal="left" vertical="center" wrapText="1"/>
    </xf>
    <xf numFmtId="0" fontId="8" fillId="0" borderId="6" xfId="3" applyNumberFormat="1" applyFont="1" applyBorder="1" applyAlignment="1">
      <alignment horizontal="left" vertical="center" wrapText="1"/>
    </xf>
    <xf numFmtId="4" fontId="9" fillId="4" borderId="15" xfId="0" applyNumberFormat="1" applyFont="1" applyFill="1" applyBorder="1" applyAlignment="1">
      <alignment horizontal="right" vertical="center"/>
    </xf>
    <xf numFmtId="4" fontId="9" fillId="4" borderId="17" xfId="0" applyNumberFormat="1" applyFont="1" applyFill="1" applyBorder="1" applyAlignment="1">
      <alignment horizontal="right" vertical="center"/>
    </xf>
    <xf numFmtId="0" fontId="8" fillId="0" borderId="55" xfId="3" applyNumberFormat="1" applyFont="1" applyBorder="1" applyAlignment="1">
      <alignment horizontal="left" vertical="center"/>
    </xf>
    <xf numFmtId="0" fontId="8" fillId="0" borderId="56" xfId="3" applyNumberFormat="1" applyFont="1" applyBorder="1" applyAlignment="1">
      <alignment horizontal="left" vertical="center"/>
    </xf>
    <xf numFmtId="4" fontId="9" fillId="4" borderId="16" xfId="0" applyNumberFormat="1" applyFont="1" applyFill="1" applyBorder="1" applyAlignment="1">
      <alignment horizontal="right" vertical="center"/>
    </xf>
    <xf numFmtId="0" fontId="8" fillId="0" borderId="9" xfId="3" applyNumberFormat="1" applyFont="1" applyBorder="1" applyAlignment="1">
      <alignment horizontal="left" vertical="center"/>
    </xf>
    <xf numFmtId="0" fontId="8" fillId="0" borderId="50" xfId="3" applyNumberFormat="1" applyFont="1" applyBorder="1" applyAlignment="1">
      <alignment horizontal="left" vertical="center" wrapText="1"/>
    </xf>
    <xf numFmtId="0" fontId="8" fillId="0" borderId="51" xfId="3" applyNumberFormat="1" applyFont="1" applyBorder="1" applyAlignment="1">
      <alignment horizontal="left" vertical="center" wrapText="1"/>
    </xf>
    <xf numFmtId="0" fontId="8" fillId="0" borderId="42" xfId="3" applyNumberFormat="1" applyFont="1" applyBorder="1" applyAlignment="1">
      <alignment horizontal="left" vertical="center" wrapText="1"/>
    </xf>
    <xf numFmtId="0" fontId="8" fillId="0" borderId="43" xfId="3" applyNumberFormat="1" applyFont="1" applyBorder="1" applyAlignment="1">
      <alignment horizontal="left" vertical="center" wrapText="1"/>
    </xf>
    <xf numFmtId="0" fontId="8" fillId="0" borderId="46" xfId="3" applyNumberFormat="1" applyFont="1" applyBorder="1" applyAlignment="1">
      <alignment horizontal="left" vertical="center" wrapText="1"/>
    </xf>
    <xf numFmtId="0" fontId="8" fillId="0" borderId="47" xfId="3" applyNumberFormat="1" applyFont="1" applyBorder="1" applyAlignment="1">
      <alignment horizontal="left" vertical="center" wrapText="1"/>
    </xf>
    <xf numFmtId="0" fontId="3" fillId="4" borderId="19" xfId="0" applyFont="1" applyFill="1" applyBorder="1" applyAlignment="1">
      <alignment horizontal="center" vertical="center" wrapText="1"/>
    </xf>
    <xf numFmtId="0" fontId="3" fillId="4" borderId="39" xfId="0" applyFont="1" applyFill="1" applyBorder="1" applyAlignment="1">
      <alignment horizontal="center" vertical="center" wrapText="1"/>
    </xf>
    <xf numFmtId="0" fontId="3" fillId="4" borderId="21" xfId="0" applyFont="1" applyFill="1" applyBorder="1" applyAlignment="1">
      <alignment horizontal="center" vertical="center" wrapText="1"/>
    </xf>
    <xf numFmtId="0" fontId="7" fillId="4" borderId="15" xfId="0" applyFont="1" applyFill="1" applyBorder="1" applyAlignment="1">
      <alignment horizontal="left" vertical="center" wrapText="1"/>
    </xf>
    <xf numFmtId="0" fontId="7" fillId="4" borderId="17" xfId="0" applyFont="1" applyFill="1" applyBorder="1" applyAlignment="1">
      <alignment horizontal="left" vertical="center" wrapText="1"/>
    </xf>
    <xf numFmtId="0" fontId="7" fillId="4" borderId="16" xfId="0" applyFont="1" applyFill="1" applyBorder="1" applyAlignment="1">
      <alignment horizontal="left" vertical="center" wrapText="1"/>
    </xf>
    <xf numFmtId="0" fontId="8" fillId="0" borderId="1" xfId="3" applyNumberFormat="1" applyFont="1" applyBorder="1" applyAlignment="1">
      <alignment horizontal="left" vertical="center"/>
    </xf>
    <xf numFmtId="0" fontId="8" fillId="0" borderId="3" xfId="3" applyNumberFormat="1" applyFont="1" applyBorder="1" applyAlignment="1">
      <alignment horizontal="left" vertical="center"/>
    </xf>
    <xf numFmtId="0" fontId="7" fillId="4" borderId="1" xfId="0" applyFont="1" applyFill="1" applyBorder="1" applyAlignment="1">
      <alignment vertical="center" wrapText="1"/>
    </xf>
    <xf numFmtId="0" fontId="7" fillId="4" borderId="4" xfId="0" applyFont="1" applyFill="1" applyBorder="1" applyAlignment="1">
      <alignment vertical="center" wrapText="1"/>
    </xf>
    <xf numFmtId="0" fontId="7" fillId="4" borderId="6" xfId="0" applyFont="1" applyFill="1" applyBorder="1" applyAlignment="1">
      <alignment vertical="center" wrapText="1"/>
    </xf>
    <xf numFmtId="0" fontId="8" fillId="0" borderId="53" xfId="3" applyNumberFormat="1" applyFont="1" applyBorder="1" applyAlignment="1">
      <alignment horizontal="left" vertical="center"/>
    </xf>
    <xf numFmtId="0" fontId="8" fillId="0" borderId="54" xfId="3" applyNumberFormat="1" applyFont="1" applyBorder="1" applyAlignment="1">
      <alignment horizontal="left" vertical="center"/>
    </xf>
    <xf numFmtId="0" fontId="26" fillId="0" borderId="0" xfId="0" applyFont="1" applyAlignment="1">
      <alignment horizontal="center" vertical="center"/>
    </xf>
    <xf numFmtId="4" fontId="5" fillId="2" borderId="66" xfId="0" applyNumberFormat="1" applyFont="1" applyFill="1" applyBorder="1" applyAlignment="1">
      <alignment horizontal="center" vertical="center" wrapText="1"/>
    </xf>
    <xf numFmtId="4" fontId="5" fillId="2" borderId="39" xfId="0" applyNumberFormat="1" applyFont="1" applyFill="1" applyBorder="1" applyAlignment="1">
      <alignment horizontal="center" vertical="center" wrapText="1"/>
    </xf>
    <xf numFmtId="4" fontId="5" fillId="2" borderId="21" xfId="0" applyNumberFormat="1" applyFont="1" applyFill="1" applyBorder="1" applyAlignment="1">
      <alignment horizontal="center" vertical="center" wrapText="1"/>
    </xf>
    <xf numFmtId="0" fontId="5" fillId="2" borderId="66" xfId="0" applyFont="1" applyFill="1" applyBorder="1" applyAlignment="1">
      <alignment horizontal="center" vertical="center" wrapText="1"/>
    </xf>
    <xf numFmtId="0" fontId="5" fillId="2" borderId="39"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2" fillId="4" borderId="19" xfId="0" quotePrefix="1" applyFont="1" applyFill="1" applyBorder="1" applyAlignment="1">
      <alignment horizontal="center" vertical="center" wrapText="1"/>
    </xf>
    <xf numFmtId="0" fontId="2" fillId="4" borderId="21" xfId="0" quotePrefix="1" applyFont="1" applyFill="1" applyBorder="1" applyAlignment="1">
      <alignment horizontal="center" vertical="center" wrapText="1"/>
    </xf>
    <xf numFmtId="0" fontId="13" fillId="4" borderId="19" xfId="0" applyFont="1" applyFill="1" applyBorder="1" applyAlignment="1">
      <alignment horizontal="center" vertical="center" wrapText="1"/>
    </xf>
    <xf numFmtId="0" fontId="13" fillId="4" borderId="21" xfId="0" applyFont="1" applyFill="1" applyBorder="1" applyAlignment="1">
      <alignment horizontal="center" vertical="center" wrapText="1"/>
    </xf>
    <xf numFmtId="4" fontId="5" fillId="2" borderId="19" xfId="0" applyNumberFormat="1" applyFont="1" applyFill="1" applyBorder="1" applyAlignment="1">
      <alignment horizontal="center" vertical="center" wrapText="1"/>
    </xf>
    <xf numFmtId="0" fontId="7" fillId="4" borderId="50" xfId="0" applyFont="1" applyFill="1" applyBorder="1" applyAlignment="1">
      <alignment horizontal="left" vertical="center" wrapText="1"/>
    </xf>
    <xf numFmtId="0" fontId="7" fillId="4" borderId="51" xfId="0" applyFont="1" applyFill="1" applyBorder="1" applyAlignment="1">
      <alignment horizontal="left" vertical="center" wrapText="1"/>
    </xf>
    <xf numFmtId="0" fontId="7" fillId="4" borderId="42" xfId="0" applyFont="1" applyFill="1" applyBorder="1" applyAlignment="1">
      <alignment horizontal="left" vertical="center" wrapText="1"/>
    </xf>
    <xf numFmtId="0" fontId="7" fillId="4" borderId="43" xfId="0" applyFont="1" applyFill="1" applyBorder="1" applyAlignment="1">
      <alignment horizontal="left" vertical="center" wrapText="1"/>
    </xf>
    <xf numFmtId="0" fontId="2" fillId="4" borderId="39" xfId="0" quotePrefix="1" applyFont="1" applyFill="1" applyBorder="1" applyAlignment="1">
      <alignment horizontal="center" vertical="center" wrapText="1"/>
    </xf>
    <xf numFmtId="0" fontId="13" fillId="4" borderId="39" xfId="0" applyFont="1" applyFill="1" applyBorder="1" applyAlignment="1">
      <alignment horizontal="center" vertical="center" wrapText="1"/>
    </xf>
    <xf numFmtId="0" fontId="13" fillId="4" borderId="63" xfId="0" applyFont="1" applyFill="1" applyBorder="1" applyAlignment="1">
      <alignment horizontal="center" vertical="center" wrapText="1"/>
    </xf>
    <xf numFmtId="0" fontId="7" fillId="4" borderId="46" xfId="0" applyFont="1" applyFill="1" applyBorder="1" applyAlignment="1">
      <alignment horizontal="left" vertical="center" wrapText="1"/>
    </xf>
    <xf numFmtId="0" fontId="7" fillId="4" borderId="47" xfId="0" applyFont="1" applyFill="1" applyBorder="1" applyAlignment="1">
      <alignment horizontal="left" vertical="center" wrapText="1"/>
    </xf>
    <xf numFmtId="4" fontId="9" fillId="2" borderId="19" xfId="0" applyNumberFormat="1" applyFont="1" applyFill="1" applyBorder="1" applyAlignment="1">
      <alignment horizontal="center" vertical="center" wrapText="1"/>
    </xf>
    <xf numFmtId="4" fontId="9" fillId="2" borderId="63" xfId="0" applyNumberFormat="1" applyFont="1" applyFill="1" applyBorder="1" applyAlignment="1">
      <alignment horizontal="center" vertical="center" wrapText="1"/>
    </xf>
    <xf numFmtId="0" fontId="13" fillId="4" borderId="64" xfId="0" applyFont="1" applyFill="1" applyBorder="1" applyAlignment="1">
      <alignment horizontal="center" vertical="center" wrapText="1"/>
    </xf>
    <xf numFmtId="4" fontId="9" fillId="2" borderId="39" xfId="0" applyNumberFormat="1" applyFont="1" applyFill="1" applyBorder="1" applyAlignment="1">
      <alignment horizontal="center" vertical="center" wrapText="1"/>
    </xf>
    <xf numFmtId="4" fontId="9" fillId="2" borderId="21" xfId="0" applyNumberFormat="1" applyFont="1" applyFill="1" applyBorder="1" applyAlignment="1">
      <alignment horizontal="center" vertical="center" wrapText="1"/>
    </xf>
    <xf numFmtId="4" fontId="3" fillId="2" borderId="19" xfId="0" applyNumberFormat="1" applyFont="1" applyFill="1" applyBorder="1" applyAlignment="1">
      <alignment horizontal="center" vertical="center" wrapText="1"/>
    </xf>
    <xf numFmtId="4" fontId="3" fillId="2" borderId="21" xfId="0" applyNumberFormat="1" applyFont="1" applyFill="1" applyBorder="1" applyAlignment="1">
      <alignment horizontal="center" vertical="center" wrapText="1"/>
    </xf>
    <xf numFmtId="4" fontId="3" fillId="2" borderId="39" xfId="0" applyNumberFormat="1" applyFont="1" applyFill="1" applyBorder="1" applyAlignment="1">
      <alignment horizontal="center" vertical="center" wrapText="1"/>
    </xf>
    <xf numFmtId="0" fontId="9" fillId="2" borderId="19" xfId="0" applyFont="1" applyFill="1" applyBorder="1" applyAlignment="1">
      <alignment horizontal="center" vertical="center" wrapText="1"/>
    </xf>
    <xf numFmtId="0" fontId="9" fillId="2" borderId="39" xfId="0" applyFont="1" applyFill="1" applyBorder="1" applyAlignment="1">
      <alignment horizontal="center" vertical="center" wrapText="1"/>
    </xf>
    <xf numFmtId="0" fontId="9" fillId="2" borderId="21"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24" fillId="4" borderId="19" xfId="0" quotePrefix="1" applyFont="1" applyFill="1" applyBorder="1" applyAlignment="1">
      <alignment horizontal="center" vertical="center" wrapText="1"/>
    </xf>
    <xf numFmtId="0" fontId="24" fillId="4" borderId="39" xfId="0" quotePrefix="1" applyFont="1" applyFill="1" applyBorder="1" applyAlignment="1">
      <alignment horizontal="center" vertical="center" wrapText="1"/>
    </xf>
    <xf numFmtId="0" fontId="24" fillId="4" borderId="21" xfId="0" quotePrefix="1" applyFont="1" applyFill="1" applyBorder="1" applyAlignment="1">
      <alignment horizontal="center" vertical="center" wrapText="1"/>
    </xf>
    <xf numFmtId="0" fontId="5" fillId="2" borderId="63" xfId="0" applyFont="1" applyFill="1" applyBorder="1" applyAlignment="1">
      <alignment horizontal="center" vertical="center" wrapText="1"/>
    </xf>
    <xf numFmtId="0" fontId="9" fillId="2" borderId="64" xfId="0" applyFont="1" applyFill="1" applyBorder="1" applyAlignment="1">
      <alignment horizontal="center" vertical="center" wrapText="1"/>
    </xf>
    <xf numFmtId="0" fontId="24" fillId="4" borderId="19" xfId="0" applyFont="1" applyFill="1" applyBorder="1" applyAlignment="1">
      <alignment horizontal="center" vertical="center" wrapText="1"/>
    </xf>
    <xf numFmtId="0" fontId="24" fillId="4" borderId="39" xfId="0" applyFont="1" applyFill="1" applyBorder="1" applyAlignment="1">
      <alignment horizontal="center" vertical="center" wrapText="1"/>
    </xf>
    <xf numFmtId="0" fontId="24" fillId="4" borderId="21" xfId="0" applyFont="1" applyFill="1" applyBorder="1" applyAlignment="1">
      <alignment horizontal="center" vertical="center" wrapText="1"/>
    </xf>
    <xf numFmtId="0" fontId="3" fillId="4" borderId="39" xfId="0" quotePrefix="1" applyFont="1" applyFill="1" applyBorder="1" applyAlignment="1">
      <alignment horizontal="center" vertical="center" wrapText="1"/>
    </xf>
    <xf numFmtId="0" fontId="3" fillId="4" borderId="21" xfId="0" quotePrefix="1"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5" xfId="0" applyFont="1" applyFill="1" applyBorder="1" applyAlignment="1">
      <alignment horizontal="center" vertical="center" wrapText="1"/>
    </xf>
    <xf numFmtId="0" fontId="22" fillId="2" borderId="1" xfId="0" applyFont="1" applyFill="1" applyBorder="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8" xfId="0" applyFont="1" applyFill="1" applyBorder="1" applyAlignment="1">
      <alignment horizontal="center" vertical="center"/>
    </xf>
    <xf numFmtId="0" fontId="22" fillId="2" borderId="19" xfId="0" applyFont="1" applyFill="1" applyBorder="1" applyAlignment="1">
      <alignment horizontal="center" vertical="center" wrapText="1"/>
    </xf>
    <xf numFmtId="0" fontId="22" fillId="2" borderId="67" xfId="0" applyFont="1" applyFill="1" applyBorder="1" applyAlignment="1">
      <alignment horizontal="center" vertical="center" wrapText="1"/>
    </xf>
    <xf numFmtId="0" fontId="22" fillId="2" borderId="19" xfId="0" applyFont="1" applyFill="1" applyBorder="1" applyAlignment="1">
      <alignment horizontal="center" vertical="center"/>
    </xf>
    <xf numFmtId="0" fontId="22" fillId="2" borderId="67" xfId="0" applyFont="1" applyFill="1" applyBorder="1" applyAlignment="1">
      <alignment horizontal="center" vertical="center"/>
    </xf>
    <xf numFmtId="0" fontId="4" fillId="2" borderId="19" xfId="0" applyFont="1" applyFill="1" applyBorder="1" applyAlignment="1">
      <alignment horizontal="center" vertical="center" wrapText="1"/>
    </xf>
    <xf numFmtId="0" fontId="4" fillId="2" borderId="67"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39" xfId="0" applyFont="1" applyFill="1" applyBorder="1" applyAlignment="1">
      <alignment horizontal="center" vertical="center"/>
    </xf>
    <xf numFmtId="0" fontId="4" fillId="2" borderId="67"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39" xfId="0" applyFont="1" applyFill="1" applyBorder="1" applyAlignment="1">
      <alignment horizontal="center" vertical="center" wrapText="1"/>
    </xf>
    <xf numFmtId="0" fontId="4" fillId="8" borderId="10" xfId="0" applyFont="1" applyFill="1" applyBorder="1" applyAlignment="1">
      <alignment horizontal="center" vertical="center"/>
    </xf>
    <xf numFmtId="0" fontId="4" fillId="8" borderId="68" xfId="0" applyFont="1" applyFill="1" applyBorder="1" applyAlignment="1">
      <alignment horizontal="center" vertical="center"/>
    </xf>
    <xf numFmtId="0" fontId="4" fillId="8" borderId="69" xfId="0" applyFont="1" applyFill="1" applyBorder="1" applyAlignment="1">
      <alignment horizontal="center" vertical="center" wrapText="1"/>
    </xf>
    <xf numFmtId="0" fontId="4" fillId="8" borderId="72" xfId="0" applyFont="1" applyFill="1" applyBorder="1" applyAlignment="1">
      <alignment horizontal="center" vertical="center" wrapText="1"/>
    </xf>
    <xf numFmtId="0" fontId="4" fillId="8" borderId="69" xfId="0" applyFont="1" applyFill="1" applyBorder="1" applyAlignment="1">
      <alignment horizontal="center" vertical="center"/>
    </xf>
    <xf numFmtId="0" fontId="4" fillId="8" borderId="72" xfId="0" applyFont="1" applyFill="1" applyBorder="1" applyAlignment="1">
      <alignment horizontal="center" vertical="center"/>
    </xf>
    <xf numFmtId="0" fontId="4" fillId="8" borderId="18" xfId="0" applyFont="1" applyFill="1" applyBorder="1" applyAlignment="1">
      <alignment horizontal="center" vertical="center"/>
    </xf>
    <xf numFmtId="0" fontId="4" fillId="8" borderId="73" xfId="0" applyFont="1" applyFill="1" applyBorder="1" applyAlignment="1">
      <alignment horizontal="center" vertical="center"/>
    </xf>
    <xf numFmtId="0" fontId="26" fillId="2" borderId="34" xfId="0" applyFont="1" applyFill="1" applyBorder="1" applyAlignment="1">
      <alignment horizontal="center" vertical="center" wrapText="1"/>
    </xf>
    <xf numFmtId="0" fontId="26" fillId="2" borderId="36" xfId="0" applyFont="1" applyFill="1" applyBorder="1" applyAlignment="1">
      <alignment horizontal="center" vertical="center" wrapText="1"/>
    </xf>
    <xf numFmtId="0" fontId="26" fillId="2" borderId="4" xfId="0" applyFont="1" applyFill="1" applyBorder="1" applyAlignment="1">
      <alignment horizontal="center" vertical="center" wrapText="1"/>
    </xf>
    <xf numFmtId="0" fontId="26" fillId="2" borderId="5" xfId="0" applyFont="1" applyFill="1" applyBorder="1" applyAlignment="1">
      <alignment horizontal="center" vertical="center" wrapText="1"/>
    </xf>
    <xf numFmtId="0" fontId="26" fillId="2" borderId="37" xfId="0" applyFont="1" applyFill="1" applyBorder="1" applyAlignment="1">
      <alignment horizontal="center" vertical="center" wrapText="1"/>
    </xf>
    <xf numFmtId="0" fontId="26" fillId="2" borderId="62"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2" fillId="2" borderId="62" xfId="0" applyFont="1" applyFill="1" applyBorder="1" applyAlignment="1">
      <alignment horizontal="center" vertical="center" wrapText="1"/>
    </xf>
    <xf numFmtId="0" fontId="2" fillId="2" borderId="34" xfId="0" applyFont="1" applyFill="1" applyBorder="1" applyAlignment="1">
      <alignment horizontal="center" vertical="center"/>
    </xf>
    <xf numFmtId="0" fontId="2" fillId="2" borderId="36"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37" xfId="0" applyFont="1" applyFill="1" applyBorder="1" applyAlignment="1">
      <alignment horizontal="center" vertical="center"/>
    </xf>
    <xf numFmtId="0" fontId="2" fillId="2" borderId="62"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66" xfId="0" applyFont="1" applyFill="1" applyBorder="1" applyAlignment="1">
      <alignment horizontal="center" vertical="center"/>
    </xf>
    <xf numFmtId="0" fontId="2" fillId="2" borderId="39" xfId="0" applyFont="1" applyFill="1" applyBorder="1" applyAlignment="1">
      <alignment horizontal="center" vertical="center"/>
    </xf>
    <xf numFmtId="0" fontId="2" fillId="2" borderId="67" xfId="0" applyFont="1" applyFill="1" applyBorder="1" applyAlignment="1">
      <alignment horizontal="center" vertical="center"/>
    </xf>
    <xf numFmtId="0" fontId="2" fillId="2" borderId="19" xfId="0" applyFont="1" applyFill="1" applyBorder="1" applyAlignment="1">
      <alignment horizontal="center" vertical="center"/>
    </xf>
  </cellXfs>
  <cellStyles count="8">
    <cellStyle name="Binlik Ayracı 2 2" xfId="6" xr:uid="{A861DC07-6D77-4340-9897-496B8A00A5CB}"/>
    <cellStyle name="Excel Built-in Comma" xfId="7" xr:uid="{EF5B1193-CE37-4C7A-A9F8-67370252F9F0}"/>
    <cellStyle name="Normal" xfId="0" builtinId="0"/>
    <cellStyle name="Normal 2" xfId="2" xr:uid="{06579DC5-17C6-4CB7-9299-499698B45106}"/>
    <cellStyle name="Normal 2_bütçe2_20110119" xfId="3" xr:uid="{A0566F1B-0351-48E4-A13A-108DF1B7D064}"/>
    <cellStyle name="Normal 363" xfId="4" xr:uid="{A7862796-D3DC-457A-BF9C-AAA8BC13792B}"/>
    <cellStyle name="Virgül" xfId="5" builtinId="3"/>
    <cellStyle name="Yüzd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0</xdr:rowOff>
    </xdr:from>
    <xdr:to>
      <xdr:col>1</xdr:col>
      <xdr:colOff>410483</xdr:colOff>
      <xdr:row>0</xdr:row>
      <xdr:rowOff>492040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349375" cy="492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0</xdr:row>
      <xdr:rowOff>1</xdr:rowOff>
    </xdr:from>
    <xdr:to>
      <xdr:col>1</xdr:col>
      <xdr:colOff>410483</xdr:colOff>
      <xdr:row>0</xdr:row>
      <xdr:rowOff>438151</xdr:rowOff>
    </xdr:to>
    <xdr:pic>
      <xdr:nvPicPr>
        <xdr:cNvPr id="3" name="Picture 2">
          <a:extLst>
            <a:ext uri="{FF2B5EF4-FFF2-40B4-BE49-F238E27FC236}">
              <a16:creationId xmlns:a16="http://schemas.microsoft.com/office/drawing/2014/main" id="{E8DC57AA-4A74-4874-86AB-0F064321E0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1"/>
          <a:ext cx="1353458" cy="4381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0</xdr:rowOff>
    </xdr:from>
    <xdr:to>
      <xdr:col>1</xdr:col>
      <xdr:colOff>410483</xdr:colOff>
      <xdr:row>0</xdr:row>
      <xdr:rowOff>409575</xdr:rowOff>
    </xdr:to>
    <xdr:pic>
      <xdr:nvPicPr>
        <xdr:cNvPr id="2" name="Picture 1">
          <a:extLst>
            <a:ext uri="{FF2B5EF4-FFF2-40B4-BE49-F238E27FC236}">
              <a16:creationId xmlns:a16="http://schemas.microsoft.com/office/drawing/2014/main" id="{01D8991F-8A22-4F79-9667-B1F55C33E4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0"/>
          <a:ext cx="1353458" cy="409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0</xdr:row>
      <xdr:rowOff>1</xdr:rowOff>
    </xdr:from>
    <xdr:to>
      <xdr:col>1</xdr:col>
      <xdr:colOff>410483</xdr:colOff>
      <xdr:row>0</xdr:row>
      <xdr:rowOff>449037</xdr:rowOff>
    </xdr:to>
    <xdr:pic>
      <xdr:nvPicPr>
        <xdr:cNvPr id="2" name="Picture 1">
          <a:extLst>
            <a:ext uri="{FF2B5EF4-FFF2-40B4-BE49-F238E27FC236}">
              <a16:creationId xmlns:a16="http://schemas.microsoft.com/office/drawing/2014/main" id="{65CBE498-AECB-4D26-AAA8-49824AC998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1"/>
          <a:ext cx="1356179" cy="4490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0</xdr:row>
      <xdr:rowOff>2</xdr:rowOff>
    </xdr:from>
    <xdr:to>
      <xdr:col>1</xdr:col>
      <xdr:colOff>410483</xdr:colOff>
      <xdr:row>0</xdr:row>
      <xdr:rowOff>409576</xdr:rowOff>
    </xdr:to>
    <xdr:pic>
      <xdr:nvPicPr>
        <xdr:cNvPr id="2" name="Picture 1">
          <a:extLst>
            <a:ext uri="{FF2B5EF4-FFF2-40B4-BE49-F238E27FC236}">
              <a16:creationId xmlns:a16="http://schemas.microsoft.com/office/drawing/2014/main" id="{FC123EB2-6E2E-4660-80A9-6C7021D858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2"/>
          <a:ext cx="1353458" cy="4095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3</xdr:rowOff>
    </xdr:from>
    <xdr:to>
      <xdr:col>1</xdr:col>
      <xdr:colOff>410483</xdr:colOff>
      <xdr:row>0</xdr:row>
      <xdr:rowOff>400051</xdr:rowOff>
    </xdr:to>
    <xdr:pic>
      <xdr:nvPicPr>
        <xdr:cNvPr id="2" name="Picture 1">
          <a:extLst>
            <a:ext uri="{FF2B5EF4-FFF2-40B4-BE49-F238E27FC236}">
              <a16:creationId xmlns:a16="http://schemas.microsoft.com/office/drawing/2014/main" id="{44C9183D-B0B6-40E1-BFF5-C7FD7B6906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3"/>
          <a:ext cx="1353458" cy="4000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61C0A-5BE4-41F7-ACCC-6189D771F43A}">
  <sheetPr>
    <tabColor rgb="FF0070C0"/>
    <pageSetUpPr fitToPage="1"/>
  </sheetPr>
  <dimension ref="B2:I15"/>
  <sheetViews>
    <sheetView workbookViewId="0">
      <selection activeCell="B13" sqref="B13:H13"/>
    </sheetView>
  </sheetViews>
  <sheetFormatPr defaultRowHeight="14.25" x14ac:dyDescent="0.25"/>
  <cols>
    <col min="1" max="1" width="2.5703125" style="15" customWidth="1"/>
    <col min="2" max="2" width="9.140625" style="15"/>
    <col min="3" max="3" width="51" style="15" customWidth="1"/>
    <col min="4" max="4" width="30" style="15" customWidth="1"/>
    <col min="5" max="5" width="20" style="15" hidden="1" customWidth="1"/>
    <col min="6" max="6" width="30" style="15" customWidth="1"/>
    <col min="7" max="7" width="20" style="15" hidden="1" customWidth="1"/>
    <col min="8" max="8" width="30" style="15" customWidth="1"/>
    <col min="9" max="16384" width="9.140625" style="15"/>
  </cols>
  <sheetData>
    <row r="2" spans="2:9" ht="18.75" customHeight="1" x14ac:dyDescent="0.25">
      <c r="B2" s="240">
        <v>45999</v>
      </c>
      <c r="C2" s="241"/>
      <c r="D2" s="245" t="s">
        <v>9</v>
      </c>
      <c r="E2" s="246"/>
      <c r="F2" s="246"/>
      <c r="G2" s="246"/>
      <c r="H2" s="247"/>
    </row>
    <row r="3" spans="2:9" ht="120" customHeight="1" x14ac:dyDescent="0.25">
      <c r="B3" s="243" t="s">
        <v>2302</v>
      </c>
      <c r="C3" s="244"/>
      <c r="D3" s="248"/>
      <c r="E3" s="249"/>
      <c r="F3" s="249"/>
      <c r="G3" s="249"/>
      <c r="H3" s="250"/>
    </row>
    <row r="4" spans="2:9" ht="47.25" customHeight="1" x14ac:dyDescent="0.25">
      <c r="B4" s="16" t="s">
        <v>2290</v>
      </c>
      <c r="C4" s="5" t="s">
        <v>2291</v>
      </c>
      <c r="D4" s="238" t="s">
        <v>2292</v>
      </c>
      <c r="E4" s="239"/>
      <c r="F4" s="237" t="s">
        <v>2293</v>
      </c>
      <c r="G4" s="237"/>
      <c r="H4" s="17" t="s">
        <v>2294</v>
      </c>
    </row>
    <row r="5" spans="2:9" ht="23.25" customHeight="1" x14ac:dyDescent="0.25">
      <c r="B5" s="18">
        <v>1</v>
      </c>
      <c r="C5" s="19" t="s">
        <v>2295</v>
      </c>
      <c r="D5" s="233" cm="1">
        <f t="array" ref="D5:E5">+'İnşai işler BİNA'!L221:M221</f>
        <v>0</v>
      </c>
      <c r="E5" s="233">
        <v>0</v>
      </c>
      <c r="F5" s="233" cm="1">
        <f t="array" ref="F5:G5">+'İnşai işler BİNA'!L222:M222</f>
        <v>0</v>
      </c>
      <c r="G5" s="233">
        <v>0</v>
      </c>
      <c r="H5" s="233">
        <f>+D5+F5</f>
        <v>0</v>
      </c>
    </row>
    <row r="6" spans="2:9" ht="23.25" customHeight="1" x14ac:dyDescent="0.25">
      <c r="B6" s="18">
        <v>2</v>
      </c>
      <c r="C6" s="19" t="s">
        <v>2296</v>
      </c>
      <c r="D6" s="233" cm="1">
        <f t="array" ref="D6:E6">+'İnşai işler SAHA'!L61:M61</f>
        <v>0</v>
      </c>
      <c r="E6" s="233">
        <v>0</v>
      </c>
      <c r="F6" s="233" cm="1">
        <f t="array" ref="F6:G6">+'İnşai işler SAHA'!L62:M62</f>
        <v>0</v>
      </c>
      <c r="G6" s="233">
        <v>0</v>
      </c>
      <c r="H6" s="233">
        <f t="shared" ref="H6:H8" si="0">+D6+F6</f>
        <v>0</v>
      </c>
    </row>
    <row r="7" spans="2:9" ht="23.25" customHeight="1" x14ac:dyDescent="0.25">
      <c r="B7" s="18">
        <v>3</v>
      </c>
      <c r="C7" s="19" t="s">
        <v>417</v>
      </c>
      <c r="D7" s="233">
        <f>+Mekanik!L654</f>
        <v>48228317.196500003</v>
      </c>
      <c r="E7" s="233"/>
      <c r="F7" s="233">
        <f>+Mekanik!L655</f>
        <v>13460587.725000001</v>
      </c>
      <c r="G7" s="233"/>
      <c r="H7" s="233">
        <f t="shared" si="0"/>
        <v>61688904.921500005</v>
      </c>
    </row>
    <row r="8" spans="2:9" ht="23.25" customHeight="1" x14ac:dyDescent="0.25">
      <c r="B8" s="18">
        <v>4</v>
      </c>
      <c r="C8" s="19" t="s">
        <v>1072</v>
      </c>
      <c r="D8" s="233">
        <f>+Elektrik!AT712</f>
        <v>0</v>
      </c>
      <c r="E8" s="233"/>
      <c r="F8" s="233">
        <f>+Elektrik!AT713</f>
        <v>0</v>
      </c>
      <c r="G8" s="233"/>
      <c r="H8" s="233">
        <f t="shared" si="0"/>
        <v>0</v>
      </c>
    </row>
    <row r="9" spans="2:9" ht="23.25" customHeight="1" x14ac:dyDescent="0.25">
      <c r="B9" s="18">
        <v>5</v>
      </c>
      <c r="C9" s="19" t="s">
        <v>2446</v>
      </c>
      <c r="D9" s="233" cm="1">
        <f t="array" ref="D9:E9">+'Enerji temini'!L7:M7</f>
        <v>0</v>
      </c>
      <c r="E9" s="233">
        <v>0</v>
      </c>
      <c r="F9" s="233" cm="1">
        <f t="array" ref="F9:G9">+'Enerji temini'!L8:M8</f>
        <v>0</v>
      </c>
      <c r="G9" s="233">
        <v>0</v>
      </c>
      <c r="H9" s="233">
        <f t="shared" ref="H9" si="1">+D9+F9</f>
        <v>0</v>
      </c>
    </row>
    <row r="10" spans="2:9" ht="23.25" customHeight="1" x14ac:dyDescent="0.25">
      <c r="B10" s="18">
        <v>6</v>
      </c>
      <c r="C10" s="19" t="s">
        <v>2449</v>
      </c>
      <c r="D10" s="233">
        <f>+Asansör!L6</f>
        <v>0</v>
      </c>
      <c r="E10" s="233"/>
      <c r="F10" s="233">
        <f>+Asansör!L7</f>
        <v>0</v>
      </c>
      <c r="G10" s="233"/>
      <c r="H10" s="233">
        <f t="shared" ref="H10" si="2">+D10+F10</f>
        <v>0</v>
      </c>
    </row>
    <row r="11" spans="2:9" ht="49.5" customHeight="1" x14ac:dyDescent="0.25">
      <c r="D11" s="20">
        <f>+D5+D6+D7+D8+D9+D10</f>
        <v>48228317.196500003</v>
      </c>
      <c r="E11" s="20">
        <f>+E5+E6+E7+E8</f>
        <v>0</v>
      </c>
      <c r="F11" s="20">
        <f>+F5+F6+F7+F8+F9+F10</f>
        <v>13460587.725000001</v>
      </c>
      <c r="G11" s="20">
        <f>+G5+G6+G7+G8</f>
        <v>0</v>
      </c>
      <c r="H11" s="20">
        <f>+H5+H6+H7+H8+H9+H10</f>
        <v>61688904.921500005</v>
      </c>
    </row>
    <row r="13" spans="2:9" ht="118.5" customHeight="1" x14ac:dyDescent="0.25">
      <c r="B13" s="242" t="s">
        <v>2301</v>
      </c>
      <c r="C13" s="242"/>
      <c r="D13" s="242"/>
      <c r="E13" s="242"/>
      <c r="F13" s="242"/>
      <c r="G13" s="242"/>
      <c r="H13" s="242"/>
      <c r="I13" s="21"/>
    </row>
    <row r="14" spans="2:9" ht="18.75" customHeight="1" x14ac:dyDescent="0.25">
      <c r="B14" s="235" t="s">
        <v>2297</v>
      </c>
      <c r="C14" s="235"/>
      <c r="D14" s="235"/>
      <c r="E14" s="235"/>
      <c r="F14" s="235"/>
      <c r="G14" s="235"/>
      <c r="H14" s="235"/>
    </row>
    <row r="15" spans="2:9" ht="98.25" customHeight="1" x14ac:dyDescent="0.25">
      <c r="B15" s="236"/>
      <c r="C15" s="236"/>
      <c r="D15" s="236"/>
      <c r="E15" s="236"/>
      <c r="F15" s="236"/>
      <c r="G15" s="236"/>
      <c r="H15" s="236"/>
    </row>
  </sheetData>
  <sheetProtection algorithmName="SHA-512" hashValue="A5WkNmRCwU3b4RKh31d9y2kcEq+4eRWJntrqfbupEhDuvr99dlfjW26YeAi0sdMM7EYaKGKfCKTZgKJPvpJOwQ==" saltValue="6iuktpH3t+pFGcijoeVvpQ==" spinCount="100000" sheet="1" selectLockedCells="1"/>
  <mergeCells count="8">
    <mergeCell ref="B14:H14"/>
    <mergeCell ref="B15:H15"/>
    <mergeCell ref="F4:G4"/>
    <mergeCell ref="D4:E4"/>
    <mergeCell ref="B2:C2"/>
    <mergeCell ref="B13:H13"/>
    <mergeCell ref="B3:C3"/>
    <mergeCell ref="D2:H3"/>
  </mergeCells>
  <pageMargins left="0.70866141732283472" right="0.70866141732283472" top="0.74803149606299213" bottom="0.74803149606299213" header="0.31496062992125984" footer="0.31496062992125984"/>
  <pageSetup paperSize="9"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4"/>
  <sheetViews>
    <sheetView view="pageBreakPreview" zoomScale="60" zoomScaleNormal="70" workbookViewId="0">
      <selection activeCell="H34" sqref="H34"/>
    </sheetView>
  </sheetViews>
  <sheetFormatPr defaultRowHeight="12.75" x14ac:dyDescent="0.2"/>
  <cols>
    <col min="1" max="1" width="14.85546875" style="23" customWidth="1"/>
    <col min="2" max="2" width="9.7109375" style="23" customWidth="1"/>
    <col min="3" max="3" width="17.28515625" style="23" customWidth="1"/>
    <col min="4" max="5" width="34.42578125" style="23" customWidth="1"/>
    <col min="6" max="6" width="11.85546875" style="23" bestFit="1" customWidth="1"/>
    <col min="7" max="7" width="16.5703125" style="52" bestFit="1" customWidth="1"/>
    <col min="8" max="8" width="18.5703125" style="52" customWidth="1"/>
    <col min="9" max="9" width="24.28515625" style="52" customWidth="1" collapsed="1"/>
    <col min="10" max="10" width="18.5703125" style="52" customWidth="1"/>
    <col min="11" max="11" width="24.28515625" style="52" customWidth="1" collapsed="1"/>
    <col min="12" max="12" width="18.5703125" style="52" customWidth="1"/>
    <col min="13" max="13" width="24.28515625" style="52" customWidth="1"/>
    <col min="14" max="227" width="9.140625" style="23"/>
    <col min="228" max="229" width="54" style="23" customWidth="1"/>
    <col min="230" max="230" width="16.7109375" style="23" customWidth="1"/>
    <col min="231" max="231" width="11.85546875" style="23" bestFit="1" customWidth="1"/>
    <col min="232" max="232" width="9.85546875" style="23" bestFit="1" customWidth="1"/>
    <col min="233" max="233" width="10.5703125" style="23" bestFit="1" customWidth="1"/>
    <col min="234" max="236" width="13.42578125" style="23" customWidth="1"/>
    <col min="237" max="237" width="19.140625" style="23" customWidth="1"/>
    <col min="238" max="238" width="13.42578125" style="23" customWidth="1"/>
    <col min="239" max="239" width="19.85546875" style="23" customWidth="1"/>
    <col min="240" max="240" width="16" style="23" customWidth="1"/>
    <col min="241" max="241" width="24.28515625" style="23" customWidth="1"/>
    <col min="242" max="247" width="10.85546875" style="23" customWidth="1"/>
    <col min="248" max="248" width="16.28515625" style="23" bestFit="1" customWidth="1"/>
    <col min="249" max="249" width="12.140625" style="23" bestFit="1" customWidth="1"/>
    <col min="250" max="252" width="10.85546875" style="23" customWidth="1"/>
    <col min="253" max="253" width="9.28515625" style="23" bestFit="1" customWidth="1"/>
    <col min="254" max="483" width="9.140625" style="23"/>
    <col min="484" max="485" width="54" style="23" customWidth="1"/>
    <col min="486" max="486" width="16.7109375" style="23" customWidth="1"/>
    <col min="487" max="487" width="11.85546875" style="23" bestFit="1" customWidth="1"/>
    <col min="488" max="488" width="9.85546875" style="23" bestFit="1" customWidth="1"/>
    <col min="489" max="489" width="10.5703125" style="23" bestFit="1" customWidth="1"/>
    <col min="490" max="492" width="13.42578125" style="23" customWidth="1"/>
    <col min="493" max="493" width="19.140625" style="23" customWidth="1"/>
    <col min="494" max="494" width="13.42578125" style="23" customWidth="1"/>
    <col min="495" max="495" width="19.85546875" style="23" customWidth="1"/>
    <col min="496" max="496" width="16" style="23" customWidth="1"/>
    <col min="497" max="497" width="24.28515625" style="23" customWidth="1"/>
    <col min="498" max="503" width="10.85546875" style="23" customWidth="1"/>
    <col min="504" max="504" width="16.28515625" style="23" bestFit="1" customWidth="1"/>
    <col min="505" max="505" width="12.140625" style="23" bestFit="1" customWidth="1"/>
    <col min="506" max="508" width="10.85546875" style="23" customWidth="1"/>
    <col min="509" max="509" width="9.28515625" style="23" bestFit="1" customWidth="1"/>
    <col min="510" max="739" width="9.140625" style="23"/>
    <col min="740" max="741" width="54" style="23" customWidth="1"/>
    <col min="742" max="742" width="16.7109375" style="23" customWidth="1"/>
    <col min="743" max="743" width="11.85546875" style="23" bestFit="1" customWidth="1"/>
    <col min="744" max="744" width="9.85546875" style="23" bestFit="1" customWidth="1"/>
    <col min="745" max="745" width="10.5703125" style="23" bestFit="1" customWidth="1"/>
    <col min="746" max="748" width="13.42578125" style="23" customWidth="1"/>
    <col min="749" max="749" width="19.140625" style="23" customWidth="1"/>
    <col min="750" max="750" width="13.42578125" style="23" customWidth="1"/>
    <col min="751" max="751" width="19.85546875" style="23" customWidth="1"/>
    <col min="752" max="752" width="16" style="23" customWidth="1"/>
    <col min="753" max="753" width="24.28515625" style="23" customWidth="1"/>
    <col min="754" max="759" width="10.85546875" style="23" customWidth="1"/>
    <col min="760" max="760" width="16.28515625" style="23" bestFit="1" customWidth="1"/>
    <col min="761" max="761" width="12.140625" style="23" bestFit="1" customWidth="1"/>
    <col min="762" max="764" width="10.85546875" style="23" customWidth="1"/>
    <col min="765" max="765" width="9.28515625" style="23" bestFit="1" customWidth="1"/>
    <col min="766" max="995" width="9.140625" style="23"/>
    <col min="996" max="997" width="54" style="23" customWidth="1"/>
    <col min="998" max="998" width="16.7109375" style="23" customWidth="1"/>
    <col min="999" max="999" width="11.85546875" style="23" bestFit="1" customWidth="1"/>
    <col min="1000" max="1000" width="9.85546875" style="23" bestFit="1" customWidth="1"/>
    <col min="1001" max="1001" width="10.5703125" style="23" bestFit="1" customWidth="1"/>
    <col min="1002" max="1004" width="13.42578125" style="23" customWidth="1"/>
    <col min="1005" max="1005" width="19.140625" style="23" customWidth="1"/>
    <col min="1006" max="1006" width="13.42578125" style="23" customWidth="1"/>
    <col min="1007" max="1007" width="19.85546875" style="23" customWidth="1"/>
    <col min="1008" max="1008" width="16" style="23" customWidth="1"/>
    <col min="1009" max="1009" width="24.28515625" style="23" customWidth="1"/>
    <col min="1010" max="1015" width="10.85546875" style="23" customWidth="1"/>
    <col min="1016" max="1016" width="16.28515625" style="23" bestFit="1" customWidth="1"/>
    <col min="1017" max="1017" width="12.140625" style="23" bestFit="1" customWidth="1"/>
    <col min="1018" max="1020" width="10.85546875" style="23" customWidth="1"/>
    <col min="1021" max="1021" width="9.28515625" style="23" bestFit="1" customWidth="1"/>
    <col min="1022" max="1251" width="9.140625" style="23"/>
    <col min="1252" max="1253" width="54" style="23" customWidth="1"/>
    <col min="1254" max="1254" width="16.7109375" style="23" customWidth="1"/>
    <col min="1255" max="1255" width="11.85546875" style="23" bestFit="1" customWidth="1"/>
    <col min="1256" max="1256" width="9.85546875" style="23" bestFit="1" customWidth="1"/>
    <col min="1257" max="1257" width="10.5703125" style="23" bestFit="1" customWidth="1"/>
    <col min="1258" max="1260" width="13.42578125" style="23" customWidth="1"/>
    <col min="1261" max="1261" width="19.140625" style="23" customWidth="1"/>
    <col min="1262" max="1262" width="13.42578125" style="23" customWidth="1"/>
    <col min="1263" max="1263" width="19.85546875" style="23" customWidth="1"/>
    <col min="1264" max="1264" width="16" style="23" customWidth="1"/>
    <col min="1265" max="1265" width="24.28515625" style="23" customWidth="1"/>
    <col min="1266" max="1271" width="10.85546875" style="23" customWidth="1"/>
    <col min="1272" max="1272" width="16.28515625" style="23" bestFit="1" customWidth="1"/>
    <col min="1273" max="1273" width="12.140625" style="23" bestFit="1" customWidth="1"/>
    <col min="1274" max="1276" width="10.85546875" style="23" customWidth="1"/>
    <col min="1277" max="1277" width="9.28515625" style="23" bestFit="1" customWidth="1"/>
    <col min="1278" max="1507" width="9.140625" style="23"/>
    <col min="1508" max="1509" width="54" style="23" customWidth="1"/>
    <col min="1510" max="1510" width="16.7109375" style="23" customWidth="1"/>
    <col min="1511" max="1511" width="11.85546875" style="23" bestFit="1" customWidth="1"/>
    <col min="1512" max="1512" width="9.85546875" style="23" bestFit="1" customWidth="1"/>
    <col min="1513" max="1513" width="10.5703125" style="23" bestFit="1" customWidth="1"/>
    <col min="1514" max="1516" width="13.42578125" style="23" customWidth="1"/>
    <col min="1517" max="1517" width="19.140625" style="23" customWidth="1"/>
    <col min="1518" max="1518" width="13.42578125" style="23" customWidth="1"/>
    <col min="1519" max="1519" width="19.85546875" style="23" customWidth="1"/>
    <col min="1520" max="1520" width="16" style="23" customWidth="1"/>
    <col min="1521" max="1521" width="24.28515625" style="23" customWidth="1"/>
    <col min="1522" max="1527" width="10.85546875" style="23" customWidth="1"/>
    <col min="1528" max="1528" width="16.28515625" style="23" bestFit="1" customWidth="1"/>
    <col min="1529" max="1529" width="12.140625" style="23" bestFit="1" customWidth="1"/>
    <col min="1530" max="1532" width="10.85546875" style="23" customWidth="1"/>
    <col min="1533" max="1533" width="9.28515625" style="23" bestFit="1" customWidth="1"/>
    <col min="1534" max="1763" width="9.140625" style="23"/>
    <col min="1764" max="1765" width="54" style="23" customWidth="1"/>
    <col min="1766" max="1766" width="16.7109375" style="23" customWidth="1"/>
    <col min="1767" max="1767" width="11.85546875" style="23" bestFit="1" customWidth="1"/>
    <col min="1768" max="1768" width="9.85546875" style="23" bestFit="1" customWidth="1"/>
    <col min="1769" max="1769" width="10.5703125" style="23" bestFit="1" customWidth="1"/>
    <col min="1770" max="1772" width="13.42578125" style="23" customWidth="1"/>
    <col min="1773" max="1773" width="19.140625" style="23" customWidth="1"/>
    <col min="1774" max="1774" width="13.42578125" style="23" customWidth="1"/>
    <col min="1775" max="1775" width="19.85546875" style="23" customWidth="1"/>
    <col min="1776" max="1776" width="16" style="23" customWidth="1"/>
    <col min="1777" max="1777" width="24.28515625" style="23" customWidth="1"/>
    <col min="1778" max="1783" width="10.85546875" style="23" customWidth="1"/>
    <col min="1784" max="1784" width="16.28515625" style="23" bestFit="1" customWidth="1"/>
    <col min="1785" max="1785" width="12.140625" style="23" bestFit="1" customWidth="1"/>
    <col min="1786" max="1788" width="10.85546875" style="23" customWidth="1"/>
    <col min="1789" max="1789" width="9.28515625" style="23" bestFit="1" customWidth="1"/>
    <col min="1790" max="2019" width="9.140625" style="23"/>
    <col min="2020" max="2021" width="54" style="23" customWidth="1"/>
    <col min="2022" max="2022" width="16.7109375" style="23" customWidth="1"/>
    <col min="2023" max="2023" width="11.85546875" style="23" bestFit="1" customWidth="1"/>
    <col min="2024" max="2024" width="9.85546875" style="23" bestFit="1" customWidth="1"/>
    <col min="2025" max="2025" width="10.5703125" style="23" bestFit="1" customWidth="1"/>
    <col min="2026" max="2028" width="13.42578125" style="23" customWidth="1"/>
    <col min="2029" max="2029" width="19.140625" style="23" customWidth="1"/>
    <col min="2030" max="2030" width="13.42578125" style="23" customWidth="1"/>
    <col min="2031" max="2031" width="19.85546875" style="23" customWidth="1"/>
    <col min="2032" max="2032" width="16" style="23" customWidth="1"/>
    <col min="2033" max="2033" width="24.28515625" style="23" customWidth="1"/>
    <col min="2034" max="2039" width="10.85546875" style="23" customWidth="1"/>
    <col min="2040" max="2040" width="16.28515625" style="23" bestFit="1" customWidth="1"/>
    <col min="2041" max="2041" width="12.140625" style="23" bestFit="1" customWidth="1"/>
    <col min="2042" max="2044" width="10.85546875" style="23" customWidth="1"/>
    <col min="2045" max="2045" width="9.28515625" style="23" bestFit="1" customWidth="1"/>
    <col min="2046" max="2275" width="9.140625" style="23"/>
    <col min="2276" max="2277" width="54" style="23" customWidth="1"/>
    <col min="2278" max="2278" width="16.7109375" style="23" customWidth="1"/>
    <col min="2279" max="2279" width="11.85546875" style="23" bestFit="1" customWidth="1"/>
    <col min="2280" max="2280" width="9.85546875" style="23" bestFit="1" customWidth="1"/>
    <col min="2281" max="2281" width="10.5703125" style="23" bestFit="1" customWidth="1"/>
    <col min="2282" max="2284" width="13.42578125" style="23" customWidth="1"/>
    <col min="2285" max="2285" width="19.140625" style="23" customWidth="1"/>
    <col min="2286" max="2286" width="13.42578125" style="23" customWidth="1"/>
    <col min="2287" max="2287" width="19.85546875" style="23" customWidth="1"/>
    <col min="2288" max="2288" width="16" style="23" customWidth="1"/>
    <col min="2289" max="2289" width="24.28515625" style="23" customWidth="1"/>
    <col min="2290" max="2295" width="10.85546875" style="23" customWidth="1"/>
    <col min="2296" max="2296" width="16.28515625" style="23" bestFit="1" customWidth="1"/>
    <col min="2297" max="2297" width="12.140625" style="23" bestFit="1" customWidth="1"/>
    <col min="2298" max="2300" width="10.85546875" style="23" customWidth="1"/>
    <col min="2301" max="2301" width="9.28515625" style="23" bestFit="1" customWidth="1"/>
    <col min="2302" max="2531" width="9.140625" style="23"/>
    <col min="2532" max="2533" width="54" style="23" customWidth="1"/>
    <col min="2534" max="2534" width="16.7109375" style="23" customWidth="1"/>
    <col min="2535" max="2535" width="11.85546875" style="23" bestFit="1" customWidth="1"/>
    <col min="2536" max="2536" width="9.85546875" style="23" bestFit="1" customWidth="1"/>
    <col min="2537" max="2537" width="10.5703125" style="23" bestFit="1" customWidth="1"/>
    <col min="2538" max="2540" width="13.42578125" style="23" customWidth="1"/>
    <col min="2541" max="2541" width="19.140625" style="23" customWidth="1"/>
    <col min="2542" max="2542" width="13.42578125" style="23" customWidth="1"/>
    <col min="2543" max="2543" width="19.85546875" style="23" customWidth="1"/>
    <col min="2544" max="2544" width="16" style="23" customWidth="1"/>
    <col min="2545" max="2545" width="24.28515625" style="23" customWidth="1"/>
    <col min="2546" max="2551" width="10.85546875" style="23" customWidth="1"/>
    <col min="2552" max="2552" width="16.28515625" style="23" bestFit="1" customWidth="1"/>
    <col min="2553" max="2553" width="12.140625" style="23" bestFit="1" customWidth="1"/>
    <col min="2554" max="2556" width="10.85546875" style="23" customWidth="1"/>
    <col min="2557" max="2557" width="9.28515625" style="23" bestFit="1" customWidth="1"/>
    <col min="2558" max="2787" width="9.140625" style="23"/>
    <col min="2788" max="2789" width="54" style="23" customWidth="1"/>
    <col min="2790" max="2790" width="16.7109375" style="23" customWidth="1"/>
    <col min="2791" max="2791" width="11.85546875" style="23" bestFit="1" customWidth="1"/>
    <col min="2792" max="2792" width="9.85546875" style="23" bestFit="1" customWidth="1"/>
    <col min="2793" max="2793" width="10.5703125" style="23" bestFit="1" customWidth="1"/>
    <col min="2794" max="2796" width="13.42578125" style="23" customWidth="1"/>
    <col min="2797" max="2797" width="19.140625" style="23" customWidth="1"/>
    <col min="2798" max="2798" width="13.42578125" style="23" customWidth="1"/>
    <col min="2799" max="2799" width="19.85546875" style="23" customWidth="1"/>
    <col min="2800" max="2800" width="16" style="23" customWidth="1"/>
    <col min="2801" max="2801" width="24.28515625" style="23" customWidth="1"/>
    <col min="2802" max="2807" width="10.85546875" style="23" customWidth="1"/>
    <col min="2808" max="2808" width="16.28515625" style="23" bestFit="1" customWidth="1"/>
    <col min="2809" max="2809" width="12.140625" style="23" bestFit="1" customWidth="1"/>
    <col min="2810" max="2812" width="10.85546875" style="23" customWidth="1"/>
    <col min="2813" max="2813" width="9.28515625" style="23" bestFit="1" customWidth="1"/>
    <col min="2814" max="3043" width="9.140625" style="23"/>
    <col min="3044" max="3045" width="54" style="23" customWidth="1"/>
    <col min="3046" max="3046" width="16.7109375" style="23" customWidth="1"/>
    <col min="3047" max="3047" width="11.85546875" style="23" bestFit="1" customWidth="1"/>
    <col min="3048" max="3048" width="9.85546875" style="23" bestFit="1" customWidth="1"/>
    <col min="3049" max="3049" width="10.5703125" style="23" bestFit="1" customWidth="1"/>
    <col min="3050" max="3052" width="13.42578125" style="23" customWidth="1"/>
    <col min="3053" max="3053" width="19.140625" style="23" customWidth="1"/>
    <col min="3054" max="3054" width="13.42578125" style="23" customWidth="1"/>
    <col min="3055" max="3055" width="19.85546875" style="23" customWidth="1"/>
    <col min="3056" max="3056" width="16" style="23" customWidth="1"/>
    <col min="3057" max="3057" width="24.28515625" style="23" customWidth="1"/>
    <col min="3058" max="3063" width="10.85546875" style="23" customWidth="1"/>
    <col min="3064" max="3064" width="16.28515625" style="23" bestFit="1" customWidth="1"/>
    <col min="3065" max="3065" width="12.140625" style="23" bestFit="1" customWidth="1"/>
    <col min="3066" max="3068" width="10.85546875" style="23" customWidth="1"/>
    <col min="3069" max="3069" width="9.28515625" style="23" bestFit="1" customWidth="1"/>
    <col min="3070" max="3299" width="9.140625" style="23"/>
    <col min="3300" max="3301" width="54" style="23" customWidth="1"/>
    <col min="3302" max="3302" width="16.7109375" style="23" customWidth="1"/>
    <col min="3303" max="3303" width="11.85546875" style="23" bestFit="1" customWidth="1"/>
    <col min="3304" max="3304" width="9.85546875" style="23" bestFit="1" customWidth="1"/>
    <col min="3305" max="3305" width="10.5703125" style="23" bestFit="1" customWidth="1"/>
    <col min="3306" max="3308" width="13.42578125" style="23" customWidth="1"/>
    <col min="3309" max="3309" width="19.140625" style="23" customWidth="1"/>
    <col min="3310" max="3310" width="13.42578125" style="23" customWidth="1"/>
    <col min="3311" max="3311" width="19.85546875" style="23" customWidth="1"/>
    <col min="3312" max="3312" width="16" style="23" customWidth="1"/>
    <col min="3313" max="3313" width="24.28515625" style="23" customWidth="1"/>
    <col min="3314" max="3319" width="10.85546875" style="23" customWidth="1"/>
    <col min="3320" max="3320" width="16.28515625" style="23" bestFit="1" customWidth="1"/>
    <col min="3321" max="3321" width="12.140625" style="23" bestFit="1" customWidth="1"/>
    <col min="3322" max="3324" width="10.85546875" style="23" customWidth="1"/>
    <col min="3325" max="3325" width="9.28515625" style="23" bestFit="1" customWidth="1"/>
    <col min="3326" max="3555" width="9.140625" style="23"/>
    <col min="3556" max="3557" width="54" style="23" customWidth="1"/>
    <col min="3558" max="3558" width="16.7109375" style="23" customWidth="1"/>
    <col min="3559" max="3559" width="11.85546875" style="23" bestFit="1" customWidth="1"/>
    <col min="3560" max="3560" width="9.85546875" style="23" bestFit="1" customWidth="1"/>
    <col min="3561" max="3561" width="10.5703125" style="23" bestFit="1" customWidth="1"/>
    <col min="3562" max="3564" width="13.42578125" style="23" customWidth="1"/>
    <col min="3565" max="3565" width="19.140625" style="23" customWidth="1"/>
    <col min="3566" max="3566" width="13.42578125" style="23" customWidth="1"/>
    <col min="3567" max="3567" width="19.85546875" style="23" customWidth="1"/>
    <col min="3568" max="3568" width="16" style="23" customWidth="1"/>
    <col min="3569" max="3569" width="24.28515625" style="23" customWidth="1"/>
    <col min="3570" max="3575" width="10.85546875" style="23" customWidth="1"/>
    <col min="3576" max="3576" width="16.28515625" style="23" bestFit="1" customWidth="1"/>
    <col min="3577" max="3577" width="12.140625" style="23" bestFit="1" customWidth="1"/>
    <col min="3578" max="3580" width="10.85546875" style="23" customWidth="1"/>
    <col min="3581" max="3581" width="9.28515625" style="23" bestFit="1" customWidth="1"/>
    <col min="3582" max="3811" width="9.140625" style="23"/>
    <col min="3812" max="3813" width="54" style="23" customWidth="1"/>
    <col min="3814" max="3814" width="16.7109375" style="23" customWidth="1"/>
    <col min="3815" max="3815" width="11.85546875" style="23" bestFit="1" customWidth="1"/>
    <col min="3816" max="3816" width="9.85546875" style="23" bestFit="1" customWidth="1"/>
    <col min="3817" max="3817" width="10.5703125" style="23" bestFit="1" customWidth="1"/>
    <col min="3818" max="3820" width="13.42578125" style="23" customWidth="1"/>
    <col min="3821" max="3821" width="19.140625" style="23" customWidth="1"/>
    <col min="3822" max="3822" width="13.42578125" style="23" customWidth="1"/>
    <col min="3823" max="3823" width="19.85546875" style="23" customWidth="1"/>
    <col min="3824" max="3824" width="16" style="23" customWidth="1"/>
    <col min="3825" max="3825" width="24.28515625" style="23" customWidth="1"/>
    <col min="3826" max="3831" width="10.85546875" style="23" customWidth="1"/>
    <col min="3832" max="3832" width="16.28515625" style="23" bestFit="1" customWidth="1"/>
    <col min="3833" max="3833" width="12.140625" style="23" bestFit="1" customWidth="1"/>
    <col min="3834" max="3836" width="10.85546875" style="23" customWidth="1"/>
    <col min="3837" max="3837" width="9.28515625" style="23" bestFit="1" customWidth="1"/>
    <col min="3838" max="4067" width="9.140625" style="23"/>
    <col min="4068" max="4069" width="54" style="23" customWidth="1"/>
    <col min="4070" max="4070" width="16.7109375" style="23" customWidth="1"/>
    <col min="4071" max="4071" width="11.85546875" style="23" bestFit="1" customWidth="1"/>
    <col min="4072" max="4072" width="9.85546875" style="23" bestFit="1" customWidth="1"/>
    <col min="4073" max="4073" width="10.5703125" style="23" bestFit="1" customWidth="1"/>
    <col min="4074" max="4076" width="13.42578125" style="23" customWidth="1"/>
    <col min="4077" max="4077" width="19.140625" style="23" customWidth="1"/>
    <col min="4078" max="4078" width="13.42578125" style="23" customWidth="1"/>
    <col min="4079" max="4079" width="19.85546875" style="23" customWidth="1"/>
    <col min="4080" max="4080" width="16" style="23" customWidth="1"/>
    <col min="4081" max="4081" width="24.28515625" style="23" customWidth="1"/>
    <col min="4082" max="4087" width="10.85546875" style="23" customWidth="1"/>
    <col min="4088" max="4088" width="16.28515625" style="23" bestFit="1" customWidth="1"/>
    <col min="4089" max="4089" width="12.140625" style="23" bestFit="1" customWidth="1"/>
    <col min="4090" max="4092" width="10.85546875" style="23" customWidth="1"/>
    <col min="4093" max="4093" width="9.28515625" style="23" bestFit="1" customWidth="1"/>
    <col min="4094" max="4323" width="9.140625" style="23"/>
    <col min="4324" max="4325" width="54" style="23" customWidth="1"/>
    <col min="4326" max="4326" width="16.7109375" style="23" customWidth="1"/>
    <col min="4327" max="4327" width="11.85546875" style="23" bestFit="1" customWidth="1"/>
    <col min="4328" max="4328" width="9.85546875" style="23" bestFit="1" customWidth="1"/>
    <col min="4329" max="4329" width="10.5703125" style="23" bestFit="1" customWidth="1"/>
    <col min="4330" max="4332" width="13.42578125" style="23" customWidth="1"/>
    <col min="4333" max="4333" width="19.140625" style="23" customWidth="1"/>
    <col min="4334" max="4334" width="13.42578125" style="23" customWidth="1"/>
    <col min="4335" max="4335" width="19.85546875" style="23" customWidth="1"/>
    <col min="4336" max="4336" width="16" style="23" customWidth="1"/>
    <col min="4337" max="4337" width="24.28515625" style="23" customWidth="1"/>
    <col min="4338" max="4343" width="10.85546875" style="23" customWidth="1"/>
    <col min="4344" max="4344" width="16.28515625" style="23" bestFit="1" customWidth="1"/>
    <col min="4345" max="4345" width="12.140625" style="23" bestFit="1" customWidth="1"/>
    <col min="4346" max="4348" width="10.85546875" style="23" customWidth="1"/>
    <col min="4349" max="4349" width="9.28515625" style="23" bestFit="1" customWidth="1"/>
    <col min="4350" max="4579" width="9.140625" style="23"/>
    <col min="4580" max="4581" width="54" style="23" customWidth="1"/>
    <col min="4582" max="4582" width="16.7109375" style="23" customWidth="1"/>
    <col min="4583" max="4583" width="11.85546875" style="23" bestFit="1" customWidth="1"/>
    <col min="4584" max="4584" width="9.85546875" style="23" bestFit="1" customWidth="1"/>
    <col min="4585" max="4585" width="10.5703125" style="23" bestFit="1" customWidth="1"/>
    <col min="4586" max="4588" width="13.42578125" style="23" customWidth="1"/>
    <col min="4589" max="4589" width="19.140625" style="23" customWidth="1"/>
    <col min="4590" max="4590" width="13.42578125" style="23" customWidth="1"/>
    <col min="4591" max="4591" width="19.85546875" style="23" customWidth="1"/>
    <col min="4592" max="4592" width="16" style="23" customWidth="1"/>
    <col min="4593" max="4593" width="24.28515625" style="23" customWidth="1"/>
    <col min="4594" max="4599" width="10.85546875" style="23" customWidth="1"/>
    <col min="4600" max="4600" width="16.28515625" style="23" bestFit="1" customWidth="1"/>
    <col min="4601" max="4601" width="12.140625" style="23" bestFit="1" customWidth="1"/>
    <col min="4602" max="4604" width="10.85546875" style="23" customWidth="1"/>
    <col min="4605" max="4605" width="9.28515625" style="23" bestFit="1" customWidth="1"/>
    <col min="4606" max="4835" width="9.140625" style="23"/>
    <col min="4836" max="4837" width="54" style="23" customWidth="1"/>
    <col min="4838" max="4838" width="16.7109375" style="23" customWidth="1"/>
    <col min="4839" max="4839" width="11.85546875" style="23" bestFit="1" customWidth="1"/>
    <col min="4840" max="4840" width="9.85546875" style="23" bestFit="1" customWidth="1"/>
    <col min="4841" max="4841" width="10.5703125" style="23" bestFit="1" customWidth="1"/>
    <col min="4842" max="4844" width="13.42578125" style="23" customWidth="1"/>
    <col min="4845" max="4845" width="19.140625" style="23" customWidth="1"/>
    <col min="4846" max="4846" width="13.42578125" style="23" customWidth="1"/>
    <col min="4847" max="4847" width="19.85546875" style="23" customWidth="1"/>
    <col min="4848" max="4848" width="16" style="23" customWidth="1"/>
    <col min="4849" max="4849" width="24.28515625" style="23" customWidth="1"/>
    <col min="4850" max="4855" width="10.85546875" style="23" customWidth="1"/>
    <col min="4856" max="4856" width="16.28515625" style="23" bestFit="1" customWidth="1"/>
    <col min="4857" max="4857" width="12.140625" style="23" bestFit="1" customWidth="1"/>
    <col min="4858" max="4860" width="10.85546875" style="23" customWidth="1"/>
    <col min="4861" max="4861" width="9.28515625" style="23" bestFit="1" customWidth="1"/>
    <col min="4862" max="5091" width="9.140625" style="23"/>
    <col min="5092" max="5093" width="54" style="23" customWidth="1"/>
    <col min="5094" max="5094" width="16.7109375" style="23" customWidth="1"/>
    <col min="5095" max="5095" width="11.85546875" style="23" bestFit="1" customWidth="1"/>
    <col min="5096" max="5096" width="9.85546875" style="23" bestFit="1" customWidth="1"/>
    <col min="5097" max="5097" width="10.5703125" style="23" bestFit="1" customWidth="1"/>
    <col min="5098" max="5100" width="13.42578125" style="23" customWidth="1"/>
    <col min="5101" max="5101" width="19.140625" style="23" customWidth="1"/>
    <col min="5102" max="5102" width="13.42578125" style="23" customWidth="1"/>
    <col min="5103" max="5103" width="19.85546875" style="23" customWidth="1"/>
    <col min="5104" max="5104" width="16" style="23" customWidth="1"/>
    <col min="5105" max="5105" width="24.28515625" style="23" customWidth="1"/>
    <col min="5106" max="5111" width="10.85546875" style="23" customWidth="1"/>
    <col min="5112" max="5112" width="16.28515625" style="23" bestFit="1" customWidth="1"/>
    <col min="5113" max="5113" width="12.140625" style="23" bestFit="1" customWidth="1"/>
    <col min="5114" max="5116" width="10.85546875" style="23" customWidth="1"/>
    <col min="5117" max="5117" width="9.28515625" style="23" bestFit="1" customWidth="1"/>
    <col min="5118" max="5347" width="9.140625" style="23"/>
    <col min="5348" max="5349" width="54" style="23" customWidth="1"/>
    <col min="5350" max="5350" width="16.7109375" style="23" customWidth="1"/>
    <col min="5351" max="5351" width="11.85546875" style="23" bestFit="1" customWidth="1"/>
    <col min="5352" max="5352" width="9.85546875" style="23" bestFit="1" customWidth="1"/>
    <col min="5353" max="5353" width="10.5703125" style="23" bestFit="1" customWidth="1"/>
    <col min="5354" max="5356" width="13.42578125" style="23" customWidth="1"/>
    <col min="5357" max="5357" width="19.140625" style="23" customWidth="1"/>
    <col min="5358" max="5358" width="13.42578125" style="23" customWidth="1"/>
    <col min="5359" max="5359" width="19.85546875" style="23" customWidth="1"/>
    <col min="5360" max="5360" width="16" style="23" customWidth="1"/>
    <col min="5361" max="5361" width="24.28515625" style="23" customWidth="1"/>
    <col min="5362" max="5367" width="10.85546875" style="23" customWidth="1"/>
    <col min="5368" max="5368" width="16.28515625" style="23" bestFit="1" customWidth="1"/>
    <col min="5369" max="5369" width="12.140625" style="23" bestFit="1" customWidth="1"/>
    <col min="5370" max="5372" width="10.85546875" style="23" customWidth="1"/>
    <col min="5373" max="5373" width="9.28515625" style="23" bestFit="1" customWidth="1"/>
    <col min="5374" max="5603" width="9.140625" style="23"/>
    <col min="5604" max="5605" width="54" style="23" customWidth="1"/>
    <col min="5606" max="5606" width="16.7109375" style="23" customWidth="1"/>
    <col min="5607" max="5607" width="11.85546875" style="23" bestFit="1" customWidth="1"/>
    <col min="5608" max="5608" width="9.85546875" style="23" bestFit="1" customWidth="1"/>
    <col min="5609" max="5609" width="10.5703125" style="23" bestFit="1" customWidth="1"/>
    <col min="5610" max="5612" width="13.42578125" style="23" customWidth="1"/>
    <col min="5613" max="5613" width="19.140625" style="23" customWidth="1"/>
    <col min="5614" max="5614" width="13.42578125" style="23" customWidth="1"/>
    <col min="5615" max="5615" width="19.85546875" style="23" customWidth="1"/>
    <col min="5616" max="5616" width="16" style="23" customWidth="1"/>
    <col min="5617" max="5617" width="24.28515625" style="23" customWidth="1"/>
    <col min="5618" max="5623" width="10.85546875" style="23" customWidth="1"/>
    <col min="5624" max="5624" width="16.28515625" style="23" bestFit="1" customWidth="1"/>
    <col min="5625" max="5625" width="12.140625" style="23" bestFit="1" customWidth="1"/>
    <col min="5626" max="5628" width="10.85546875" style="23" customWidth="1"/>
    <col min="5629" max="5629" width="9.28515625" style="23" bestFit="1" customWidth="1"/>
    <col min="5630" max="5859" width="9.140625" style="23"/>
    <col min="5860" max="5861" width="54" style="23" customWidth="1"/>
    <col min="5862" max="5862" width="16.7109375" style="23" customWidth="1"/>
    <col min="5863" max="5863" width="11.85546875" style="23" bestFit="1" customWidth="1"/>
    <col min="5864" max="5864" width="9.85546875" style="23" bestFit="1" customWidth="1"/>
    <col min="5865" max="5865" width="10.5703125" style="23" bestFit="1" customWidth="1"/>
    <col min="5866" max="5868" width="13.42578125" style="23" customWidth="1"/>
    <col min="5869" max="5869" width="19.140625" style="23" customWidth="1"/>
    <col min="5870" max="5870" width="13.42578125" style="23" customWidth="1"/>
    <col min="5871" max="5871" width="19.85546875" style="23" customWidth="1"/>
    <col min="5872" max="5872" width="16" style="23" customWidth="1"/>
    <col min="5873" max="5873" width="24.28515625" style="23" customWidth="1"/>
    <col min="5874" max="5879" width="10.85546875" style="23" customWidth="1"/>
    <col min="5880" max="5880" width="16.28515625" style="23" bestFit="1" customWidth="1"/>
    <col min="5881" max="5881" width="12.140625" style="23" bestFit="1" customWidth="1"/>
    <col min="5882" max="5884" width="10.85546875" style="23" customWidth="1"/>
    <col min="5885" max="5885" width="9.28515625" style="23" bestFit="1" customWidth="1"/>
    <col min="5886" max="6115" width="9.140625" style="23"/>
    <col min="6116" max="6117" width="54" style="23" customWidth="1"/>
    <col min="6118" max="6118" width="16.7109375" style="23" customWidth="1"/>
    <col min="6119" max="6119" width="11.85546875" style="23" bestFit="1" customWidth="1"/>
    <col min="6120" max="6120" width="9.85546875" style="23" bestFit="1" customWidth="1"/>
    <col min="6121" max="6121" width="10.5703125" style="23" bestFit="1" customWidth="1"/>
    <col min="6122" max="6124" width="13.42578125" style="23" customWidth="1"/>
    <col min="6125" max="6125" width="19.140625" style="23" customWidth="1"/>
    <col min="6126" max="6126" width="13.42578125" style="23" customWidth="1"/>
    <col min="6127" max="6127" width="19.85546875" style="23" customWidth="1"/>
    <col min="6128" max="6128" width="16" style="23" customWidth="1"/>
    <col min="6129" max="6129" width="24.28515625" style="23" customWidth="1"/>
    <col min="6130" max="6135" width="10.85546875" style="23" customWidth="1"/>
    <col min="6136" max="6136" width="16.28515625" style="23" bestFit="1" customWidth="1"/>
    <col min="6137" max="6137" width="12.140625" style="23" bestFit="1" customWidth="1"/>
    <col min="6138" max="6140" width="10.85546875" style="23" customWidth="1"/>
    <col min="6141" max="6141" width="9.28515625" style="23" bestFit="1" customWidth="1"/>
    <col min="6142" max="6371" width="9.140625" style="23"/>
    <col min="6372" max="6373" width="54" style="23" customWidth="1"/>
    <col min="6374" max="6374" width="16.7109375" style="23" customWidth="1"/>
    <col min="6375" max="6375" width="11.85546875" style="23" bestFit="1" customWidth="1"/>
    <col min="6376" max="6376" width="9.85546875" style="23" bestFit="1" customWidth="1"/>
    <col min="6377" max="6377" width="10.5703125" style="23" bestFit="1" customWidth="1"/>
    <col min="6378" max="6380" width="13.42578125" style="23" customWidth="1"/>
    <col min="6381" max="6381" width="19.140625" style="23" customWidth="1"/>
    <col min="6382" max="6382" width="13.42578125" style="23" customWidth="1"/>
    <col min="6383" max="6383" width="19.85546875" style="23" customWidth="1"/>
    <col min="6384" max="6384" width="16" style="23" customWidth="1"/>
    <col min="6385" max="6385" width="24.28515625" style="23" customWidth="1"/>
    <col min="6386" max="6391" width="10.85546875" style="23" customWidth="1"/>
    <col min="6392" max="6392" width="16.28515625" style="23" bestFit="1" customWidth="1"/>
    <col min="6393" max="6393" width="12.140625" style="23" bestFit="1" customWidth="1"/>
    <col min="6394" max="6396" width="10.85546875" style="23" customWidth="1"/>
    <col min="6397" max="6397" width="9.28515625" style="23" bestFit="1" customWidth="1"/>
    <col min="6398" max="6627" width="9.140625" style="23"/>
    <col min="6628" max="6629" width="54" style="23" customWidth="1"/>
    <col min="6630" max="6630" width="16.7109375" style="23" customWidth="1"/>
    <col min="6631" max="6631" width="11.85546875" style="23" bestFit="1" customWidth="1"/>
    <col min="6632" max="6632" width="9.85546875" style="23" bestFit="1" customWidth="1"/>
    <col min="6633" max="6633" width="10.5703125" style="23" bestFit="1" customWidth="1"/>
    <col min="6634" max="6636" width="13.42578125" style="23" customWidth="1"/>
    <col min="6637" max="6637" width="19.140625" style="23" customWidth="1"/>
    <col min="6638" max="6638" width="13.42578125" style="23" customWidth="1"/>
    <col min="6639" max="6639" width="19.85546875" style="23" customWidth="1"/>
    <col min="6640" max="6640" width="16" style="23" customWidth="1"/>
    <col min="6641" max="6641" width="24.28515625" style="23" customWidth="1"/>
    <col min="6642" max="6647" width="10.85546875" style="23" customWidth="1"/>
    <col min="6648" max="6648" width="16.28515625" style="23" bestFit="1" customWidth="1"/>
    <col min="6649" max="6649" width="12.140625" style="23" bestFit="1" customWidth="1"/>
    <col min="6650" max="6652" width="10.85546875" style="23" customWidth="1"/>
    <col min="6653" max="6653" width="9.28515625" style="23" bestFit="1" customWidth="1"/>
    <col min="6654" max="6883" width="9.140625" style="23"/>
    <col min="6884" max="6885" width="54" style="23" customWidth="1"/>
    <col min="6886" max="6886" width="16.7109375" style="23" customWidth="1"/>
    <col min="6887" max="6887" width="11.85546875" style="23" bestFit="1" customWidth="1"/>
    <col min="6888" max="6888" width="9.85546875" style="23" bestFit="1" customWidth="1"/>
    <col min="6889" max="6889" width="10.5703125" style="23" bestFit="1" customWidth="1"/>
    <col min="6890" max="6892" width="13.42578125" style="23" customWidth="1"/>
    <col min="6893" max="6893" width="19.140625" style="23" customWidth="1"/>
    <col min="6894" max="6894" width="13.42578125" style="23" customWidth="1"/>
    <col min="6895" max="6895" width="19.85546875" style="23" customWidth="1"/>
    <col min="6896" max="6896" width="16" style="23" customWidth="1"/>
    <col min="6897" max="6897" width="24.28515625" style="23" customWidth="1"/>
    <col min="6898" max="6903" width="10.85546875" style="23" customWidth="1"/>
    <col min="6904" max="6904" width="16.28515625" style="23" bestFit="1" customWidth="1"/>
    <col min="6905" max="6905" width="12.140625" style="23" bestFit="1" customWidth="1"/>
    <col min="6906" max="6908" width="10.85546875" style="23" customWidth="1"/>
    <col min="6909" max="6909" width="9.28515625" style="23" bestFit="1" customWidth="1"/>
    <col min="6910" max="7139" width="9.140625" style="23"/>
    <col min="7140" max="7141" width="54" style="23" customWidth="1"/>
    <col min="7142" max="7142" width="16.7109375" style="23" customWidth="1"/>
    <col min="7143" max="7143" width="11.85546875" style="23" bestFit="1" customWidth="1"/>
    <col min="7144" max="7144" width="9.85546875" style="23" bestFit="1" customWidth="1"/>
    <col min="7145" max="7145" width="10.5703125" style="23" bestFit="1" customWidth="1"/>
    <col min="7146" max="7148" width="13.42578125" style="23" customWidth="1"/>
    <col min="7149" max="7149" width="19.140625" style="23" customWidth="1"/>
    <col min="7150" max="7150" width="13.42578125" style="23" customWidth="1"/>
    <col min="7151" max="7151" width="19.85546875" style="23" customWidth="1"/>
    <col min="7152" max="7152" width="16" style="23" customWidth="1"/>
    <col min="7153" max="7153" width="24.28515625" style="23" customWidth="1"/>
    <col min="7154" max="7159" width="10.85546875" style="23" customWidth="1"/>
    <col min="7160" max="7160" width="16.28515625" style="23" bestFit="1" customWidth="1"/>
    <col min="7161" max="7161" width="12.140625" style="23" bestFit="1" customWidth="1"/>
    <col min="7162" max="7164" width="10.85546875" style="23" customWidth="1"/>
    <col min="7165" max="7165" width="9.28515625" style="23" bestFit="1" customWidth="1"/>
    <col min="7166" max="7395" width="9.140625" style="23"/>
    <col min="7396" max="7397" width="54" style="23" customWidth="1"/>
    <col min="7398" max="7398" width="16.7109375" style="23" customWidth="1"/>
    <col min="7399" max="7399" width="11.85546875" style="23" bestFit="1" customWidth="1"/>
    <col min="7400" max="7400" width="9.85546875" style="23" bestFit="1" customWidth="1"/>
    <col min="7401" max="7401" width="10.5703125" style="23" bestFit="1" customWidth="1"/>
    <col min="7402" max="7404" width="13.42578125" style="23" customWidth="1"/>
    <col min="7405" max="7405" width="19.140625" style="23" customWidth="1"/>
    <col min="7406" max="7406" width="13.42578125" style="23" customWidth="1"/>
    <col min="7407" max="7407" width="19.85546875" style="23" customWidth="1"/>
    <col min="7408" max="7408" width="16" style="23" customWidth="1"/>
    <col min="7409" max="7409" width="24.28515625" style="23" customWidth="1"/>
    <col min="7410" max="7415" width="10.85546875" style="23" customWidth="1"/>
    <col min="7416" max="7416" width="16.28515625" style="23" bestFit="1" customWidth="1"/>
    <col min="7417" max="7417" width="12.140625" style="23" bestFit="1" customWidth="1"/>
    <col min="7418" max="7420" width="10.85546875" style="23" customWidth="1"/>
    <col min="7421" max="7421" width="9.28515625" style="23" bestFit="1" customWidth="1"/>
    <col min="7422" max="7651" width="9.140625" style="23"/>
    <col min="7652" max="7653" width="54" style="23" customWidth="1"/>
    <col min="7654" max="7654" width="16.7109375" style="23" customWidth="1"/>
    <col min="7655" max="7655" width="11.85546875" style="23" bestFit="1" customWidth="1"/>
    <col min="7656" max="7656" width="9.85546875" style="23" bestFit="1" customWidth="1"/>
    <col min="7657" max="7657" width="10.5703125" style="23" bestFit="1" customWidth="1"/>
    <col min="7658" max="7660" width="13.42578125" style="23" customWidth="1"/>
    <col min="7661" max="7661" width="19.140625" style="23" customWidth="1"/>
    <col min="7662" max="7662" width="13.42578125" style="23" customWidth="1"/>
    <col min="7663" max="7663" width="19.85546875" style="23" customWidth="1"/>
    <col min="7664" max="7664" width="16" style="23" customWidth="1"/>
    <col min="7665" max="7665" width="24.28515625" style="23" customWidth="1"/>
    <col min="7666" max="7671" width="10.85546875" style="23" customWidth="1"/>
    <col min="7672" max="7672" width="16.28515625" style="23" bestFit="1" customWidth="1"/>
    <col min="7673" max="7673" width="12.140625" style="23" bestFit="1" customWidth="1"/>
    <col min="7674" max="7676" width="10.85546875" style="23" customWidth="1"/>
    <col min="7677" max="7677" width="9.28515625" style="23" bestFit="1" customWidth="1"/>
    <col min="7678" max="7907" width="9.140625" style="23"/>
    <col min="7908" max="7909" width="54" style="23" customWidth="1"/>
    <col min="7910" max="7910" width="16.7109375" style="23" customWidth="1"/>
    <col min="7911" max="7911" width="11.85546875" style="23" bestFit="1" customWidth="1"/>
    <col min="7912" max="7912" width="9.85546875" style="23" bestFit="1" customWidth="1"/>
    <col min="7913" max="7913" width="10.5703125" style="23" bestFit="1" customWidth="1"/>
    <col min="7914" max="7916" width="13.42578125" style="23" customWidth="1"/>
    <col min="7917" max="7917" width="19.140625" style="23" customWidth="1"/>
    <col min="7918" max="7918" width="13.42578125" style="23" customWidth="1"/>
    <col min="7919" max="7919" width="19.85546875" style="23" customWidth="1"/>
    <col min="7920" max="7920" width="16" style="23" customWidth="1"/>
    <col min="7921" max="7921" width="24.28515625" style="23" customWidth="1"/>
    <col min="7922" max="7927" width="10.85546875" style="23" customWidth="1"/>
    <col min="7928" max="7928" width="16.28515625" style="23" bestFit="1" customWidth="1"/>
    <col min="7929" max="7929" width="12.140625" style="23" bestFit="1" customWidth="1"/>
    <col min="7930" max="7932" width="10.85546875" style="23" customWidth="1"/>
    <col min="7933" max="7933" width="9.28515625" style="23" bestFit="1" customWidth="1"/>
    <col min="7934" max="8163" width="9.140625" style="23"/>
    <col min="8164" max="8165" width="54" style="23" customWidth="1"/>
    <col min="8166" max="8166" width="16.7109375" style="23" customWidth="1"/>
    <col min="8167" max="8167" width="11.85546875" style="23" bestFit="1" customWidth="1"/>
    <col min="8168" max="8168" width="9.85546875" style="23" bestFit="1" customWidth="1"/>
    <col min="8169" max="8169" width="10.5703125" style="23" bestFit="1" customWidth="1"/>
    <col min="8170" max="8172" width="13.42578125" style="23" customWidth="1"/>
    <col min="8173" max="8173" width="19.140625" style="23" customWidth="1"/>
    <col min="8174" max="8174" width="13.42578125" style="23" customWidth="1"/>
    <col min="8175" max="8175" width="19.85546875" style="23" customWidth="1"/>
    <col min="8176" max="8176" width="16" style="23" customWidth="1"/>
    <col min="8177" max="8177" width="24.28515625" style="23" customWidth="1"/>
    <col min="8178" max="8183" width="10.85546875" style="23" customWidth="1"/>
    <col min="8184" max="8184" width="16.28515625" style="23" bestFit="1" customWidth="1"/>
    <col min="8185" max="8185" width="12.140625" style="23" bestFit="1" customWidth="1"/>
    <col min="8186" max="8188" width="10.85546875" style="23" customWidth="1"/>
    <col min="8189" max="8189" width="9.28515625" style="23" bestFit="1" customWidth="1"/>
    <col min="8190" max="8419" width="9.140625" style="23"/>
    <col min="8420" max="8421" width="54" style="23" customWidth="1"/>
    <col min="8422" max="8422" width="16.7109375" style="23" customWidth="1"/>
    <col min="8423" max="8423" width="11.85546875" style="23" bestFit="1" customWidth="1"/>
    <col min="8424" max="8424" width="9.85546875" style="23" bestFit="1" customWidth="1"/>
    <col min="8425" max="8425" width="10.5703125" style="23" bestFit="1" customWidth="1"/>
    <col min="8426" max="8428" width="13.42578125" style="23" customWidth="1"/>
    <col min="8429" max="8429" width="19.140625" style="23" customWidth="1"/>
    <col min="8430" max="8430" width="13.42578125" style="23" customWidth="1"/>
    <col min="8431" max="8431" width="19.85546875" style="23" customWidth="1"/>
    <col min="8432" max="8432" width="16" style="23" customWidth="1"/>
    <col min="8433" max="8433" width="24.28515625" style="23" customWidth="1"/>
    <col min="8434" max="8439" width="10.85546875" style="23" customWidth="1"/>
    <col min="8440" max="8440" width="16.28515625" style="23" bestFit="1" customWidth="1"/>
    <col min="8441" max="8441" width="12.140625" style="23" bestFit="1" customWidth="1"/>
    <col min="8442" max="8444" width="10.85546875" style="23" customWidth="1"/>
    <col min="8445" max="8445" width="9.28515625" style="23" bestFit="1" customWidth="1"/>
    <col min="8446" max="8675" width="9.140625" style="23"/>
    <col min="8676" max="8677" width="54" style="23" customWidth="1"/>
    <col min="8678" max="8678" width="16.7109375" style="23" customWidth="1"/>
    <col min="8679" max="8679" width="11.85546875" style="23" bestFit="1" customWidth="1"/>
    <col min="8680" max="8680" width="9.85546875" style="23" bestFit="1" customWidth="1"/>
    <col min="8681" max="8681" width="10.5703125" style="23" bestFit="1" customWidth="1"/>
    <col min="8682" max="8684" width="13.42578125" style="23" customWidth="1"/>
    <col min="8685" max="8685" width="19.140625" style="23" customWidth="1"/>
    <col min="8686" max="8686" width="13.42578125" style="23" customWidth="1"/>
    <col min="8687" max="8687" width="19.85546875" style="23" customWidth="1"/>
    <col min="8688" max="8688" width="16" style="23" customWidth="1"/>
    <col min="8689" max="8689" width="24.28515625" style="23" customWidth="1"/>
    <col min="8690" max="8695" width="10.85546875" style="23" customWidth="1"/>
    <col min="8696" max="8696" width="16.28515625" style="23" bestFit="1" customWidth="1"/>
    <col min="8697" max="8697" width="12.140625" style="23" bestFit="1" customWidth="1"/>
    <col min="8698" max="8700" width="10.85546875" style="23" customWidth="1"/>
    <col min="8701" max="8701" width="9.28515625" style="23" bestFit="1" customWidth="1"/>
    <col min="8702" max="8931" width="9.140625" style="23"/>
    <col min="8932" max="8933" width="54" style="23" customWidth="1"/>
    <col min="8934" max="8934" width="16.7109375" style="23" customWidth="1"/>
    <col min="8935" max="8935" width="11.85546875" style="23" bestFit="1" customWidth="1"/>
    <col min="8936" max="8936" width="9.85546875" style="23" bestFit="1" customWidth="1"/>
    <col min="8937" max="8937" width="10.5703125" style="23" bestFit="1" customWidth="1"/>
    <col min="8938" max="8940" width="13.42578125" style="23" customWidth="1"/>
    <col min="8941" max="8941" width="19.140625" style="23" customWidth="1"/>
    <col min="8942" max="8942" width="13.42578125" style="23" customWidth="1"/>
    <col min="8943" max="8943" width="19.85546875" style="23" customWidth="1"/>
    <col min="8944" max="8944" width="16" style="23" customWidth="1"/>
    <col min="8945" max="8945" width="24.28515625" style="23" customWidth="1"/>
    <col min="8946" max="8951" width="10.85546875" style="23" customWidth="1"/>
    <col min="8952" max="8952" width="16.28515625" style="23" bestFit="1" customWidth="1"/>
    <col min="8953" max="8953" width="12.140625" style="23" bestFit="1" customWidth="1"/>
    <col min="8954" max="8956" width="10.85546875" style="23" customWidth="1"/>
    <col min="8957" max="8957" width="9.28515625" style="23" bestFit="1" customWidth="1"/>
    <col min="8958" max="9187" width="9.140625" style="23"/>
    <col min="9188" max="9189" width="54" style="23" customWidth="1"/>
    <col min="9190" max="9190" width="16.7109375" style="23" customWidth="1"/>
    <col min="9191" max="9191" width="11.85546875" style="23" bestFit="1" customWidth="1"/>
    <col min="9192" max="9192" width="9.85546875" style="23" bestFit="1" customWidth="1"/>
    <col min="9193" max="9193" width="10.5703125" style="23" bestFit="1" customWidth="1"/>
    <col min="9194" max="9196" width="13.42578125" style="23" customWidth="1"/>
    <col min="9197" max="9197" width="19.140625" style="23" customWidth="1"/>
    <col min="9198" max="9198" width="13.42578125" style="23" customWidth="1"/>
    <col min="9199" max="9199" width="19.85546875" style="23" customWidth="1"/>
    <col min="9200" max="9200" width="16" style="23" customWidth="1"/>
    <col min="9201" max="9201" width="24.28515625" style="23" customWidth="1"/>
    <col min="9202" max="9207" width="10.85546875" style="23" customWidth="1"/>
    <col min="9208" max="9208" width="16.28515625" style="23" bestFit="1" customWidth="1"/>
    <col min="9209" max="9209" width="12.140625" style="23" bestFit="1" customWidth="1"/>
    <col min="9210" max="9212" width="10.85546875" style="23" customWidth="1"/>
    <col min="9213" max="9213" width="9.28515625" style="23" bestFit="1" customWidth="1"/>
    <col min="9214" max="9443" width="9.140625" style="23"/>
    <col min="9444" max="9445" width="54" style="23" customWidth="1"/>
    <col min="9446" max="9446" width="16.7109375" style="23" customWidth="1"/>
    <col min="9447" max="9447" width="11.85546875" style="23" bestFit="1" customWidth="1"/>
    <col min="9448" max="9448" width="9.85546875" style="23" bestFit="1" customWidth="1"/>
    <col min="9449" max="9449" width="10.5703125" style="23" bestFit="1" customWidth="1"/>
    <col min="9450" max="9452" width="13.42578125" style="23" customWidth="1"/>
    <col min="9453" max="9453" width="19.140625" style="23" customWidth="1"/>
    <col min="9454" max="9454" width="13.42578125" style="23" customWidth="1"/>
    <col min="9455" max="9455" width="19.85546875" style="23" customWidth="1"/>
    <col min="9456" max="9456" width="16" style="23" customWidth="1"/>
    <col min="9457" max="9457" width="24.28515625" style="23" customWidth="1"/>
    <col min="9458" max="9463" width="10.85546875" style="23" customWidth="1"/>
    <col min="9464" max="9464" width="16.28515625" style="23" bestFit="1" customWidth="1"/>
    <col min="9465" max="9465" width="12.140625" style="23" bestFit="1" customWidth="1"/>
    <col min="9466" max="9468" width="10.85546875" style="23" customWidth="1"/>
    <col min="9469" max="9469" width="9.28515625" style="23" bestFit="1" customWidth="1"/>
    <col min="9470" max="9699" width="9.140625" style="23"/>
    <col min="9700" max="9701" width="54" style="23" customWidth="1"/>
    <col min="9702" max="9702" width="16.7109375" style="23" customWidth="1"/>
    <col min="9703" max="9703" width="11.85546875" style="23" bestFit="1" customWidth="1"/>
    <col min="9704" max="9704" width="9.85546875" style="23" bestFit="1" customWidth="1"/>
    <col min="9705" max="9705" width="10.5703125" style="23" bestFit="1" customWidth="1"/>
    <col min="9706" max="9708" width="13.42578125" style="23" customWidth="1"/>
    <col min="9709" max="9709" width="19.140625" style="23" customWidth="1"/>
    <col min="9710" max="9710" width="13.42578125" style="23" customWidth="1"/>
    <col min="9711" max="9711" width="19.85546875" style="23" customWidth="1"/>
    <col min="9712" max="9712" width="16" style="23" customWidth="1"/>
    <col min="9713" max="9713" width="24.28515625" style="23" customWidth="1"/>
    <col min="9714" max="9719" width="10.85546875" style="23" customWidth="1"/>
    <col min="9720" max="9720" width="16.28515625" style="23" bestFit="1" customWidth="1"/>
    <col min="9721" max="9721" width="12.140625" style="23" bestFit="1" customWidth="1"/>
    <col min="9722" max="9724" width="10.85546875" style="23" customWidth="1"/>
    <col min="9725" max="9725" width="9.28515625" style="23" bestFit="1" customWidth="1"/>
    <col min="9726" max="9955" width="9.140625" style="23"/>
    <col min="9956" max="9957" width="54" style="23" customWidth="1"/>
    <col min="9958" max="9958" width="16.7109375" style="23" customWidth="1"/>
    <col min="9959" max="9959" width="11.85546875" style="23" bestFit="1" customWidth="1"/>
    <col min="9960" max="9960" width="9.85546875" style="23" bestFit="1" customWidth="1"/>
    <col min="9961" max="9961" width="10.5703125" style="23" bestFit="1" customWidth="1"/>
    <col min="9962" max="9964" width="13.42578125" style="23" customWidth="1"/>
    <col min="9965" max="9965" width="19.140625" style="23" customWidth="1"/>
    <col min="9966" max="9966" width="13.42578125" style="23" customWidth="1"/>
    <col min="9967" max="9967" width="19.85546875" style="23" customWidth="1"/>
    <col min="9968" max="9968" width="16" style="23" customWidth="1"/>
    <col min="9969" max="9969" width="24.28515625" style="23" customWidth="1"/>
    <col min="9970" max="9975" width="10.85546875" style="23" customWidth="1"/>
    <col min="9976" max="9976" width="16.28515625" style="23" bestFit="1" customWidth="1"/>
    <col min="9977" max="9977" width="12.140625" style="23" bestFit="1" customWidth="1"/>
    <col min="9978" max="9980" width="10.85546875" style="23" customWidth="1"/>
    <col min="9981" max="9981" width="9.28515625" style="23" bestFit="1" customWidth="1"/>
    <col min="9982" max="10211" width="9.140625" style="23"/>
    <col min="10212" max="10213" width="54" style="23" customWidth="1"/>
    <col min="10214" max="10214" width="16.7109375" style="23" customWidth="1"/>
    <col min="10215" max="10215" width="11.85546875" style="23" bestFit="1" customWidth="1"/>
    <col min="10216" max="10216" width="9.85546875" style="23" bestFit="1" customWidth="1"/>
    <col min="10217" max="10217" width="10.5703125" style="23" bestFit="1" customWidth="1"/>
    <col min="10218" max="10220" width="13.42578125" style="23" customWidth="1"/>
    <col min="10221" max="10221" width="19.140625" style="23" customWidth="1"/>
    <col min="10222" max="10222" width="13.42578125" style="23" customWidth="1"/>
    <col min="10223" max="10223" width="19.85546875" style="23" customWidth="1"/>
    <col min="10224" max="10224" width="16" style="23" customWidth="1"/>
    <col min="10225" max="10225" width="24.28515625" style="23" customWidth="1"/>
    <col min="10226" max="10231" width="10.85546875" style="23" customWidth="1"/>
    <col min="10232" max="10232" width="16.28515625" style="23" bestFit="1" customWidth="1"/>
    <col min="10233" max="10233" width="12.140625" style="23" bestFit="1" customWidth="1"/>
    <col min="10234" max="10236" width="10.85546875" style="23" customWidth="1"/>
    <col min="10237" max="10237" width="9.28515625" style="23" bestFit="1" customWidth="1"/>
    <col min="10238" max="10467" width="9.140625" style="23"/>
    <col min="10468" max="10469" width="54" style="23" customWidth="1"/>
    <col min="10470" max="10470" width="16.7109375" style="23" customWidth="1"/>
    <col min="10471" max="10471" width="11.85546875" style="23" bestFit="1" customWidth="1"/>
    <col min="10472" max="10472" width="9.85546875" style="23" bestFit="1" customWidth="1"/>
    <col min="10473" max="10473" width="10.5703125" style="23" bestFit="1" customWidth="1"/>
    <col min="10474" max="10476" width="13.42578125" style="23" customWidth="1"/>
    <col min="10477" max="10477" width="19.140625" style="23" customWidth="1"/>
    <col min="10478" max="10478" width="13.42578125" style="23" customWidth="1"/>
    <col min="10479" max="10479" width="19.85546875" style="23" customWidth="1"/>
    <col min="10480" max="10480" width="16" style="23" customWidth="1"/>
    <col min="10481" max="10481" width="24.28515625" style="23" customWidth="1"/>
    <col min="10482" max="10487" width="10.85546875" style="23" customWidth="1"/>
    <col min="10488" max="10488" width="16.28515625" style="23" bestFit="1" customWidth="1"/>
    <col min="10489" max="10489" width="12.140625" style="23" bestFit="1" customWidth="1"/>
    <col min="10490" max="10492" width="10.85546875" style="23" customWidth="1"/>
    <col min="10493" max="10493" width="9.28515625" style="23" bestFit="1" customWidth="1"/>
    <col min="10494" max="10723" width="9.140625" style="23"/>
    <col min="10724" max="10725" width="54" style="23" customWidth="1"/>
    <col min="10726" max="10726" width="16.7109375" style="23" customWidth="1"/>
    <col min="10727" max="10727" width="11.85546875" style="23" bestFit="1" customWidth="1"/>
    <col min="10728" max="10728" width="9.85546875" style="23" bestFit="1" customWidth="1"/>
    <col min="10729" max="10729" width="10.5703125" style="23" bestFit="1" customWidth="1"/>
    <col min="10730" max="10732" width="13.42578125" style="23" customWidth="1"/>
    <col min="10733" max="10733" width="19.140625" style="23" customWidth="1"/>
    <col min="10734" max="10734" width="13.42578125" style="23" customWidth="1"/>
    <col min="10735" max="10735" width="19.85546875" style="23" customWidth="1"/>
    <col min="10736" max="10736" width="16" style="23" customWidth="1"/>
    <col min="10737" max="10737" width="24.28515625" style="23" customWidth="1"/>
    <col min="10738" max="10743" width="10.85546875" style="23" customWidth="1"/>
    <col min="10744" max="10744" width="16.28515625" style="23" bestFit="1" customWidth="1"/>
    <col min="10745" max="10745" width="12.140625" style="23" bestFit="1" customWidth="1"/>
    <col min="10746" max="10748" width="10.85546875" style="23" customWidth="1"/>
    <col min="10749" max="10749" width="9.28515625" style="23" bestFit="1" customWidth="1"/>
    <col min="10750" max="10979" width="9.140625" style="23"/>
    <col min="10980" max="10981" width="54" style="23" customWidth="1"/>
    <col min="10982" max="10982" width="16.7109375" style="23" customWidth="1"/>
    <col min="10983" max="10983" width="11.85546875" style="23" bestFit="1" customWidth="1"/>
    <col min="10984" max="10984" width="9.85546875" style="23" bestFit="1" customWidth="1"/>
    <col min="10985" max="10985" width="10.5703125" style="23" bestFit="1" customWidth="1"/>
    <col min="10986" max="10988" width="13.42578125" style="23" customWidth="1"/>
    <col min="10989" max="10989" width="19.140625" style="23" customWidth="1"/>
    <col min="10990" max="10990" width="13.42578125" style="23" customWidth="1"/>
    <col min="10991" max="10991" width="19.85546875" style="23" customWidth="1"/>
    <col min="10992" max="10992" width="16" style="23" customWidth="1"/>
    <col min="10993" max="10993" width="24.28515625" style="23" customWidth="1"/>
    <col min="10994" max="10999" width="10.85546875" style="23" customWidth="1"/>
    <col min="11000" max="11000" width="16.28515625" style="23" bestFit="1" customWidth="1"/>
    <col min="11001" max="11001" width="12.140625" style="23" bestFit="1" customWidth="1"/>
    <col min="11002" max="11004" width="10.85546875" style="23" customWidth="1"/>
    <col min="11005" max="11005" width="9.28515625" style="23" bestFit="1" customWidth="1"/>
    <col min="11006" max="11235" width="9.140625" style="23"/>
    <col min="11236" max="11237" width="54" style="23" customWidth="1"/>
    <col min="11238" max="11238" width="16.7109375" style="23" customWidth="1"/>
    <col min="11239" max="11239" width="11.85546875" style="23" bestFit="1" customWidth="1"/>
    <col min="11240" max="11240" width="9.85546875" style="23" bestFit="1" customWidth="1"/>
    <col min="11241" max="11241" width="10.5703125" style="23" bestFit="1" customWidth="1"/>
    <col min="11242" max="11244" width="13.42578125" style="23" customWidth="1"/>
    <col min="11245" max="11245" width="19.140625" style="23" customWidth="1"/>
    <col min="11246" max="11246" width="13.42578125" style="23" customWidth="1"/>
    <col min="11247" max="11247" width="19.85546875" style="23" customWidth="1"/>
    <col min="11248" max="11248" width="16" style="23" customWidth="1"/>
    <col min="11249" max="11249" width="24.28515625" style="23" customWidth="1"/>
    <col min="11250" max="11255" width="10.85546875" style="23" customWidth="1"/>
    <col min="11256" max="11256" width="16.28515625" style="23" bestFit="1" customWidth="1"/>
    <col min="11257" max="11257" width="12.140625" style="23" bestFit="1" customWidth="1"/>
    <col min="11258" max="11260" width="10.85546875" style="23" customWidth="1"/>
    <col min="11261" max="11261" width="9.28515625" style="23" bestFit="1" customWidth="1"/>
    <col min="11262" max="11491" width="9.140625" style="23"/>
    <col min="11492" max="11493" width="54" style="23" customWidth="1"/>
    <col min="11494" max="11494" width="16.7109375" style="23" customWidth="1"/>
    <col min="11495" max="11495" width="11.85546875" style="23" bestFit="1" customWidth="1"/>
    <col min="11496" max="11496" width="9.85546875" style="23" bestFit="1" customWidth="1"/>
    <col min="11497" max="11497" width="10.5703125" style="23" bestFit="1" customWidth="1"/>
    <col min="11498" max="11500" width="13.42578125" style="23" customWidth="1"/>
    <col min="11501" max="11501" width="19.140625" style="23" customWidth="1"/>
    <col min="11502" max="11502" width="13.42578125" style="23" customWidth="1"/>
    <col min="11503" max="11503" width="19.85546875" style="23" customWidth="1"/>
    <col min="11504" max="11504" width="16" style="23" customWidth="1"/>
    <col min="11505" max="11505" width="24.28515625" style="23" customWidth="1"/>
    <col min="11506" max="11511" width="10.85546875" style="23" customWidth="1"/>
    <col min="11512" max="11512" width="16.28515625" style="23" bestFit="1" customWidth="1"/>
    <col min="11513" max="11513" width="12.140625" style="23" bestFit="1" customWidth="1"/>
    <col min="11514" max="11516" width="10.85546875" style="23" customWidth="1"/>
    <col min="11517" max="11517" width="9.28515625" style="23" bestFit="1" customWidth="1"/>
    <col min="11518" max="11747" width="9.140625" style="23"/>
    <col min="11748" max="11749" width="54" style="23" customWidth="1"/>
    <col min="11750" max="11750" width="16.7109375" style="23" customWidth="1"/>
    <col min="11751" max="11751" width="11.85546875" style="23" bestFit="1" customWidth="1"/>
    <col min="11752" max="11752" width="9.85546875" style="23" bestFit="1" customWidth="1"/>
    <col min="11753" max="11753" width="10.5703125" style="23" bestFit="1" customWidth="1"/>
    <col min="11754" max="11756" width="13.42578125" style="23" customWidth="1"/>
    <col min="11757" max="11757" width="19.140625" style="23" customWidth="1"/>
    <col min="11758" max="11758" width="13.42578125" style="23" customWidth="1"/>
    <col min="11759" max="11759" width="19.85546875" style="23" customWidth="1"/>
    <col min="11760" max="11760" width="16" style="23" customWidth="1"/>
    <col min="11761" max="11761" width="24.28515625" style="23" customWidth="1"/>
    <col min="11762" max="11767" width="10.85546875" style="23" customWidth="1"/>
    <col min="11768" max="11768" width="16.28515625" style="23" bestFit="1" customWidth="1"/>
    <col min="11769" max="11769" width="12.140625" style="23" bestFit="1" customWidth="1"/>
    <col min="11770" max="11772" width="10.85546875" style="23" customWidth="1"/>
    <col min="11773" max="11773" width="9.28515625" style="23" bestFit="1" customWidth="1"/>
    <col min="11774" max="12003" width="9.140625" style="23"/>
    <col min="12004" max="12005" width="54" style="23" customWidth="1"/>
    <col min="12006" max="12006" width="16.7109375" style="23" customWidth="1"/>
    <col min="12007" max="12007" width="11.85546875" style="23" bestFit="1" customWidth="1"/>
    <col min="12008" max="12008" width="9.85546875" style="23" bestFit="1" customWidth="1"/>
    <col min="12009" max="12009" width="10.5703125" style="23" bestFit="1" customWidth="1"/>
    <col min="12010" max="12012" width="13.42578125" style="23" customWidth="1"/>
    <col min="12013" max="12013" width="19.140625" style="23" customWidth="1"/>
    <col min="12014" max="12014" width="13.42578125" style="23" customWidth="1"/>
    <col min="12015" max="12015" width="19.85546875" style="23" customWidth="1"/>
    <col min="12016" max="12016" width="16" style="23" customWidth="1"/>
    <col min="12017" max="12017" width="24.28515625" style="23" customWidth="1"/>
    <col min="12018" max="12023" width="10.85546875" style="23" customWidth="1"/>
    <col min="12024" max="12024" width="16.28515625" style="23" bestFit="1" customWidth="1"/>
    <col min="12025" max="12025" width="12.140625" style="23" bestFit="1" customWidth="1"/>
    <col min="12026" max="12028" width="10.85546875" style="23" customWidth="1"/>
    <col min="12029" max="12029" width="9.28515625" style="23" bestFit="1" customWidth="1"/>
    <col min="12030" max="12259" width="9.140625" style="23"/>
    <col min="12260" max="12261" width="54" style="23" customWidth="1"/>
    <col min="12262" max="12262" width="16.7109375" style="23" customWidth="1"/>
    <col min="12263" max="12263" width="11.85546875" style="23" bestFit="1" customWidth="1"/>
    <col min="12264" max="12264" width="9.85546875" style="23" bestFit="1" customWidth="1"/>
    <col min="12265" max="12265" width="10.5703125" style="23" bestFit="1" customWidth="1"/>
    <col min="12266" max="12268" width="13.42578125" style="23" customWidth="1"/>
    <col min="12269" max="12269" width="19.140625" style="23" customWidth="1"/>
    <col min="12270" max="12270" width="13.42578125" style="23" customWidth="1"/>
    <col min="12271" max="12271" width="19.85546875" style="23" customWidth="1"/>
    <col min="12272" max="12272" width="16" style="23" customWidth="1"/>
    <col min="12273" max="12273" width="24.28515625" style="23" customWidth="1"/>
    <col min="12274" max="12279" width="10.85546875" style="23" customWidth="1"/>
    <col min="12280" max="12280" width="16.28515625" style="23" bestFit="1" customWidth="1"/>
    <col min="12281" max="12281" width="12.140625" style="23" bestFit="1" customWidth="1"/>
    <col min="12282" max="12284" width="10.85546875" style="23" customWidth="1"/>
    <col min="12285" max="12285" width="9.28515625" style="23" bestFit="1" customWidth="1"/>
    <col min="12286" max="12515" width="9.140625" style="23"/>
    <col min="12516" max="12517" width="54" style="23" customWidth="1"/>
    <col min="12518" max="12518" width="16.7109375" style="23" customWidth="1"/>
    <col min="12519" max="12519" width="11.85546875" style="23" bestFit="1" customWidth="1"/>
    <col min="12520" max="12520" width="9.85546875" style="23" bestFit="1" customWidth="1"/>
    <col min="12521" max="12521" width="10.5703125" style="23" bestFit="1" customWidth="1"/>
    <col min="12522" max="12524" width="13.42578125" style="23" customWidth="1"/>
    <col min="12525" max="12525" width="19.140625" style="23" customWidth="1"/>
    <col min="12526" max="12526" width="13.42578125" style="23" customWidth="1"/>
    <col min="12527" max="12527" width="19.85546875" style="23" customWidth="1"/>
    <col min="12528" max="12528" width="16" style="23" customWidth="1"/>
    <col min="12529" max="12529" width="24.28515625" style="23" customWidth="1"/>
    <col min="12530" max="12535" width="10.85546875" style="23" customWidth="1"/>
    <col min="12536" max="12536" width="16.28515625" style="23" bestFit="1" customWidth="1"/>
    <col min="12537" max="12537" width="12.140625" style="23" bestFit="1" customWidth="1"/>
    <col min="12538" max="12540" width="10.85546875" style="23" customWidth="1"/>
    <col min="12541" max="12541" width="9.28515625" style="23" bestFit="1" customWidth="1"/>
    <col min="12542" max="12771" width="9.140625" style="23"/>
    <col min="12772" max="12773" width="54" style="23" customWidth="1"/>
    <col min="12774" max="12774" width="16.7109375" style="23" customWidth="1"/>
    <col min="12775" max="12775" width="11.85546875" style="23" bestFit="1" customWidth="1"/>
    <col min="12776" max="12776" width="9.85546875" style="23" bestFit="1" customWidth="1"/>
    <col min="12777" max="12777" width="10.5703125" style="23" bestFit="1" customWidth="1"/>
    <col min="12778" max="12780" width="13.42578125" style="23" customWidth="1"/>
    <col min="12781" max="12781" width="19.140625" style="23" customWidth="1"/>
    <col min="12782" max="12782" width="13.42578125" style="23" customWidth="1"/>
    <col min="12783" max="12783" width="19.85546875" style="23" customWidth="1"/>
    <col min="12784" max="12784" width="16" style="23" customWidth="1"/>
    <col min="12785" max="12785" width="24.28515625" style="23" customWidth="1"/>
    <col min="12786" max="12791" width="10.85546875" style="23" customWidth="1"/>
    <col min="12792" max="12792" width="16.28515625" style="23" bestFit="1" customWidth="1"/>
    <col min="12793" max="12793" width="12.140625" style="23" bestFit="1" customWidth="1"/>
    <col min="12794" max="12796" width="10.85546875" style="23" customWidth="1"/>
    <col min="12797" max="12797" width="9.28515625" style="23" bestFit="1" customWidth="1"/>
    <col min="12798" max="13027" width="9.140625" style="23"/>
    <col min="13028" max="13029" width="54" style="23" customWidth="1"/>
    <col min="13030" max="13030" width="16.7109375" style="23" customWidth="1"/>
    <col min="13031" max="13031" width="11.85546875" style="23" bestFit="1" customWidth="1"/>
    <col min="13032" max="13032" width="9.85546875" style="23" bestFit="1" customWidth="1"/>
    <col min="13033" max="13033" width="10.5703125" style="23" bestFit="1" customWidth="1"/>
    <col min="13034" max="13036" width="13.42578125" style="23" customWidth="1"/>
    <col min="13037" max="13037" width="19.140625" style="23" customWidth="1"/>
    <col min="13038" max="13038" width="13.42578125" style="23" customWidth="1"/>
    <col min="13039" max="13039" width="19.85546875" style="23" customWidth="1"/>
    <col min="13040" max="13040" width="16" style="23" customWidth="1"/>
    <col min="13041" max="13041" width="24.28515625" style="23" customWidth="1"/>
    <col min="13042" max="13047" width="10.85546875" style="23" customWidth="1"/>
    <col min="13048" max="13048" width="16.28515625" style="23" bestFit="1" customWidth="1"/>
    <col min="13049" max="13049" width="12.140625" style="23" bestFit="1" customWidth="1"/>
    <col min="13050" max="13052" width="10.85546875" style="23" customWidth="1"/>
    <col min="13053" max="13053" width="9.28515625" style="23" bestFit="1" customWidth="1"/>
    <col min="13054" max="13283" width="9.140625" style="23"/>
    <col min="13284" max="13285" width="54" style="23" customWidth="1"/>
    <col min="13286" max="13286" width="16.7109375" style="23" customWidth="1"/>
    <col min="13287" max="13287" width="11.85546875" style="23" bestFit="1" customWidth="1"/>
    <col min="13288" max="13288" width="9.85546875" style="23" bestFit="1" customWidth="1"/>
    <col min="13289" max="13289" width="10.5703125" style="23" bestFit="1" customWidth="1"/>
    <col min="13290" max="13292" width="13.42578125" style="23" customWidth="1"/>
    <col min="13293" max="13293" width="19.140625" style="23" customWidth="1"/>
    <col min="13294" max="13294" width="13.42578125" style="23" customWidth="1"/>
    <col min="13295" max="13295" width="19.85546875" style="23" customWidth="1"/>
    <col min="13296" max="13296" width="16" style="23" customWidth="1"/>
    <col min="13297" max="13297" width="24.28515625" style="23" customWidth="1"/>
    <col min="13298" max="13303" width="10.85546875" style="23" customWidth="1"/>
    <col min="13304" max="13304" width="16.28515625" style="23" bestFit="1" customWidth="1"/>
    <col min="13305" max="13305" width="12.140625" style="23" bestFit="1" customWidth="1"/>
    <col min="13306" max="13308" width="10.85546875" style="23" customWidth="1"/>
    <col min="13309" max="13309" width="9.28515625" style="23" bestFit="1" customWidth="1"/>
    <col min="13310" max="13539" width="9.140625" style="23"/>
    <col min="13540" max="13541" width="54" style="23" customWidth="1"/>
    <col min="13542" max="13542" width="16.7109375" style="23" customWidth="1"/>
    <col min="13543" max="13543" width="11.85546875" style="23" bestFit="1" customWidth="1"/>
    <col min="13544" max="13544" width="9.85546875" style="23" bestFit="1" customWidth="1"/>
    <col min="13545" max="13545" width="10.5703125" style="23" bestFit="1" customWidth="1"/>
    <col min="13546" max="13548" width="13.42578125" style="23" customWidth="1"/>
    <col min="13549" max="13549" width="19.140625" style="23" customWidth="1"/>
    <col min="13550" max="13550" width="13.42578125" style="23" customWidth="1"/>
    <col min="13551" max="13551" width="19.85546875" style="23" customWidth="1"/>
    <col min="13552" max="13552" width="16" style="23" customWidth="1"/>
    <col min="13553" max="13553" width="24.28515625" style="23" customWidth="1"/>
    <col min="13554" max="13559" width="10.85546875" style="23" customWidth="1"/>
    <col min="13560" max="13560" width="16.28515625" style="23" bestFit="1" customWidth="1"/>
    <col min="13561" max="13561" width="12.140625" style="23" bestFit="1" customWidth="1"/>
    <col min="13562" max="13564" width="10.85546875" style="23" customWidth="1"/>
    <col min="13565" max="13565" width="9.28515625" style="23" bestFit="1" customWidth="1"/>
    <col min="13566" max="13795" width="9.140625" style="23"/>
    <col min="13796" max="13797" width="54" style="23" customWidth="1"/>
    <col min="13798" max="13798" width="16.7109375" style="23" customWidth="1"/>
    <col min="13799" max="13799" width="11.85546875" style="23" bestFit="1" customWidth="1"/>
    <col min="13800" max="13800" width="9.85546875" style="23" bestFit="1" customWidth="1"/>
    <col min="13801" max="13801" width="10.5703125" style="23" bestFit="1" customWidth="1"/>
    <col min="13802" max="13804" width="13.42578125" style="23" customWidth="1"/>
    <col min="13805" max="13805" width="19.140625" style="23" customWidth="1"/>
    <col min="13806" max="13806" width="13.42578125" style="23" customWidth="1"/>
    <col min="13807" max="13807" width="19.85546875" style="23" customWidth="1"/>
    <col min="13808" max="13808" width="16" style="23" customWidth="1"/>
    <col min="13809" max="13809" width="24.28515625" style="23" customWidth="1"/>
    <col min="13810" max="13815" width="10.85546875" style="23" customWidth="1"/>
    <col min="13816" max="13816" width="16.28515625" style="23" bestFit="1" customWidth="1"/>
    <col min="13817" max="13817" width="12.140625" style="23" bestFit="1" customWidth="1"/>
    <col min="13818" max="13820" width="10.85546875" style="23" customWidth="1"/>
    <col min="13821" max="13821" width="9.28515625" style="23" bestFit="1" customWidth="1"/>
    <col min="13822" max="14051" width="9.140625" style="23"/>
    <col min="14052" max="14053" width="54" style="23" customWidth="1"/>
    <col min="14054" max="14054" width="16.7109375" style="23" customWidth="1"/>
    <col min="14055" max="14055" width="11.85546875" style="23" bestFit="1" customWidth="1"/>
    <col min="14056" max="14056" width="9.85546875" style="23" bestFit="1" customWidth="1"/>
    <col min="14057" max="14057" width="10.5703125" style="23" bestFit="1" customWidth="1"/>
    <col min="14058" max="14060" width="13.42578125" style="23" customWidth="1"/>
    <col min="14061" max="14061" width="19.140625" style="23" customWidth="1"/>
    <col min="14062" max="14062" width="13.42578125" style="23" customWidth="1"/>
    <col min="14063" max="14063" width="19.85546875" style="23" customWidth="1"/>
    <col min="14064" max="14064" width="16" style="23" customWidth="1"/>
    <col min="14065" max="14065" width="24.28515625" style="23" customWidth="1"/>
    <col min="14066" max="14071" width="10.85546875" style="23" customWidth="1"/>
    <col min="14072" max="14072" width="16.28515625" style="23" bestFit="1" customWidth="1"/>
    <col min="14073" max="14073" width="12.140625" style="23" bestFit="1" customWidth="1"/>
    <col min="14074" max="14076" width="10.85546875" style="23" customWidth="1"/>
    <col min="14077" max="14077" width="9.28515625" style="23" bestFit="1" customWidth="1"/>
    <col min="14078" max="14307" width="9.140625" style="23"/>
    <col min="14308" max="14309" width="54" style="23" customWidth="1"/>
    <col min="14310" max="14310" width="16.7109375" style="23" customWidth="1"/>
    <col min="14311" max="14311" width="11.85546875" style="23" bestFit="1" customWidth="1"/>
    <col min="14312" max="14312" width="9.85546875" style="23" bestFit="1" customWidth="1"/>
    <col min="14313" max="14313" width="10.5703125" style="23" bestFit="1" customWidth="1"/>
    <col min="14314" max="14316" width="13.42578125" style="23" customWidth="1"/>
    <col min="14317" max="14317" width="19.140625" style="23" customWidth="1"/>
    <col min="14318" max="14318" width="13.42578125" style="23" customWidth="1"/>
    <col min="14319" max="14319" width="19.85546875" style="23" customWidth="1"/>
    <col min="14320" max="14320" width="16" style="23" customWidth="1"/>
    <col min="14321" max="14321" width="24.28515625" style="23" customWidth="1"/>
    <col min="14322" max="14327" width="10.85546875" style="23" customWidth="1"/>
    <col min="14328" max="14328" width="16.28515625" style="23" bestFit="1" customWidth="1"/>
    <col min="14329" max="14329" width="12.140625" style="23" bestFit="1" customWidth="1"/>
    <col min="14330" max="14332" width="10.85546875" style="23" customWidth="1"/>
    <col min="14333" max="14333" width="9.28515625" style="23" bestFit="1" customWidth="1"/>
    <col min="14334" max="14563" width="9.140625" style="23"/>
    <col min="14564" max="14565" width="54" style="23" customWidth="1"/>
    <col min="14566" max="14566" width="16.7109375" style="23" customWidth="1"/>
    <col min="14567" max="14567" width="11.85546875" style="23" bestFit="1" customWidth="1"/>
    <col min="14568" max="14568" width="9.85546875" style="23" bestFit="1" customWidth="1"/>
    <col min="14569" max="14569" width="10.5703125" style="23" bestFit="1" customWidth="1"/>
    <col min="14570" max="14572" width="13.42578125" style="23" customWidth="1"/>
    <col min="14573" max="14573" width="19.140625" style="23" customWidth="1"/>
    <col min="14574" max="14574" width="13.42578125" style="23" customWidth="1"/>
    <col min="14575" max="14575" width="19.85546875" style="23" customWidth="1"/>
    <col min="14576" max="14576" width="16" style="23" customWidth="1"/>
    <col min="14577" max="14577" width="24.28515625" style="23" customWidth="1"/>
    <col min="14578" max="14583" width="10.85546875" style="23" customWidth="1"/>
    <col min="14584" max="14584" width="16.28515625" style="23" bestFit="1" customWidth="1"/>
    <col min="14585" max="14585" width="12.140625" style="23" bestFit="1" customWidth="1"/>
    <col min="14586" max="14588" width="10.85546875" style="23" customWidth="1"/>
    <col min="14589" max="14589" width="9.28515625" style="23" bestFit="1" customWidth="1"/>
    <col min="14590" max="14819" width="9.140625" style="23"/>
    <col min="14820" max="14821" width="54" style="23" customWidth="1"/>
    <col min="14822" max="14822" width="16.7109375" style="23" customWidth="1"/>
    <col min="14823" max="14823" width="11.85546875" style="23" bestFit="1" customWidth="1"/>
    <col min="14824" max="14824" width="9.85546875" style="23" bestFit="1" customWidth="1"/>
    <col min="14825" max="14825" width="10.5703125" style="23" bestFit="1" customWidth="1"/>
    <col min="14826" max="14828" width="13.42578125" style="23" customWidth="1"/>
    <col min="14829" max="14829" width="19.140625" style="23" customWidth="1"/>
    <col min="14830" max="14830" width="13.42578125" style="23" customWidth="1"/>
    <col min="14831" max="14831" width="19.85546875" style="23" customWidth="1"/>
    <col min="14832" max="14832" width="16" style="23" customWidth="1"/>
    <col min="14833" max="14833" width="24.28515625" style="23" customWidth="1"/>
    <col min="14834" max="14839" width="10.85546875" style="23" customWidth="1"/>
    <col min="14840" max="14840" width="16.28515625" style="23" bestFit="1" customWidth="1"/>
    <col min="14841" max="14841" width="12.140625" style="23" bestFit="1" customWidth="1"/>
    <col min="14842" max="14844" width="10.85546875" style="23" customWidth="1"/>
    <col min="14845" max="14845" width="9.28515625" style="23" bestFit="1" customWidth="1"/>
    <col min="14846" max="15075" width="9.140625" style="23"/>
    <col min="15076" max="15077" width="54" style="23" customWidth="1"/>
    <col min="15078" max="15078" width="16.7109375" style="23" customWidth="1"/>
    <col min="15079" max="15079" width="11.85546875" style="23" bestFit="1" customWidth="1"/>
    <col min="15080" max="15080" width="9.85546875" style="23" bestFit="1" customWidth="1"/>
    <col min="15081" max="15081" width="10.5703125" style="23" bestFit="1" customWidth="1"/>
    <col min="15082" max="15084" width="13.42578125" style="23" customWidth="1"/>
    <col min="15085" max="15085" width="19.140625" style="23" customWidth="1"/>
    <col min="15086" max="15086" width="13.42578125" style="23" customWidth="1"/>
    <col min="15087" max="15087" width="19.85546875" style="23" customWidth="1"/>
    <col min="15088" max="15088" width="16" style="23" customWidth="1"/>
    <col min="15089" max="15089" width="24.28515625" style="23" customWidth="1"/>
    <col min="15090" max="15095" width="10.85546875" style="23" customWidth="1"/>
    <col min="15096" max="15096" width="16.28515625" style="23" bestFit="1" customWidth="1"/>
    <col min="15097" max="15097" width="12.140625" style="23" bestFit="1" customWidth="1"/>
    <col min="15098" max="15100" width="10.85546875" style="23" customWidth="1"/>
    <col min="15101" max="15101" width="9.28515625" style="23" bestFit="1" customWidth="1"/>
    <col min="15102" max="15331" width="9.140625" style="23"/>
    <col min="15332" max="15333" width="54" style="23" customWidth="1"/>
    <col min="15334" max="15334" width="16.7109375" style="23" customWidth="1"/>
    <col min="15335" max="15335" width="11.85546875" style="23" bestFit="1" customWidth="1"/>
    <col min="15336" max="15336" width="9.85546875" style="23" bestFit="1" customWidth="1"/>
    <col min="15337" max="15337" width="10.5703125" style="23" bestFit="1" customWidth="1"/>
    <col min="15338" max="15340" width="13.42578125" style="23" customWidth="1"/>
    <col min="15341" max="15341" width="19.140625" style="23" customWidth="1"/>
    <col min="15342" max="15342" width="13.42578125" style="23" customWidth="1"/>
    <col min="15343" max="15343" width="19.85546875" style="23" customWidth="1"/>
    <col min="15344" max="15344" width="16" style="23" customWidth="1"/>
    <col min="15345" max="15345" width="24.28515625" style="23" customWidth="1"/>
    <col min="15346" max="15351" width="10.85546875" style="23" customWidth="1"/>
    <col min="15352" max="15352" width="16.28515625" style="23" bestFit="1" customWidth="1"/>
    <col min="15353" max="15353" width="12.140625" style="23" bestFit="1" customWidth="1"/>
    <col min="15354" max="15356" width="10.85546875" style="23" customWidth="1"/>
    <col min="15357" max="15357" width="9.28515625" style="23" bestFit="1" customWidth="1"/>
    <col min="15358" max="15587" width="9.140625" style="23"/>
    <col min="15588" max="15589" width="54" style="23" customWidth="1"/>
    <col min="15590" max="15590" width="16.7109375" style="23" customWidth="1"/>
    <col min="15591" max="15591" width="11.85546875" style="23" bestFit="1" customWidth="1"/>
    <col min="15592" max="15592" width="9.85546875" style="23" bestFit="1" customWidth="1"/>
    <col min="15593" max="15593" width="10.5703125" style="23" bestFit="1" customWidth="1"/>
    <col min="15594" max="15596" width="13.42578125" style="23" customWidth="1"/>
    <col min="15597" max="15597" width="19.140625" style="23" customWidth="1"/>
    <col min="15598" max="15598" width="13.42578125" style="23" customWidth="1"/>
    <col min="15599" max="15599" width="19.85546875" style="23" customWidth="1"/>
    <col min="15600" max="15600" width="16" style="23" customWidth="1"/>
    <col min="15601" max="15601" width="24.28515625" style="23" customWidth="1"/>
    <col min="15602" max="15607" width="10.85546875" style="23" customWidth="1"/>
    <col min="15608" max="15608" width="16.28515625" style="23" bestFit="1" customWidth="1"/>
    <col min="15609" max="15609" width="12.140625" style="23" bestFit="1" customWidth="1"/>
    <col min="15610" max="15612" width="10.85546875" style="23" customWidth="1"/>
    <col min="15613" max="15613" width="9.28515625" style="23" bestFit="1" customWidth="1"/>
    <col min="15614" max="15843" width="9.140625" style="23"/>
    <col min="15844" max="15845" width="54" style="23" customWidth="1"/>
    <col min="15846" max="15846" width="16.7109375" style="23" customWidth="1"/>
    <col min="15847" max="15847" width="11.85546875" style="23" bestFit="1" customWidth="1"/>
    <col min="15848" max="15848" width="9.85546875" style="23" bestFit="1" customWidth="1"/>
    <col min="15849" max="15849" width="10.5703125" style="23" bestFit="1" customWidth="1"/>
    <col min="15850" max="15852" width="13.42578125" style="23" customWidth="1"/>
    <col min="15853" max="15853" width="19.140625" style="23" customWidth="1"/>
    <col min="15854" max="15854" width="13.42578125" style="23" customWidth="1"/>
    <col min="15855" max="15855" width="19.85546875" style="23" customWidth="1"/>
    <col min="15856" max="15856" width="16" style="23" customWidth="1"/>
    <col min="15857" max="15857" width="24.28515625" style="23" customWidth="1"/>
    <col min="15858" max="15863" width="10.85546875" style="23" customWidth="1"/>
    <col min="15864" max="15864" width="16.28515625" style="23" bestFit="1" customWidth="1"/>
    <col min="15865" max="15865" width="12.140625" style="23" bestFit="1" customWidth="1"/>
    <col min="15866" max="15868" width="10.85546875" style="23" customWidth="1"/>
    <col min="15869" max="15869" width="9.28515625" style="23" bestFit="1" customWidth="1"/>
    <col min="15870" max="16099" width="9.140625" style="23"/>
    <col min="16100" max="16101" width="54" style="23" customWidth="1"/>
    <col min="16102" max="16102" width="16.7109375" style="23" customWidth="1"/>
    <col min="16103" max="16103" width="11.85546875" style="23" bestFit="1" customWidth="1"/>
    <col min="16104" max="16104" width="9.85546875" style="23" bestFit="1" customWidth="1"/>
    <col min="16105" max="16105" width="10.5703125" style="23" bestFit="1" customWidth="1"/>
    <col min="16106" max="16108" width="13.42578125" style="23" customWidth="1"/>
    <col min="16109" max="16109" width="19.140625" style="23" customWidth="1"/>
    <col min="16110" max="16110" width="13.42578125" style="23" customWidth="1"/>
    <col min="16111" max="16111" width="19.85546875" style="23" customWidth="1"/>
    <col min="16112" max="16112" width="16" style="23" customWidth="1"/>
    <col min="16113" max="16113" width="24.28515625" style="23" customWidth="1"/>
    <col min="16114" max="16119" width="10.85546875" style="23" customWidth="1"/>
    <col min="16120" max="16120" width="16.28515625" style="23" bestFit="1" customWidth="1"/>
    <col min="16121" max="16121" width="12.140625" style="23" bestFit="1" customWidth="1"/>
    <col min="16122" max="16124" width="10.85546875" style="23" customWidth="1"/>
    <col min="16125" max="16125" width="9.28515625" style="23" bestFit="1" customWidth="1"/>
    <col min="16126" max="16384" width="9.140625" style="23"/>
  </cols>
  <sheetData>
    <row r="1" spans="1:13" ht="91.5" customHeight="1" x14ac:dyDescent="0.2">
      <c r="A1" s="313" t="s">
        <v>360</v>
      </c>
      <c r="B1" s="314"/>
      <c r="C1" s="314"/>
      <c r="D1" s="314"/>
      <c r="E1" s="315"/>
      <c r="F1" s="312" t="s">
        <v>0</v>
      </c>
      <c r="G1" s="312"/>
      <c r="H1" s="303" t="s">
        <v>1</v>
      </c>
      <c r="I1" s="303"/>
      <c r="J1" s="303" t="s">
        <v>2</v>
      </c>
      <c r="K1" s="303"/>
      <c r="L1" s="304" t="s">
        <v>16</v>
      </c>
      <c r="M1" s="301" t="s">
        <v>3</v>
      </c>
    </row>
    <row r="2" spans="1:13" ht="36.75" customHeight="1" thickBot="1" x14ac:dyDescent="0.25">
      <c r="A2" s="24" t="s">
        <v>39</v>
      </c>
      <c r="B2" s="25" t="s">
        <v>40</v>
      </c>
      <c r="C2" s="316" t="s">
        <v>4</v>
      </c>
      <c r="D2" s="317"/>
      <c r="E2" s="318"/>
      <c r="F2" s="26" t="s">
        <v>5</v>
      </c>
      <c r="G2" s="27" t="s">
        <v>6</v>
      </c>
      <c r="H2" s="28" t="s">
        <v>14</v>
      </c>
      <c r="I2" s="25" t="s">
        <v>7</v>
      </c>
      <c r="J2" s="28" t="s">
        <v>15</v>
      </c>
      <c r="K2" s="25" t="s">
        <v>8</v>
      </c>
      <c r="L2" s="305"/>
      <c r="M2" s="302"/>
    </row>
    <row r="3" spans="1:13" ht="37.5" customHeight="1" thickTop="1" thickBot="1" x14ac:dyDescent="0.25">
      <c r="A3" s="53"/>
      <c r="B3" s="54">
        <v>1</v>
      </c>
      <c r="C3" s="272" t="s">
        <v>17</v>
      </c>
      <c r="D3" s="273"/>
      <c r="E3" s="273"/>
      <c r="F3" s="31"/>
      <c r="G3" s="32"/>
      <c r="H3" s="33"/>
      <c r="I3" s="34">
        <f>SUM(I4:I5)</f>
        <v>0</v>
      </c>
      <c r="J3" s="33"/>
      <c r="K3" s="34">
        <f>SUM(K4:K5)</f>
        <v>0</v>
      </c>
      <c r="L3" s="35"/>
      <c r="M3" s="34">
        <f>SUM(M4:M5)</f>
        <v>0</v>
      </c>
    </row>
    <row r="4" spans="1:13" ht="78" customHeight="1" thickTop="1" x14ac:dyDescent="0.2">
      <c r="A4" s="279"/>
      <c r="B4" s="55" t="s">
        <v>41</v>
      </c>
      <c r="C4" s="306" t="s">
        <v>20</v>
      </c>
      <c r="D4" s="307"/>
      <c r="E4" s="308"/>
      <c r="F4" s="56" t="s">
        <v>19</v>
      </c>
      <c r="G4" s="57">
        <v>8735</v>
      </c>
      <c r="H4" s="3"/>
      <c r="I4" s="58">
        <f t="shared" ref="I4:I13" si="0">+H4*G4</f>
        <v>0</v>
      </c>
      <c r="J4" s="3"/>
      <c r="K4" s="58">
        <f t="shared" ref="K4" si="1">+J4*G4</f>
        <v>0</v>
      </c>
      <c r="L4" s="59">
        <f t="shared" ref="L4" si="2">+H4+J4</f>
        <v>0</v>
      </c>
      <c r="M4" s="58">
        <f t="shared" ref="M4" si="3">L4*G4</f>
        <v>0</v>
      </c>
    </row>
    <row r="5" spans="1:13" ht="78" customHeight="1" thickBot="1" x14ac:dyDescent="0.25">
      <c r="A5" s="279"/>
      <c r="B5" s="60" t="s">
        <v>42</v>
      </c>
      <c r="C5" s="309" t="s">
        <v>21</v>
      </c>
      <c r="D5" s="310"/>
      <c r="E5" s="311"/>
      <c r="F5" s="61" t="s">
        <v>19</v>
      </c>
      <c r="G5" s="62">
        <v>939.6</v>
      </c>
      <c r="H5" s="2"/>
      <c r="I5" s="63">
        <f t="shared" si="0"/>
        <v>0</v>
      </c>
      <c r="J5" s="2"/>
      <c r="K5" s="63">
        <f t="shared" ref="K5" si="4">+J5*G5</f>
        <v>0</v>
      </c>
      <c r="L5" s="64">
        <f t="shared" ref="L5" si="5">+H5+J5</f>
        <v>0</v>
      </c>
      <c r="M5" s="63">
        <f t="shared" ref="M5" si="6">L5*G5</f>
        <v>0</v>
      </c>
    </row>
    <row r="6" spans="1:13" ht="37.5" customHeight="1" thickTop="1" thickBot="1" x14ac:dyDescent="0.25">
      <c r="A6" s="65" t="s">
        <v>43</v>
      </c>
      <c r="B6" s="30">
        <v>2</v>
      </c>
      <c r="C6" s="272" t="s">
        <v>22</v>
      </c>
      <c r="D6" s="273"/>
      <c r="E6" s="273"/>
      <c r="F6" s="31"/>
      <c r="G6" s="32"/>
      <c r="H6" s="33"/>
      <c r="I6" s="34">
        <f>SUM(I7:I13)</f>
        <v>0</v>
      </c>
      <c r="J6" s="33"/>
      <c r="K6" s="34">
        <f>SUM(K7:K13)</f>
        <v>0</v>
      </c>
      <c r="L6" s="35"/>
      <c r="M6" s="34">
        <f>SUM(M7:M13)</f>
        <v>0</v>
      </c>
    </row>
    <row r="7" spans="1:13" ht="30" customHeight="1" thickTop="1" x14ac:dyDescent="0.2">
      <c r="A7" s="279"/>
      <c r="B7" s="66" t="s">
        <v>44</v>
      </c>
      <c r="C7" s="298" t="s">
        <v>28</v>
      </c>
      <c r="D7" s="299"/>
      <c r="E7" s="300"/>
      <c r="F7" s="56" t="s">
        <v>30</v>
      </c>
      <c r="G7" s="57">
        <v>1723.57</v>
      </c>
      <c r="H7" s="3"/>
      <c r="I7" s="58">
        <f t="shared" si="0"/>
        <v>0</v>
      </c>
      <c r="J7" s="3"/>
      <c r="K7" s="58">
        <f t="shared" ref="K7:K13" si="7">+J7*G7</f>
        <v>0</v>
      </c>
      <c r="L7" s="59">
        <f t="shared" ref="L7:L13" si="8">+H7+J7</f>
        <v>0</v>
      </c>
      <c r="M7" s="58">
        <f t="shared" ref="M7:M13" si="9">L7*G7</f>
        <v>0</v>
      </c>
    </row>
    <row r="8" spans="1:13" ht="30" customHeight="1" x14ac:dyDescent="0.2">
      <c r="A8" s="279"/>
      <c r="B8" s="67" t="s">
        <v>45</v>
      </c>
      <c r="C8" s="276" t="s">
        <v>29</v>
      </c>
      <c r="D8" s="277"/>
      <c r="E8" s="278"/>
      <c r="F8" s="41" t="s">
        <v>30</v>
      </c>
      <c r="G8" s="42">
        <v>9681.7800000000007</v>
      </c>
      <c r="H8" s="1"/>
      <c r="I8" s="43">
        <f t="shared" si="0"/>
        <v>0</v>
      </c>
      <c r="J8" s="1"/>
      <c r="K8" s="43">
        <f t="shared" si="7"/>
        <v>0</v>
      </c>
      <c r="L8" s="44">
        <f t="shared" si="8"/>
        <v>0</v>
      </c>
      <c r="M8" s="43">
        <f t="shared" si="9"/>
        <v>0</v>
      </c>
    </row>
    <row r="9" spans="1:13" ht="30" customHeight="1" x14ac:dyDescent="0.2">
      <c r="A9" s="279"/>
      <c r="B9" s="67" t="s">
        <v>46</v>
      </c>
      <c r="C9" s="276" t="s">
        <v>23</v>
      </c>
      <c r="D9" s="277"/>
      <c r="E9" s="278"/>
      <c r="F9" s="41" t="s">
        <v>19</v>
      </c>
      <c r="G9" s="42">
        <v>1260.17</v>
      </c>
      <c r="H9" s="1"/>
      <c r="I9" s="43">
        <f t="shared" si="0"/>
        <v>0</v>
      </c>
      <c r="J9" s="1"/>
      <c r="K9" s="43">
        <f t="shared" si="7"/>
        <v>0</v>
      </c>
      <c r="L9" s="44">
        <f t="shared" si="8"/>
        <v>0</v>
      </c>
      <c r="M9" s="43">
        <f t="shared" si="9"/>
        <v>0</v>
      </c>
    </row>
    <row r="10" spans="1:13" ht="30" customHeight="1" x14ac:dyDescent="0.2">
      <c r="A10" s="279"/>
      <c r="B10" s="67" t="s">
        <v>47</v>
      </c>
      <c r="C10" s="276" t="s">
        <v>24</v>
      </c>
      <c r="D10" s="277"/>
      <c r="E10" s="278"/>
      <c r="F10" s="41" t="s">
        <v>19</v>
      </c>
      <c r="G10" s="42">
        <v>3202.17</v>
      </c>
      <c r="H10" s="1"/>
      <c r="I10" s="43">
        <f t="shared" si="0"/>
        <v>0</v>
      </c>
      <c r="J10" s="1"/>
      <c r="K10" s="43">
        <f t="shared" si="7"/>
        <v>0</v>
      </c>
      <c r="L10" s="44">
        <f t="shared" si="8"/>
        <v>0</v>
      </c>
      <c r="M10" s="43">
        <f t="shared" si="9"/>
        <v>0</v>
      </c>
    </row>
    <row r="11" spans="1:13" ht="30" customHeight="1" x14ac:dyDescent="0.2">
      <c r="A11" s="279"/>
      <c r="B11" s="67" t="s">
        <v>48</v>
      </c>
      <c r="C11" s="276" t="s">
        <v>25</v>
      </c>
      <c r="D11" s="277"/>
      <c r="E11" s="278"/>
      <c r="F11" s="41" t="s">
        <v>19</v>
      </c>
      <c r="G11" s="42">
        <v>1920.1</v>
      </c>
      <c r="H11" s="1"/>
      <c r="I11" s="43">
        <f t="shared" si="0"/>
        <v>0</v>
      </c>
      <c r="J11" s="1"/>
      <c r="K11" s="43">
        <f t="shared" si="7"/>
        <v>0</v>
      </c>
      <c r="L11" s="44">
        <f t="shared" si="8"/>
        <v>0</v>
      </c>
      <c r="M11" s="43">
        <f t="shared" si="9"/>
        <v>0</v>
      </c>
    </row>
    <row r="12" spans="1:13" ht="30" customHeight="1" x14ac:dyDescent="0.2">
      <c r="A12" s="279"/>
      <c r="B12" s="67" t="s">
        <v>49</v>
      </c>
      <c r="C12" s="276" t="s">
        <v>26</v>
      </c>
      <c r="D12" s="277"/>
      <c r="E12" s="278"/>
      <c r="F12" s="41" t="s">
        <v>31</v>
      </c>
      <c r="G12" s="42">
        <v>137597.12</v>
      </c>
      <c r="H12" s="1"/>
      <c r="I12" s="43">
        <f t="shared" si="0"/>
        <v>0</v>
      </c>
      <c r="J12" s="1"/>
      <c r="K12" s="43">
        <f t="shared" si="7"/>
        <v>0</v>
      </c>
      <c r="L12" s="44">
        <f t="shared" si="8"/>
        <v>0</v>
      </c>
      <c r="M12" s="43">
        <f t="shared" si="9"/>
        <v>0</v>
      </c>
    </row>
    <row r="13" spans="1:13" ht="30" customHeight="1" thickBot="1" x14ac:dyDescent="0.25">
      <c r="A13" s="279"/>
      <c r="B13" s="68" t="s">
        <v>50</v>
      </c>
      <c r="C13" s="283" t="s">
        <v>27</v>
      </c>
      <c r="D13" s="284"/>
      <c r="E13" s="285"/>
      <c r="F13" s="61" t="s">
        <v>31</v>
      </c>
      <c r="G13" s="62">
        <v>462152.52</v>
      </c>
      <c r="H13" s="2"/>
      <c r="I13" s="63">
        <f t="shared" si="0"/>
        <v>0</v>
      </c>
      <c r="J13" s="2"/>
      <c r="K13" s="63">
        <f t="shared" si="7"/>
        <v>0</v>
      </c>
      <c r="L13" s="64">
        <f t="shared" si="8"/>
        <v>0</v>
      </c>
      <c r="M13" s="63">
        <f t="shared" si="9"/>
        <v>0</v>
      </c>
    </row>
    <row r="14" spans="1:13" ht="37.5" customHeight="1" thickTop="1" thickBot="1" x14ac:dyDescent="0.25">
      <c r="A14" s="65" t="s">
        <v>56</v>
      </c>
      <c r="B14" s="30">
        <v>3</v>
      </c>
      <c r="C14" s="272" t="s">
        <v>32</v>
      </c>
      <c r="D14" s="273"/>
      <c r="E14" s="273"/>
      <c r="F14" s="31"/>
      <c r="G14" s="32"/>
      <c r="H14" s="33"/>
      <c r="I14" s="34">
        <f>SUM(I15:I19)</f>
        <v>0</v>
      </c>
      <c r="J14" s="33"/>
      <c r="K14" s="34">
        <f>SUM(K15:K19)</f>
        <v>0</v>
      </c>
      <c r="L14" s="35"/>
      <c r="M14" s="34">
        <f>SUM(M15:M19)</f>
        <v>0</v>
      </c>
    </row>
    <row r="15" spans="1:13" ht="30" customHeight="1" thickTop="1" x14ac:dyDescent="0.2">
      <c r="A15" s="279"/>
      <c r="B15" s="66" t="s">
        <v>51</v>
      </c>
      <c r="C15" s="298" t="s">
        <v>33</v>
      </c>
      <c r="D15" s="299"/>
      <c r="E15" s="300"/>
      <c r="F15" s="56" t="s">
        <v>31</v>
      </c>
      <c r="G15" s="57">
        <v>62199.77</v>
      </c>
      <c r="H15" s="3"/>
      <c r="I15" s="58">
        <f t="shared" ref="I15:I19" si="10">+H15*G15</f>
        <v>0</v>
      </c>
      <c r="J15" s="3"/>
      <c r="K15" s="58">
        <f t="shared" ref="K15:K19" si="11">+J15*G15</f>
        <v>0</v>
      </c>
      <c r="L15" s="59">
        <f t="shared" ref="L15:L19" si="12">+H15+J15</f>
        <v>0</v>
      </c>
      <c r="M15" s="58">
        <f t="shared" ref="M15:M19" si="13">L15*G15</f>
        <v>0</v>
      </c>
    </row>
    <row r="16" spans="1:13" ht="30" customHeight="1" x14ac:dyDescent="0.2">
      <c r="A16" s="279"/>
      <c r="B16" s="67" t="s">
        <v>52</v>
      </c>
      <c r="C16" s="276" t="s">
        <v>34</v>
      </c>
      <c r="D16" s="277"/>
      <c r="E16" s="278"/>
      <c r="F16" s="41" t="s">
        <v>31</v>
      </c>
      <c r="G16" s="42">
        <v>13158.92</v>
      </c>
      <c r="H16" s="1"/>
      <c r="I16" s="43">
        <f t="shared" si="10"/>
        <v>0</v>
      </c>
      <c r="J16" s="1"/>
      <c r="K16" s="43">
        <f t="shared" si="11"/>
        <v>0</v>
      </c>
      <c r="L16" s="44">
        <f t="shared" si="12"/>
        <v>0</v>
      </c>
      <c r="M16" s="43">
        <f t="shared" si="13"/>
        <v>0</v>
      </c>
    </row>
    <row r="17" spans="1:13" ht="30" customHeight="1" x14ac:dyDescent="0.2">
      <c r="A17" s="279"/>
      <c r="B17" s="67" t="s">
        <v>53</v>
      </c>
      <c r="C17" s="276" t="s">
        <v>35</v>
      </c>
      <c r="D17" s="277"/>
      <c r="E17" s="278"/>
      <c r="F17" s="41" t="s">
        <v>31</v>
      </c>
      <c r="G17" s="42">
        <v>29933.05</v>
      </c>
      <c r="H17" s="1"/>
      <c r="I17" s="43">
        <f t="shared" si="10"/>
        <v>0</v>
      </c>
      <c r="J17" s="1"/>
      <c r="K17" s="43">
        <f t="shared" si="11"/>
        <v>0</v>
      </c>
      <c r="L17" s="44">
        <f t="shared" si="12"/>
        <v>0</v>
      </c>
      <c r="M17" s="43">
        <f t="shared" si="13"/>
        <v>0</v>
      </c>
    </row>
    <row r="18" spans="1:13" ht="30" customHeight="1" x14ac:dyDescent="0.2">
      <c r="A18" s="279"/>
      <c r="B18" s="67" t="s">
        <v>54</v>
      </c>
      <c r="C18" s="276" t="s">
        <v>36</v>
      </c>
      <c r="D18" s="277"/>
      <c r="E18" s="278"/>
      <c r="F18" s="41" t="s">
        <v>30</v>
      </c>
      <c r="G18" s="42">
        <v>2367.56</v>
      </c>
      <c r="H18" s="1"/>
      <c r="I18" s="43">
        <f t="shared" si="10"/>
        <v>0</v>
      </c>
      <c r="J18" s="1"/>
      <c r="K18" s="43">
        <f t="shared" si="11"/>
        <v>0</v>
      </c>
      <c r="L18" s="44">
        <f t="shared" si="12"/>
        <v>0</v>
      </c>
      <c r="M18" s="43">
        <f t="shared" si="13"/>
        <v>0</v>
      </c>
    </row>
    <row r="19" spans="1:13" ht="30" customHeight="1" thickBot="1" x14ac:dyDescent="0.25">
      <c r="A19" s="279"/>
      <c r="B19" s="68" t="s">
        <v>55</v>
      </c>
      <c r="C19" s="283" t="s">
        <v>37</v>
      </c>
      <c r="D19" s="284"/>
      <c r="E19" s="285"/>
      <c r="F19" s="61" t="s">
        <v>38</v>
      </c>
      <c r="G19" s="62">
        <v>50</v>
      </c>
      <c r="H19" s="2"/>
      <c r="I19" s="63">
        <f t="shared" si="10"/>
        <v>0</v>
      </c>
      <c r="J19" s="2"/>
      <c r="K19" s="63">
        <f t="shared" si="11"/>
        <v>0</v>
      </c>
      <c r="L19" s="64">
        <f t="shared" si="12"/>
        <v>0</v>
      </c>
      <c r="M19" s="63">
        <f t="shared" si="13"/>
        <v>0</v>
      </c>
    </row>
    <row r="20" spans="1:13" ht="37.5" customHeight="1" thickTop="1" thickBot="1" x14ac:dyDescent="0.25">
      <c r="A20" s="29" t="s">
        <v>57</v>
      </c>
      <c r="B20" s="30">
        <v>4</v>
      </c>
      <c r="C20" s="272" t="s">
        <v>58</v>
      </c>
      <c r="D20" s="273"/>
      <c r="E20" s="273"/>
      <c r="F20" s="31"/>
      <c r="G20" s="32"/>
      <c r="H20" s="33"/>
      <c r="I20" s="34">
        <f>+I21+I29+I35</f>
        <v>0</v>
      </c>
      <c r="J20" s="33"/>
      <c r="K20" s="34">
        <f>+K21+K29+K35</f>
        <v>0</v>
      </c>
      <c r="L20" s="35"/>
      <c r="M20" s="34">
        <f>+M21+M29+M35</f>
        <v>0</v>
      </c>
    </row>
    <row r="21" spans="1:13" ht="30" customHeight="1" thickTop="1" x14ac:dyDescent="0.2">
      <c r="A21" s="69"/>
      <c r="B21" s="70" t="s">
        <v>59</v>
      </c>
      <c r="C21" s="274" t="s">
        <v>60</v>
      </c>
      <c r="D21" s="275"/>
      <c r="E21" s="275"/>
      <c r="F21" s="72"/>
      <c r="G21" s="73"/>
      <c r="H21" s="74"/>
      <c r="I21" s="75">
        <f>SUM(I22:I28)</f>
        <v>0</v>
      </c>
      <c r="J21" s="74"/>
      <c r="K21" s="75">
        <f>SUM(K22:K28)</f>
        <v>0</v>
      </c>
      <c r="L21" s="74"/>
      <c r="M21" s="75">
        <f>SUM(M22:M28)</f>
        <v>0</v>
      </c>
    </row>
    <row r="22" spans="1:13" ht="30" customHeight="1" x14ac:dyDescent="0.2">
      <c r="A22" s="76"/>
      <c r="B22" s="37" t="s">
        <v>61</v>
      </c>
      <c r="C22" s="276" t="s">
        <v>66</v>
      </c>
      <c r="D22" s="277"/>
      <c r="E22" s="278"/>
      <c r="F22" s="41" t="s">
        <v>30</v>
      </c>
      <c r="G22" s="42">
        <v>3046</v>
      </c>
      <c r="H22" s="1"/>
      <c r="I22" s="43">
        <f t="shared" ref="I22:I28" si="14">+H22*G22</f>
        <v>0</v>
      </c>
      <c r="J22" s="1"/>
      <c r="K22" s="43">
        <f t="shared" ref="K22" si="15">+J22*G22</f>
        <v>0</v>
      </c>
      <c r="L22" s="44">
        <f t="shared" ref="L22" si="16">+H22+J22</f>
        <v>0</v>
      </c>
      <c r="M22" s="43">
        <f t="shared" ref="M22" si="17">L22*G22</f>
        <v>0</v>
      </c>
    </row>
    <row r="23" spans="1:13" ht="30" customHeight="1" x14ac:dyDescent="0.2">
      <c r="A23" s="76"/>
      <c r="B23" s="37"/>
      <c r="C23" s="276" t="s">
        <v>67</v>
      </c>
      <c r="D23" s="277"/>
      <c r="E23" s="278"/>
      <c r="F23" s="41" t="s">
        <v>19</v>
      </c>
      <c r="G23" s="42">
        <v>0</v>
      </c>
      <c r="H23" s="1"/>
      <c r="I23" s="43">
        <f t="shared" si="14"/>
        <v>0</v>
      </c>
      <c r="J23" s="1"/>
      <c r="K23" s="43">
        <f t="shared" ref="K23:K28" si="18">+J23*G23</f>
        <v>0</v>
      </c>
      <c r="L23" s="44">
        <f t="shared" ref="L23:L28" si="19">+H23+J23</f>
        <v>0</v>
      </c>
      <c r="M23" s="43">
        <f t="shared" ref="M23:M28" si="20">L23*G23</f>
        <v>0</v>
      </c>
    </row>
    <row r="24" spans="1:13" ht="30" customHeight="1" x14ac:dyDescent="0.2">
      <c r="A24" s="76"/>
      <c r="B24" s="37" t="s">
        <v>62</v>
      </c>
      <c r="C24" s="276" t="s">
        <v>68</v>
      </c>
      <c r="D24" s="277"/>
      <c r="E24" s="278"/>
      <c r="F24" s="41" t="s">
        <v>30</v>
      </c>
      <c r="G24" s="42">
        <v>4069</v>
      </c>
      <c r="H24" s="1"/>
      <c r="I24" s="43">
        <f t="shared" si="14"/>
        <v>0</v>
      </c>
      <c r="J24" s="1"/>
      <c r="K24" s="43">
        <f t="shared" si="18"/>
        <v>0</v>
      </c>
      <c r="L24" s="44">
        <f t="shared" si="19"/>
        <v>0</v>
      </c>
      <c r="M24" s="43">
        <f t="shared" si="20"/>
        <v>0</v>
      </c>
    </row>
    <row r="25" spans="1:13" ht="30" customHeight="1" x14ac:dyDescent="0.2">
      <c r="A25" s="76"/>
      <c r="B25" s="37" t="s">
        <v>63</v>
      </c>
      <c r="C25" s="276" t="s">
        <v>69</v>
      </c>
      <c r="D25" s="277"/>
      <c r="E25" s="278"/>
      <c r="F25" s="41" t="s">
        <v>30</v>
      </c>
      <c r="G25" s="42">
        <v>4069</v>
      </c>
      <c r="H25" s="1"/>
      <c r="I25" s="43">
        <f t="shared" si="14"/>
        <v>0</v>
      </c>
      <c r="J25" s="1"/>
      <c r="K25" s="43">
        <f t="shared" si="18"/>
        <v>0</v>
      </c>
      <c r="L25" s="44">
        <f t="shared" si="19"/>
        <v>0</v>
      </c>
      <c r="M25" s="43">
        <f t="shared" si="20"/>
        <v>0</v>
      </c>
    </row>
    <row r="26" spans="1:13" ht="30" customHeight="1" x14ac:dyDescent="0.2">
      <c r="A26" s="76"/>
      <c r="B26" s="37" t="s">
        <v>64</v>
      </c>
      <c r="C26" s="276" t="s">
        <v>70</v>
      </c>
      <c r="D26" s="277"/>
      <c r="E26" s="278"/>
      <c r="F26" s="41" t="s">
        <v>30</v>
      </c>
      <c r="G26" s="42">
        <v>4069</v>
      </c>
      <c r="H26" s="1"/>
      <c r="I26" s="43">
        <f t="shared" si="14"/>
        <v>0</v>
      </c>
      <c r="J26" s="1"/>
      <c r="K26" s="43">
        <f t="shared" si="18"/>
        <v>0</v>
      </c>
      <c r="L26" s="44">
        <f t="shared" si="19"/>
        <v>0</v>
      </c>
      <c r="M26" s="43">
        <f t="shared" si="20"/>
        <v>0</v>
      </c>
    </row>
    <row r="27" spans="1:13" ht="30" customHeight="1" x14ac:dyDescent="0.2">
      <c r="A27" s="76"/>
      <c r="B27" s="37" t="s">
        <v>65</v>
      </c>
      <c r="C27" s="276" t="s">
        <v>71</v>
      </c>
      <c r="D27" s="277"/>
      <c r="E27" s="278"/>
      <c r="F27" s="41" t="s">
        <v>30</v>
      </c>
      <c r="G27" s="42">
        <v>4069</v>
      </c>
      <c r="H27" s="1"/>
      <c r="I27" s="43">
        <f t="shared" si="14"/>
        <v>0</v>
      </c>
      <c r="J27" s="1"/>
      <c r="K27" s="43">
        <f t="shared" si="18"/>
        <v>0</v>
      </c>
      <c r="L27" s="44">
        <f t="shared" si="19"/>
        <v>0</v>
      </c>
      <c r="M27" s="43">
        <f t="shared" si="20"/>
        <v>0</v>
      </c>
    </row>
    <row r="28" spans="1:13" ht="30" customHeight="1" x14ac:dyDescent="0.2">
      <c r="A28" s="76"/>
      <c r="B28" s="37"/>
      <c r="C28" s="283" t="s">
        <v>72</v>
      </c>
      <c r="D28" s="284"/>
      <c r="E28" s="285"/>
      <c r="F28" s="41" t="s">
        <v>19</v>
      </c>
      <c r="G28" s="42">
        <v>0</v>
      </c>
      <c r="H28" s="1"/>
      <c r="I28" s="43">
        <f t="shared" si="14"/>
        <v>0</v>
      </c>
      <c r="J28" s="1"/>
      <c r="K28" s="43">
        <f t="shared" si="18"/>
        <v>0</v>
      </c>
      <c r="L28" s="44">
        <f t="shared" si="19"/>
        <v>0</v>
      </c>
      <c r="M28" s="43">
        <f t="shared" si="20"/>
        <v>0</v>
      </c>
    </row>
    <row r="29" spans="1:13" ht="30" customHeight="1" x14ac:dyDescent="0.2">
      <c r="A29" s="76"/>
      <c r="B29" s="37" t="s">
        <v>78</v>
      </c>
      <c r="C29" s="270" t="s">
        <v>73</v>
      </c>
      <c r="D29" s="271"/>
      <c r="E29" s="271"/>
      <c r="F29" s="72"/>
      <c r="G29" s="73"/>
      <c r="H29" s="78"/>
      <c r="I29" s="79">
        <f>SUM(I30:I34)</f>
        <v>0</v>
      </c>
      <c r="J29" s="78"/>
      <c r="K29" s="79">
        <f>SUM(K30:K34)</f>
        <v>0</v>
      </c>
      <c r="L29" s="78"/>
      <c r="M29" s="79">
        <f>SUM(M30:M34)</f>
        <v>0</v>
      </c>
    </row>
    <row r="30" spans="1:13" ht="30" customHeight="1" x14ac:dyDescent="0.2">
      <c r="A30" s="76"/>
      <c r="B30" s="37" t="s">
        <v>79</v>
      </c>
      <c r="C30" s="295" t="s">
        <v>68</v>
      </c>
      <c r="D30" s="296"/>
      <c r="E30" s="297"/>
      <c r="F30" s="41" t="s">
        <v>30</v>
      </c>
      <c r="G30" s="42">
        <v>441.5</v>
      </c>
      <c r="H30" s="1"/>
      <c r="I30" s="43">
        <f t="shared" ref="I30:I34" si="21">+H30*G30</f>
        <v>0</v>
      </c>
      <c r="J30" s="1"/>
      <c r="K30" s="43">
        <f t="shared" ref="K30:K34" si="22">+J30*G30</f>
        <v>0</v>
      </c>
      <c r="L30" s="44">
        <f t="shared" ref="L30:L34" si="23">+H30+J30</f>
        <v>0</v>
      </c>
      <c r="M30" s="43">
        <f t="shared" ref="M30:M34" si="24">L30*G30</f>
        <v>0</v>
      </c>
    </row>
    <row r="31" spans="1:13" ht="30" customHeight="1" x14ac:dyDescent="0.2">
      <c r="A31" s="76"/>
      <c r="B31" s="37" t="s">
        <v>80</v>
      </c>
      <c r="C31" s="295" t="s">
        <v>69</v>
      </c>
      <c r="D31" s="296"/>
      <c r="E31" s="297"/>
      <c r="F31" s="41" t="s">
        <v>30</v>
      </c>
      <c r="G31" s="42">
        <v>441.5</v>
      </c>
      <c r="H31" s="1"/>
      <c r="I31" s="43">
        <f t="shared" si="21"/>
        <v>0</v>
      </c>
      <c r="J31" s="1"/>
      <c r="K31" s="43">
        <f t="shared" si="22"/>
        <v>0</v>
      </c>
      <c r="L31" s="44">
        <f t="shared" si="23"/>
        <v>0</v>
      </c>
      <c r="M31" s="43">
        <f t="shared" si="24"/>
        <v>0</v>
      </c>
    </row>
    <row r="32" spans="1:13" ht="30" customHeight="1" x14ac:dyDescent="0.2">
      <c r="A32" s="76"/>
      <c r="B32" s="37" t="s">
        <v>81</v>
      </c>
      <c r="C32" s="295" t="s">
        <v>74</v>
      </c>
      <c r="D32" s="296"/>
      <c r="E32" s="297"/>
      <c r="F32" s="41" t="s">
        <v>30</v>
      </c>
      <c r="G32" s="42">
        <v>441.5</v>
      </c>
      <c r="H32" s="1"/>
      <c r="I32" s="43">
        <f t="shared" si="21"/>
        <v>0</v>
      </c>
      <c r="J32" s="1"/>
      <c r="K32" s="43">
        <f t="shared" si="22"/>
        <v>0</v>
      </c>
      <c r="L32" s="44">
        <f t="shared" si="23"/>
        <v>0</v>
      </c>
      <c r="M32" s="43">
        <f t="shared" si="24"/>
        <v>0</v>
      </c>
    </row>
    <row r="33" spans="1:13" ht="30" customHeight="1" x14ac:dyDescent="0.2">
      <c r="A33" s="76"/>
      <c r="B33" s="37" t="s">
        <v>82</v>
      </c>
      <c r="C33" s="295" t="s">
        <v>75</v>
      </c>
      <c r="D33" s="296"/>
      <c r="E33" s="297"/>
      <c r="F33" s="41" t="s">
        <v>30</v>
      </c>
      <c r="G33" s="42">
        <v>621.5</v>
      </c>
      <c r="H33" s="1"/>
      <c r="I33" s="43">
        <f t="shared" si="21"/>
        <v>0</v>
      </c>
      <c r="J33" s="1"/>
      <c r="K33" s="43">
        <f t="shared" si="22"/>
        <v>0</v>
      </c>
      <c r="L33" s="44">
        <f t="shared" si="23"/>
        <v>0</v>
      </c>
      <c r="M33" s="43">
        <f t="shared" si="24"/>
        <v>0</v>
      </c>
    </row>
    <row r="34" spans="1:13" ht="30" customHeight="1" x14ac:dyDescent="0.2">
      <c r="A34" s="76"/>
      <c r="B34" s="37" t="s">
        <v>83</v>
      </c>
      <c r="C34" s="292" t="s">
        <v>76</v>
      </c>
      <c r="D34" s="293"/>
      <c r="E34" s="294"/>
      <c r="F34" s="41" t="s">
        <v>77</v>
      </c>
      <c r="G34" s="42">
        <v>340</v>
      </c>
      <c r="H34" s="1"/>
      <c r="I34" s="43">
        <f t="shared" si="21"/>
        <v>0</v>
      </c>
      <c r="J34" s="1"/>
      <c r="K34" s="43">
        <f t="shared" si="22"/>
        <v>0</v>
      </c>
      <c r="L34" s="44">
        <f t="shared" si="23"/>
        <v>0</v>
      </c>
      <c r="M34" s="43">
        <f t="shared" si="24"/>
        <v>0</v>
      </c>
    </row>
    <row r="35" spans="1:13" ht="30" customHeight="1" x14ac:dyDescent="0.2">
      <c r="A35" s="76"/>
      <c r="B35" s="37" t="s">
        <v>84</v>
      </c>
      <c r="C35" s="270" t="s">
        <v>87</v>
      </c>
      <c r="D35" s="271"/>
      <c r="E35" s="271"/>
      <c r="F35" s="72"/>
      <c r="G35" s="73"/>
      <c r="H35" s="78"/>
      <c r="I35" s="79">
        <f>SUM(I36:I37)</f>
        <v>0</v>
      </c>
      <c r="J35" s="78"/>
      <c r="K35" s="79">
        <f>SUM(K36:K37)</f>
        <v>0</v>
      </c>
      <c r="L35" s="78"/>
      <c r="M35" s="79">
        <f>SUM(M36:M37)</f>
        <v>0</v>
      </c>
    </row>
    <row r="36" spans="1:13" ht="45" customHeight="1" x14ac:dyDescent="0.2">
      <c r="A36" s="36" t="s">
        <v>91</v>
      </c>
      <c r="B36" s="37" t="s">
        <v>85</v>
      </c>
      <c r="C36" s="289" t="s">
        <v>88</v>
      </c>
      <c r="D36" s="290"/>
      <c r="E36" s="291"/>
      <c r="F36" s="41" t="s">
        <v>30</v>
      </c>
      <c r="G36" s="42">
        <v>488.73</v>
      </c>
      <c r="H36" s="1"/>
      <c r="I36" s="43">
        <f t="shared" ref="I36:I37" si="25">+H36*G36</f>
        <v>0</v>
      </c>
      <c r="J36" s="1"/>
      <c r="K36" s="43">
        <f t="shared" ref="K36:K37" si="26">+J36*G36</f>
        <v>0</v>
      </c>
      <c r="L36" s="44">
        <f t="shared" ref="L36:L37" si="27">+H36+J36</f>
        <v>0</v>
      </c>
      <c r="M36" s="43">
        <f t="shared" ref="M36:M37" si="28">L36*G36</f>
        <v>0</v>
      </c>
    </row>
    <row r="37" spans="1:13" ht="30" customHeight="1" thickBot="1" x14ac:dyDescent="0.25">
      <c r="A37" s="80" t="s">
        <v>92</v>
      </c>
      <c r="B37" s="37" t="s">
        <v>86</v>
      </c>
      <c r="C37" s="289" t="s">
        <v>89</v>
      </c>
      <c r="D37" s="290"/>
      <c r="E37" s="291"/>
      <c r="F37" s="41" t="s">
        <v>30</v>
      </c>
      <c r="G37" s="42">
        <v>711.54</v>
      </c>
      <c r="H37" s="1"/>
      <c r="I37" s="43">
        <f t="shared" si="25"/>
        <v>0</v>
      </c>
      <c r="J37" s="1"/>
      <c r="K37" s="43">
        <f t="shared" si="26"/>
        <v>0</v>
      </c>
      <c r="L37" s="44">
        <f t="shared" si="27"/>
        <v>0</v>
      </c>
      <c r="M37" s="43">
        <f t="shared" si="28"/>
        <v>0</v>
      </c>
    </row>
    <row r="38" spans="1:13" ht="37.5" customHeight="1" thickTop="1" thickBot="1" x14ac:dyDescent="0.25">
      <c r="A38" s="29"/>
      <c r="B38" s="30">
        <v>5</v>
      </c>
      <c r="C38" s="272" t="s">
        <v>90</v>
      </c>
      <c r="D38" s="273"/>
      <c r="E38" s="273"/>
      <c r="F38" s="31"/>
      <c r="G38" s="32"/>
      <c r="H38" s="33"/>
      <c r="I38" s="34">
        <f>+I39+I41+I43+I46+I50+I53+I55+I62</f>
        <v>0</v>
      </c>
      <c r="J38" s="33"/>
      <c r="K38" s="34">
        <f>+K39+K41+K43+K46+K50+K53+K55+K62</f>
        <v>0</v>
      </c>
      <c r="L38" s="35"/>
      <c r="M38" s="34">
        <f>+M39+M41+M43+M46+M50+M53+M55+M62</f>
        <v>0</v>
      </c>
    </row>
    <row r="39" spans="1:13" ht="30" customHeight="1" thickTop="1" x14ac:dyDescent="0.2">
      <c r="A39" s="81" t="s">
        <v>95</v>
      </c>
      <c r="B39" s="70" t="s">
        <v>93</v>
      </c>
      <c r="C39" s="270" t="s">
        <v>94</v>
      </c>
      <c r="D39" s="271"/>
      <c r="E39" s="271"/>
      <c r="F39" s="72"/>
      <c r="G39" s="73"/>
      <c r="H39" s="74"/>
      <c r="I39" s="75">
        <f>SUM(I40)</f>
        <v>0</v>
      </c>
      <c r="J39" s="74"/>
      <c r="K39" s="75">
        <f>SUM(K40)</f>
        <v>0</v>
      </c>
      <c r="L39" s="74"/>
      <c r="M39" s="75">
        <f>SUM(M40)</f>
        <v>0</v>
      </c>
    </row>
    <row r="40" spans="1:13" ht="146.25" customHeight="1" x14ac:dyDescent="0.2">
      <c r="A40" s="76"/>
      <c r="B40" s="37" t="s">
        <v>96</v>
      </c>
      <c r="C40" s="276" t="s">
        <v>97</v>
      </c>
      <c r="D40" s="277"/>
      <c r="E40" s="278"/>
      <c r="F40" s="41" t="s">
        <v>30</v>
      </c>
      <c r="G40" s="42">
        <v>1587</v>
      </c>
      <c r="H40" s="1"/>
      <c r="I40" s="43">
        <f t="shared" ref="I40" si="29">+H40*G40</f>
        <v>0</v>
      </c>
      <c r="J40" s="1"/>
      <c r="K40" s="43">
        <f t="shared" ref="K40" si="30">+J40*G40</f>
        <v>0</v>
      </c>
      <c r="L40" s="44">
        <f t="shared" ref="L40" si="31">+H40+J40</f>
        <v>0</v>
      </c>
      <c r="M40" s="43">
        <f t="shared" ref="M40" si="32">L40*G40</f>
        <v>0</v>
      </c>
    </row>
    <row r="41" spans="1:13" ht="30" customHeight="1" x14ac:dyDescent="0.2">
      <c r="A41" s="36"/>
      <c r="B41" s="70" t="s">
        <v>98</v>
      </c>
      <c r="C41" s="270" t="s">
        <v>100</v>
      </c>
      <c r="D41" s="271"/>
      <c r="E41" s="271"/>
      <c r="F41" s="72"/>
      <c r="G41" s="73"/>
      <c r="H41" s="74"/>
      <c r="I41" s="75">
        <f>SUM(I42)</f>
        <v>0</v>
      </c>
      <c r="J41" s="74"/>
      <c r="K41" s="75">
        <f>SUM(K42)</f>
        <v>0</v>
      </c>
      <c r="L41" s="74"/>
      <c r="M41" s="75">
        <f>SUM(M42)</f>
        <v>0</v>
      </c>
    </row>
    <row r="42" spans="1:13" ht="62.25" customHeight="1" x14ac:dyDescent="0.2">
      <c r="A42" s="76"/>
      <c r="B42" s="37" t="s">
        <v>99</v>
      </c>
      <c r="C42" s="276" t="s">
        <v>101</v>
      </c>
      <c r="D42" s="277"/>
      <c r="E42" s="278"/>
      <c r="F42" s="41" t="s">
        <v>30</v>
      </c>
      <c r="G42" s="42">
        <v>185</v>
      </c>
      <c r="H42" s="1"/>
      <c r="I42" s="43">
        <f t="shared" ref="I42" si="33">+H42*G42</f>
        <v>0</v>
      </c>
      <c r="J42" s="1"/>
      <c r="K42" s="43">
        <f t="shared" ref="K42" si="34">+J42*G42</f>
        <v>0</v>
      </c>
      <c r="L42" s="44">
        <f t="shared" ref="L42" si="35">+H42+J42</f>
        <v>0</v>
      </c>
      <c r="M42" s="43">
        <f t="shared" ref="M42" si="36">L42*G42</f>
        <v>0</v>
      </c>
    </row>
    <row r="43" spans="1:13" ht="30" customHeight="1" x14ac:dyDescent="0.2">
      <c r="A43" s="36" t="s">
        <v>103</v>
      </c>
      <c r="B43" s="70" t="s">
        <v>102</v>
      </c>
      <c r="C43" s="270" t="s">
        <v>104</v>
      </c>
      <c r="D43" s="271"/>
      <c r="E43" s="271"/>
      <c r="F43" s="72"/>
      <c r="G43" s="73"/>
      <c r="H43" s="74"/>
      <c r="I43" s="75">
        <f>SUM(I44:I45)</f>
        <v>0</v>
      </c>
      <c r="J43" s="74"/>
      <c r="K43" s="75">
        <f>SUM(K44:K45)</f>
        <v>0</v>
      </c>
      <c r="L43" s="74"/>
      <c r="M43" s="75">
        <f>SUM(M44:M45)</f>
        <v>0</v>
      </c>
    </row>
    <row r="44" spans="1:13" ht="62.25" customHeight="1" x14ac:dyDescent="0.2">
      <c r="A44" s="76"/>
      <c r="B44" s="37" t="s">
        <v>105</v>
      </c>
      <c r="C44" s="276" t="s">
        <v>107</v>
      </c>
      <c r="D44" s="277"/>
      <c r="E44" s="278"/>
      <c r="F44" s="41" t="s">
        <v>38</v>
      </c>
      <c r="G44" s="82">
        <v>1</v>
      </c>
      <c r="H44" s="1"/>
      <c r="I44" s="43">
        <f t="shared" ref="I44" si="37">+H44*G44</f>
        <v>0</v>
      </c>
      <c r="J44" s="1"/>
      <c r="K44" s="43">
        <f t="shared" ref="K44" si="38">+J44*G44</f>
        <v>0</v>
      </c>
      <c r="L44" s="44">
        <f t="shared" ref="L44" si="39">+H44+J44</f>
        <v>0</v>
      </c>
      <c r="M44" s="43">
        <f t="shared" ref="M44" si="40">L44*G44</f>
        <v>0</v>
      </c>
    </row>
    <row r="45" spans="1:13" ht="62.25" customHeight="1" x14ac:dyDescent="0.2">
      <c r="A45" s="76"/>
      <c r="B45" s="37" t="s">
        <v>106</v>
      </c>
      <c r="C45" s="276" t="s">
        <v>108</v>
      </c>
      <c r="D45" s="277"/>
      <c r="E45" s="278"/>
      <c r="F45" s="41" t="s">
        <v>38</v>
      </c>
      <c r="G45" s="82">
        <v>1</v>
      </c>
      <c r="H45" s="1"/>
      <c r="I45" s="43">
        <f t="shared" ref="I45" si="41">+H45*G45</f>
        <v>0</v>
      </c>
      <c r="J45" s="1"/>
      <c r="K45" s="43">
        <f t="shared" ref="K45" si="42">+J45*G45</f>
        <v>0</v>
      </c>
      <c r="L45" s="44">
        <f t="shared" ref="L45" si="43">+H45+J45</f>
        <v>0</v>
      </c>
      <c r="M45" s="43">
        <f t="shared" ref="M45" si="44">L45*G45</f>
        <v>0</v>
      </c>
    </row>
    <row r="46" spans="1:13" ht="30" customHeight="1" x14ac:dyDescent="0.2">
      <c r="A46" s="36" t="s">
        <v>112</v>
      </c>
      <c r="B46" s="70" t="s">
        <v>109</v>
      </c>
      <c r="C46" s="270" t="s">
        <v>113</v>
      </c>
      <c r="D46" s="271"/>
      <c r="E46" s="271"/>
      <c r="F46" s="72"/>
      <c r="G46" s="73"/>
      <c r="H46" s="74"/>
      <c r="I46" s="75">
        <f>SUM(I47:I49)</f>
        <v>0</v>
      </c>
      <c r="J46" s="74"/>
      <c r="K46" s="75">
        <f>SUM(K47:K49)</f>
        <v>0</v>
      </c>
      <c r="L46" s="74"/>
      <c r="M46" s="75">
        <f>SUM(M47:M49)</f>
        <v>0</v>
      </c>
    </row>
    <row r="47" spans="1:13" ht="45" customHeight="1" x14ac:dyDescent="0.2">
      <c r="A47" s="76"/>
      <c r="B47" s="37" t="s">
        <v>110</v>
      </c>
      <c r="C47" s="289" t="s">
        <v>114</v>
      </c>
      <c r="D47" s="290"/>
      <c r="E47" s="291"/>
      <c r="F47" s="41" t="s">
        <v>38</v>
      </c>
      <c r="G47" s="82">
        <v>1</v>
      </c>
      <c r="H47" s="1"/>
      <c r="I47" s="43">
        <f t="shared" ref="I47" si="45">+H47*G47</f>
        <v>0</v>
      </c>
      <c r="J47" s="1"/>
      <c r="K47" s="43">
        <f t="shared" ref="K47" si="46">+J47*G47</f>
        <v>0</v>
      </c>
      <c r="L47" s="44">
        <f t="shared" ref="L47" si="47">+H47+J47</f>
        <v>0</v>
      </c>
      <c r="M47" s="43">
        <f t="shared" ref="M47" si="48">L47*G47</f>
        <v>0</v>
      </c>
    </row>
    <row r="48" spans="1:13" ht="45" customHeight="1" x14ac:dyDescent="0.2">
      <c r="A48" s="76"/>
      <c r="B48" s="37" t="s">
        <v>111</v>
      </c>
      <c r="C48" s="289" t="s">
        <v>115</v>
      </c>
      <c r="D48" s="290"/>
      <c r="E48" s="291"/>
      <c r="F48" s="41" t="s">
        <v>38</v>
      </c>
      <c r="G48" s="82">
        <v>1</v>
      </c>
      <c r="H48" s="1"/>
      <c r="I48" s="43">
        <f t="shared" ref="I48:I49" si="49">+H48*G48</f>
        <v>0</v>
      </c>
      <c r="J48" s="1"/>
      <c r="K48" s="43">
        <f t="shared" ref="K48:K49" si="50">+J48*G48</f>
        <v>0</v>
      </c>
      <c r="L48" s="44">
        <f t="shared" ref="L48:L49" si="51">+H48+J48</f>
        <v>0</v>
      </c>
      <c r="M48" s="43">
        <f t="shared" ref="M48:M49" si="52">L48*G48</f>
        <v>0</v>
      </c>
    </row>
    <row r="49" spans="1:13" ht="45" customHeight="1" x14ac:dyDescent="0.2">
      <c r="A49" s="76"/>
      <c r="B49" s="37" t="s">
        <v>111</v>
      </c>
      <c r="C49" s="289" t="s">
        <v>116</v>
      </c>
      <c r="D49" s="290"/>
      <c r="E49" s="291"/>
      <c r="F49" s="41" t="s">
        <v>38</v>
      </c>
      <c r="G49" s="82">
        <v>2</v>
      </c>
      <c r="H49" s="1"/>
      <c r="I49" s="43">
        <f t="shared" si="49"/>
        <v>0</v>
      </c>
      <c r="J49" s="1"/>
      <c r="K49" s="43">
        <f t="shared" si="50"/>
        <v>0</v>
      </c>
      <c r="L49" s="44">
        <f t="shared" si="51"/>
        <v>0</v>
      </c>
      <c r="M49" s="43">
        <f t="shared" si="52"/>
        <v>0</v>
      </c>
    </row>
    <row r="50" spans="1:13" ht="30" customHeight="1" x14ac:dyDescent="0.2">
      <c r="A50" s="36"/>
      <c r="B50" s="70" t="s">
        <v>118</v>
      </c>
      <c r="C50" s="270" t="s">
        <v>117</v>
      </c>
      <c r="D50" s="271"/>
      <c r="E50" s="271"/>
      <c r="F50" s="72"/>
      <c r="G50" s="73"/>
      <c r="H50" s="74"/>
      <c r="I50" s="75">
        <f>SUM(I51:I52)</f>
        <v>0</v>
      </c>
      <c r="J50" s="74"/>
      <c r="K50" s="75">
        <f>SUM(K51:K52)</f>
        <v>0</v>
      </c>
      <c r="L50" s="74"/>
      <c r="M50" s="75">
        <f>SUM(M51:M52)</f>
        <v>0</v>
      </c>
    </row>
    <row r="51" spans="1:13" ht="45" customHeight="1" x14ac:dyDescent="0.2">
      <c r="A51" s="36" t="s">
        <v>95</v>
      </c>
      <c r="B51" s="37" t="s">
        <v>119</v>
      </c>
      <c r="C51" s="289" t="s">
        <v>121</v>
      </c>
      <c r="D51" s="290"/>
      <c r="E51" s="291"/>
      <c r="F51" s="41" t="s">
        <v>30</v>
      </c>
      <c r="G51" s="42">
        <v>390.3</v>
      </c>
      <c r="H51" s="1"/>
      <c r="I51" s="43">
        <f t="shared" ref="I51" si="53">+H51*G51</f>
        <v>0</v>
      </c>
      <c r="J51" s="1"/>
      <c r="K51" s="43">
        <f t="shared" ref="K51" si="54">+J51*G51</f>
        <v>0</v>
      </c>
      <c r="L51" s="44">
        <f t="shared" ref="L51" si="55">+H51+J51</f>
        <v>0</v>
      </c>
      <c r="M51" s="43">
        <f t="shared" ref="M51" si="56">L51*G51</f>
        <v>0</v>
      </c>
    </row>
    <row r="52" spans="1:13" ht="32.25" customHeight="1" x14ac:dyDescent="0.2">
      <c r="A52" s="76"/>
      <c r="B52" s="37" t="s">
        <v>120</v>
      </c>
      <c r="C52" s="276" t="s">
        <v>122</v>
      </c>
      <c r="D52" s="277"/>
      <c r="E52" s="278"/>
      <c r="F52" s="41" t="s">
        <v>77</v>
      </c>
      <c r="G52" s="42">
        <v>111.9</v>
      </c>
      <c r="H52" s="1"/>
      <c r="I52" s="43">
        <f t="shared" ref="I52" si="57">+H52*G52</f>
        <v>0</v>
      </c>
      <c r="J52" s="1"/>
      <c r="K52" s="43">
        <f t="shared" ref="K52" si="58">+J52*G52</f>
        <v>0</v>
      </c>
      <c r="L52" s="44">
        <f t="shared" ref="L52" si="59">+H52+J52</f>
        <v>0</v>
      </c>
      <c r="M52" s="43">
        <f t="shared" ref="M52" si="60">L52*G52</f>
        <v>0</v>
      </c>
    </row>
    <row r="53" spans="1:13" ht="30" customHeight="1" x14ac:dyDescent="0.2">
      <c r="A53" s="36" t="s">
        <v>95</v>
      </c>
      <c r="B53" s="70" t="s">
        <v>123</v>
      </c>
      <c r="C53" s="270" t="s">
        <v>124</v>
      </c>
      <c r="D53" s="271"/>
      <c r="E53" s="271"/>
      <c r="F53" s="72"/>
      <c r="G53" s="73"/>
      <c r="H53" s="74"/>
      <c r="I53" s="75">
        <f>SUM(I54)</f>
        <v>0</v>
      </c>
      <c r="J53" s="74"/>
      <c r="K53" s="75">
        <f>SUM(K54)</f>
        <v>0</v>
      </c>
      <c r="L53" s="74"/>
      <c r="M53" s="75">
        <f>SUM(M54)</f>
        <v>0</v>
      </c>
    </row>
    <row r="54" spans="1:13" ht="30.75" customHeight="1" x14ac:dyDescent="0.2">
      <c r="A54" s="76"/>
      <c r="B54" s="37" t="s">
        <v>125</v>
      </c>
      <c r="C54" s="276" t="s">
        <v>126</v>
      </c>
      <c r="D54" s="277"/>
      <c r="E54" s="278"/>
      <c r="F54" s="41" t="s">
        <v>77</v>
      </c>
      <c r="G54" s="42">
        <v>263.39999999999998</v>
      </c>
      <c r="H54" s="1"/>
      <c r="I54" s="43">
        <f t="shared" ref="I54" si="61">+H54*G54</f>
        <v>0</v>
      </c>
      <c r="J54" s="1"/>
      <c r="K54" s="43">
        <f t="shared" ref="K54" si="62">+J54*G54</f>
        <v>0</v>
      </c>
      <c r="L54" s="44">
        <f t="shared" ref="L54" si="63">+H54+J54</f>
        <v>0</v>
      </c>
      <c r="M54" s="43">
        <f t="shared" ref="M54" si="64">L54*G54</f>
        <v>0</v>
      </c>
    </row>
    <row r="55" spans="1:13" ht="30" customHeight="1" x14ac:dyDescent="0.2">
      <c r="A55" s="36"/>
      <c r="B55" s="70" t="s">
        <v>127</v>
      </c>
      <c r="C55" s="270" t="s">
        <v>128</v>
      </c>
      <c r="D55" s="271"/>
      <c r="E55" s="271"/>
      <c r="F55" s="83"/>
      <c r="G55" s="84"/>
      <c r="H55" s="74"/>
      <c r="I55" s="75">
        <f>SUM(I56:I61)</f>
        <v>0</v>
      </c>
      <c r="J55" s="74"/>
      <c r="K55" s="75">
        <f>SUM(K56:K61)</f>
        <v>0</v>
      </c>
      <c r="L55" s="74"/>
      <c r="M55" s="75">
        <f>SUM(M56:M61)</f>
        <v>0</v>
      </c>
    </row>
    <row r="56" spans="1:13" ht="74.25" customHeight="1" x14ac:dyDescent="0.2">
      <c r="A56" s="36" t="s">
        <v>95</v>
      </c>
      <c r="B56" s="37" t="s">
        <v>129</v>
      </c>
      <c r="C56" s="289" t="s">
        <v>135</v>
      </c>
      <c r="D56" s="290"/>
      <c r="E56" s="291"/>
      <c r="F56" s="41" t="s">
        <v>30</v>
      </c>
      <c r="G56" s="42">
        <v>2637.11</v>
      </c>
      <c r="H56" s="1"/>
      <c r="I56" s="43">
        <f t="shared" ref="I56" si="65">+H56*G56</f>
        <v>0</v>
      </c>
      <c r="J56" s="1"/>
      <c r="K56" s="43">
        <f t="shared" ref="K56" si="66">+J56*G56</f>
        <v>0</v>
      </c>
      <c r="L56" s="44">
        <f t="shared" ref="L56" si="67">+H56+J56</f>
        <v>0</v>
      </c>
      <c r="M56" s="43">
        <f t="shared" ref="M56" si="68">L56*G56</f>
        <v>0</v>
      </c>
    </row>
    <row r="57" spans="1:13" ht="30" customHeight="1" x14ac:dyDescent="0.2">
      <c r="A57" s="76"/>
      <c r="B57" s="37" t="s">
        <v>130</v>
      </c>
      <c r="C57" s="289" t="s">
        <v>136</v>
      </c>
      <c r="D57" s="290"/>
      <c r="E57" s="291"/>
      <c r="F57" s="41" t="s">
        <v>77</v>
      </c>
      <c r="G57" s="42">
        <v>207.32</v>
      </c>
      <c r="H57" s="1"/>
      <c r="I57" s="43">
        <f t="shared" ref="I57:I61" si="69">+H57*G57</f>
        <v>0</v>
      </c>
      <c r="J57" s="1"/>
      <c r="K57" s="43">
        <f t="shared" ref="K57:K61" si="70">+J57*G57</f>
        <v>0</v>
      </c>
      <c r="L57" s="44">
        <f t="shared" ref="L57:L61" si="71">+H57+J57</f>
        <v>0</v>
      </c>
      <c r="M57" s="43">
        <f t="shared" ref="M57:M61" si="72">L57*G57</f>
        <v>0</v>
      </c>
    </row>
    <row r="58" spans="1:13" ht="30" customHeight="1" x14ac:dyDescent="0.2">
      <c r="A58" s="76"/>
      <c r="B58" s="37" t="s">
        <v>131</v>
      </c>
      <c r="C58" s="289" t="s">
        <v>137</v>
      </c>
      <c r="D58" s="290"/>
      <c r="E58" s="291"/>
      <c r="F58" s="41" t="s">
        <v>30</v>
      </c>
      <c r="G58" s="42">
        <v>310.98</v>
      </c>
      <c r="H58" s="1"/>
      <c r="I58" s="43">
        <f t="shared" si="69"/>
        <v>0</v>
      </c>
      <c r="J58" s="1"/>
      <c r="K58" s="43">
        <f t="shared" si="70"/>
        <v>0</v>
      </c>
      <c r="L58" s="44">
        <f t="shared" si="71"/>
        <v>0</v>
      </c>
      <c r="M58" s="43">
        <f t="shared" si="72"/>
        <v>0</v>
      </c>
    </row>
    <row r="59" spans="1:13" ht="30" customHeight="1" x14ac:dyDescent="0.2">
      <c r="A59" s="76"/>
      <c r="B59" s="37" t="s">
        <v>132</v>
      </c>
      <c r="C59" s="289" t="s">
        <v>138</v>
      </c>
      <c r="D59" s="290"/>
      <c r="E59" s="291"/>
      <c r="F59" s="41" t="s">
        <v>30</v>
      </c>
      <c r="G59" s="42">
        <v>390.48</v>
      </c>
      <c r="H59" s="1"/>
      <c r="I59" s="43">
        <f t="shared" si="69"/>
        <v>0</v>
      </c>
      <c r="J59" s="1"/>
      <c r="K59" s="43">
        <f t="shared" si="70"/>
        <v>0</v>
      </c>
      <c r="L59" s="44">
        <f t="shared" si="71"/>
        <v>0</v>
      </c>
      <c r="M59" s="43">
        <f t="shared" si="72"/>
        <v>0</v>
      </c>
    </row>
    <row r="60" spans="1:13" ht="30" customHeight="1" x14ac:dyDescent="0.2">
      <c r="A60" s="76"/>
      <c r="B60" s="37" t="s">
        <v>133</v>
      </c>
      <c r="C60" s="289" t="s">
        <v>139</v>
      </c>
      <c r="D60" s="290"/>
      <c r="E60" s="291"/>
      <c r="F60" s="41" t="s">
        <v>38</v>
      </c>
      <c r="G60" s="82">
        <v>1</v>
      </c>
      <c r="H60" s="1"/>
      <c r="I60" s="43">
        <f t="shared" si="69"/>
        <v>0</v>
      </c>
      <c r="J60" s="1"/>
      <c r="K60" s="43">
        <f t="shared" si="70"/>
        <v>0</v>
      </c>
      <c r="L60" s="44">
        <f t="shared" si="71"/>
        <v>0</v>
      </c>
      <c r="M60" s="43">
        <f t="shared" si="72"/>
        <v>0</v>
      </c>
    </row>
    <row r="61" spans="1:13" ht="30" customHeight="1" x14ac:dyDescent="0.2">
      <c r="A61" s="76"/>
      <c r="B61" s="37" t="s">
        <v>134</v>
      </c>
      <c r="C61" s="289" t="s">
        <v>140</v>
      </c>
      <c r="D61" s="290"/>
      <c r="E61" s="291"/>
      <c r="F61" s="41" t="s">
        <v>38</v>
      </c>
      <c r="G61" s="82">
        <v>1</v>
      </c>
      <c r="H61" s="1"/>
      <c r="I61" s="43">
        <f t="shared" si="69"/>
        <v>0</v>
      </c>
      <c r="J61" s="1"/>
      <c r="K61" s="43">
        <f t="shared" si="70"/>
        <v>0</v>
      </c>
      <c r="L61" s="44">
        <f t="shared" si="71"/>
        <v>0</v>
      </c>
      <c r="M61" s="43">
        <f t="shared" si="72"/>
        <v>0</v>
      </c>
    </row>
    <row r="62" spans="1:13" ht="30" customHeight="1" x14ac:dyDescent="0.2">
      <c r="A62" s="36"/>
      <c r="B62" s="70" t="s">
        <v>142</v>
      </c>
      <c r="C62" s="270" t="s">
        <v>141</v>
      </c>
      <c r="D62" s="271"/>
      <c r="E62" s="271"/>
      <c r="F62" s="72"/>
      <c r="G62" s="73"/>
      <c r="H62" s="74"/>
      <c r="I62" s="75">
        <f>SUM(I63)</f>
        <v>0</v>
      </c>
      <c r="J62" s="74"/>
      <c r="K62" s="75">
        <f>SUM(K63)</f>
        <v>0</v>
      </c>
      <c r="L62" s="74"/>
      <c r="M62" s="75">
        <f>SUM(M63)</f>
        <v>0</v>
      </c>
    </row>
    <row r="63" spans="1:13" ht="42.75" customHeight="1" thickBot="1" x14ac:dyDescent="0.25">
      <c r="A63" s="76"/>
      <c r="B63" s="37" t="s">
        <v>143</v>
      </c>
      <c r="C63" s="276" t="s">
        <v>144</v>
      </c>
      <c r="D63" s="277"/>
      <c r="E63" s="278"/>
      <c r="F63" s="41" t="s">
        <v>77</v>
      </c>
      <c r="G63" s="42">
        <v>21.55</v>
      </c>
      <c r="H63" s="1"/>
      <c r="I63" s="43">
        <f t="shared" ref="I63" si="73">+H63*G63</f>
        <v>0</v>
      </c>
      <c r="J63" s="1"/>
      <c r="K63" s="43">
        <f t="shared" ref="K63" si="74">+J63*G63</f>
        <v>0</v>
      </c>
      <c r="L63" s="44">
        <f t="shared" ref="L63" si="75">+H63+J63</f>
        <v>0</v>
      </c>
      <c r="M63" s="43">
        <f t="shared" ref="M63" si="76">L63*G63</f>
        <v>0</v>
      </c>
    </row>
    <row r="64" spans="1:13" ht="37.5" customHeight="1" thickTop="1" thickBot="1" x14ac:dyDescent="0.25">
      <c r="A64" s="29"/>
      <c r="B64" s="30">
        <v>6</v>
      </c>
      <c r="C64" s="272" t="s">
        <v>145</v>
      </c>
      <c r="D64" s="273"/>
      <c r="E64" s="273"/>
      <c r="F64" s="31"/>
      <c r="G64" s="32"/>
      <c r="H64" s="33"/>
      <c r="I64" s="34">
        <f>+I65+I70+I76+I82+I88+I97+I100+I102+I105</f>
        <v>0</v>
      </c>
      <c r="J64" s="33"/>
      <c r="K64" s="34">
        <f>+K65+K70+K76+K82+K88+K97+K100+K102+K105</f>
        <v>0</v>
      </c>
      <c r="L64" s="35"/>
      <c r="M64" s="34">
        <f>+M65+M70+M76+M82+M88+M97+M100+M102+M105</f>
        <v>0</v>
      </c>
    </row>
    <row r="65" spans="1:13" ht="30" customHeight="1" thickTop="1" x14ac:dyDescent="0.2">
      <c r="A65" s="36" t="s">
        <v>154</v>
      </c>
      <c r="B65" s="70" t="s">
        <v>147</v>
      </c>
      <c r="C65" s="274" t="s">
        <v>146</v>
      </c>
      <c r="D65" s="275"/>
      <c r="E65" s="275"/>
      <c r="F65" s="72"/>
      <c r="G65" s="73"/>
      <c r="H65" s="74"/>
      <c r="I65" s="75">
        <f>SUM(I66:I69)</f>
        <v>0</v>
      </c>
      <c r="J65" s="74"/>
      <c r="K65" s="75">
        <f>SUM(K66:K69)</f>
        <v>0</v>
      </c>
      <c r="L65" s="74"/>
      <c r="M65" s="75">
        <f>SUM(M66:M69)</f>
        <v>0</v>
      </c>
    </row>
    <row r="66" spans="1:13" ht="30" customHeight="1" x14ac:dyDescent="0.2">
      <c r="A66" s="76"/>
      <c r="B66" s="37" t="s">
        <v>148</v>
      </c>
      <c r="C66" s="276" t="s">
        <v>151</v>
      </c>
      <c r="D66" s="277"/>
      <c r="E66" s="278"/>
      <c r="F66" s="41" t="s">
        <v>30</v>
      </c>
      <c r="G66" s="42">
        <v>144.16999999999999</v>
      </c>
      <c r="H66" s="1"/>
      <c r="I66" s="43">
        <f t="shared" ref="I66" si="77">+H66*G66</f>
        <v>0</v>
      </c>
      <c r="J66" s="1"/>
      <c r="K66" s="43">
        <f t="shared" ref="K66" si="78">+J66*G66</f>
        <v>0</v>
      </c>
      <c r="L66" s="44">
        <f t="shared" ref="L66" si="79">+H66+J66</f>
        <v>0</v>
      </c>
      <c r="M66" s="43">
        <f t="shared" ref="M66" si="80">L66*G66</f>
        <v>0</v>
      </c>
    </row>
    <row r="67" spans="1:13" ht="30" customHeight="1" x14ac:dyDescent="0.2">
      <c r="A67" s="76"/>
      <c r="B67" s="37" t="s">
        <v>149</v>
      </c>
      <c r="C67" s="276" t="s">
        <v>152</v>
      </c>
      <c r="D67" s="277"/>
      <c r="E67" s="278"/>
      <c r="F67" s="41" t="s">
        <v>30</v>
      </c>
      <c r="G67" s="42">
        <v>1868.82</v>
      </c>
      <c r="H67" s="1"/>
      <c r="I67" s="43">
        <f t="shared" ref="I67" si="81">+H67*G67</f>
        <v>0</v>
      </c>
      <c r="J67" s="1"/>
      <c r="K67" s="43">
        <f t="shared" ref="K67" si="82">+J67*G67</f>
        <v>0</v>
      </c>
      <c r="L67" s="44">
        <f t="shared" ref="L67" si="83">+H67+J67</f>
        <v>0</v>
      </c>
      <c r="M67" s="43">
        <f t="shared" ref="M67" si="84">L67*G67</f>
        <v>0</v>
      </c>
    </row>
    <row r="68" spans="1:13" ht="30" customHeight="1" x14ac:dyDescent="0.2">
      <c r="A68" s="76"/>
      <c r="B68" s="37" t="s">
        <v>150</v>
      </c>
      <c r="C68" s="38" t="s">
        <v>153</v>
      </c>
      <c r="D68" s="39"/>
      <c r="E68" s="40"/>
      <c r="F68" s="41" t="s">
        <v>30</v>
      </c>
      <c r="G68" s="42">
        <v>213.73</v>
      </c>
      <c r="H68" s="1"/>
      <c r="I68" s="43">
        <f t="shared" ref="I68:I69" si="85">+H68*G68</f>
        <v>0</v>
      </c>
      <c r="J68" s="1"/>
      <c r="K68" s="43">
        <f t="shared" ref="K68:K69" si="86">+J68*G68</f>
        <v>0</v>
      </c>
      <c r="L68" s="44">
        <f t="shared" ref="L68:L69" si="87">+H68+J68</f>
        <v>0</v>
      </c>
      <c r="M68" s="43">
        <f t="shared" ref="M68:M69" si="88">L68*G68</f>
        <v>0</v>
      </c>
    </row>
    <row r="69" spans="1:13" ht="30" customHeight="1" x14ac:dyDescent="0.2">
      <c r="A69" s="76"/>
      <c r="B69" s="37" t="s">
        <v>1198</v>
      </c>
      <c r="C69" s="276" t="s">
        <v>2303</v>
      </c>
      <c r="D69" s="277"/>
      <c r="E69" s="278"/>
      <c r="F69" s="41" t="s">
        <v>30</v>
      </c>
      <c r="G69" s="42">
        <v>21.5</v>
      </c>
      <c r="H69" s="1"/>
      <c r="I69" s="43">
        <f t="shared" si="85"/>
        <v>0</v>
      </c>
      <c r="J69" s="1"/>
      <c r="K69" s="43">
        <f t="shared" si="86"/>
        <v>0</v>
      </c>
      <c r="L69" s="44">
        <f t="shared" si="87"/>
        <v>0</v>
      </c>
      <c r="M69" s="43">
        <f t="shared" si="88"/>
        <v>0</v>
      </c>
    </row>
    <row r="70" spans="1:13" ht="30" customHeight="1" x14ac:dyDescent="0.2">
      <c r="A70" s="36"/>
      <c r="B70" s="70" t="s">
        <v>155</v>
      </c>
      <c r="C70" s="270" t="s">
        <v>161</v>
      </c>
      <c r="D70" s="271"/>
      <c r="E70" s="271"/>
      <c r="F70" s="72"/>
      <c r="G70" s="73"/>
      <c r="H70" s="74"/>
      <c r="I70" s="75">
        <f>SUM(I71:I75)</f>
        <v>0</v>
      </c>
      <c r="J70" s="74"/>
      <c r="K70" s="75">
        <f>SUM(K71:K75)</f>
        <v>0</v>
      </c>
      <c r="L70" s="74"/>
      <c r="M70" s="75">
        <f>SUM(M71:M75)</f>
        <v>0</v>
      </c>
    </row>
    <row r="71" spans="1:13" ht="30" customHeight="1" x14ac:dyDescent="0.2">
      <c r="A71" s="85" t="s">
        <v>163</v>
      </c>
      <c r="B71" s="37" t="s">
        <v>156</v>
      </c>
      <c r="C71" s="276" t="s">
        <v>164</v>
      </c>
      <c r="D71" s="277"/>
      <c r="E71" s="278"/>
      <c r="F71" s="41" t="s">
        <v>30</v>
      </c>
      <c r="G71" s="42">
        <v>6710.46</v>
      </c>
      <c r="H71" s="1"/>
      <c r="I71" s="43">
        <f t="shared" ref="I71:I75" si="89">+H71*G71</f>
        <v>0</v>
      </c>
      <c r="J71" s="1"/>
      <c r="K71" s="43">
        <f t="shared" ref="K71:K75" si="90">+J71*G71</f>
        <v>0</v>
      </c>
      <c r="L71" s="44">
        <f t="shared" ref="L71:L75" si="91">+H71+J71</f>
        <v>0</v>
      </c>
      <c r="M71" s="43">
        <f t="shared" ref="M71:M75" si="92">L71*G71</f>
        <v>0</v>
      </c>
    </row>
    <row r="72" spans="1:13" ht="30" customHeight="1" x14ac:dyDescent="0.2">
      <c r="A72" s="36" t="s">
        <v>162</v>
      </c>
      <c r="B72" s="37" t="s">
        <v>157</v>
      </c>
      <c r="C72" s="276" t="s">
        <v>165</v>
      </c>
      <c r="D72" s="277"/>
      <c r="E72" s="278"/>
      <c r="F72" s="41" t="s">
        <v>30</v>
      </c>
      <c r="G72" s="42">
        <v>3622.71</v>
      </c>
      <c r="H72" s="1"/>
      <c r="I72" s="43">
        <f t="shared" si="89"/>
        <v>0</v>
      </c>
      <c r="J72" s="1"/>
      <c r="K72" s="43">
        <f t="shared" si="90"/>
        <v>0</v>
      </c>
      <c r="L72" s="44">
        <f t="shared" si="91"/>
        <v>0</v>
      </c>
      <c r="M72" s="43">
        <f t="shared" si="92"/>
        <v>0</v>
      </c>
    </row>
    <row r="73" spans="1:13" ht="30" customHeight="1" x14ac:dyDescent="0.2">
      <c r="A73" s="36" t="s">
        <v>162</v>
      </c>
      <c r="B73" s="37" t="s">
        <v>158</v>
      </c>
      <c r="C73" s="276" t="s">
        <v>166</v>
      </c>
      <c r="D73" s="277"/>
      <c r="E73" s="278"/>
      <c r="F73" s="41" t="s">
        <v>30</v>
      </c>
      <c r="G73" s="42">
        <v>2229.1</v>
      </c>
      <c r="H73" s="1"/>
      <c r="I73" s="43">
        <f t="shared" ref="I73:I74" si="93">+H73*G73</f>
        <v>0</v>
      </c>
      <c r="J73" s="1"/>
      <c r="K73" s="43">
        <f t="shared" ref="K73:K74" si="94">+J73*G73</f>
        <v>0</v>
      </c>
      <c r="L73" s="44">
        <f t="shared" ref="L73:L74" si="95">+H73+J73</f>
        <v>0</v>
      </c>
      <c r="M73" s="43">
        <f t="shared" ref="M73:M74" si="96">L73*G73</f>
        <v>0</v>
      </c>
    </row>
    <row r="74" spans="1:13" ht="30" customHeight="1" x14ac:dyDescent="0.2">
      <c r="A74" s="85" t="s">
        <v>163</v>
      </c>
      <c r="B74" s="37" t="s">
        <v>159</v>
      </c>
      <c r="C74" s="276" t="s">
        <v>167</v>
      </c>
      <c r="D74" s="277"/>
      <c r="E74" s="278"/>
      <c r="F74" s="41" t="s">
        <v>30</v>
      </c>
      <c r="G74" s="42">
        <v>2229.1</v>
      </c>
      <c r="H74" s="1"/>
      <c r="I74" s="43">
        <f t="shared" si="93"/>
        <v>0</v>
      </c>
      <c r="J74" s="1"/>
      <c r="K74" s="43">
        <f t="shared" si="94"/>
        <v>0</v>
      </c>
      <c r="L74" s="44">
        <f t="shared" si="95"/>
        <v>0</v>
      </c>
      <c r="M74" s="43">
        <f t="shared" si="96"/>
        <v>0</v>
      </c>
    </row>
    <row r="75" spans="1:13" ht="30" customHeight="1" x14ac:dyDescent="0.2">
      <c r="A75" s="36" t="s">
        <v>162</v>
      </c>
      <c r="B75" s="37" t="s">
        <v>160</v>
      </c>
      <c r="C75" s="276" t="s">
        <v>168</v>
      </c>
      <c r="D75" s="277"/>
      <c r="E75" s="278"/>
      <c r="F75" s="41" t="s">
        <v>30</v>
      </c>
      <c r="G75" s="42">
        <v>34.32</v>
      </c>
      <c r="H75" s="1"/>
      <c r="I75" s="43">
        <f t="shared" si="89"/>
        <v>0</v>
      </c>
      <c r="J75" s="1"/>
      <c r="K75" s="43">
        <f t="shared" si="90"/>
        <v>0</v>
      </c>
      <c r="L75" s="44">
        <f t="shared" si="91"/>
        <v>0</v>
      </c>
      <c r="M75" s="43">
        <f t="shared" si="92"/>
        <v>0</v>
      </c>
    </row>
    <row r="76" spans="1:13" ht="30" customHeight="1" x14ac:dyDescent="0.2">
      <c r="A76" s="36"/>
      <c r="B76" s="70" t="s">
        <v>169</v>
      </c>
      <c r="C76" s="270" t="s">
        <v>182</v>
      </c>
      <c r="D76" s="271"/>
      <c r="E76" s="271"/>
      <c r="F76" s="72"/>
      <c r="G76" s="73"/>
      <c r="H76" s="74"/>
      <c r="I76" s="75">
        <f>SUM(I77:I81)</f>
        <v>0</v>
      </c>
      <c r="J76" s="74"/>
      <c r="K76" s="75">
        <f>SUM(K77:K81)</f>
        <v>0</v>
      </c>
      <c r="L76" s="74"/>
      <c r="M76" s="75">
        <f>SUM(M77:M81)</f>
        <v>0</v>
      </c>
    </row>
    <row r="77" spans="1:13" ht="30" customHeight="1" x14ac:dyDescent="0.2">
      <c r="A77" s="85" t="s">
        <v>180</v>
      </c>
      <c r="B77" s="37" t="s">
        <v>170</v>
      </c>
      <c r="C77" s="276" t="s">
        <v>175</v>
      </c>
      <c r="D77" s="277"/>
      <c r="E77" s="278"/>
      <c r="F77" s="41" t="s">
        <v>30</v>
      </c>
      <c r="G77" s="42">
        <v>34.32</v>
      </c>
      <c r="H77" s="1"/>
      <c r="I77" s="43">
        <f t="shared" ref="I77" si="97">+H77*G77</f>
        <v>0</v>
      </c>
      <c r="J77" s="1"/>
      <c r="K77" s="43">
        <f t="shared" ref="K77" si="98">+J77*G77</f>
        <v>0</v>
      </c>
      <c r="L77" s="44">
        <f t="shared" ref="L77" si="99">+H77+J77</f>
        <v>0</v>
      </c>
      <c r="M77" s="43">
        <f t="shared" ref="M77" si="100">L77*G77</f>
        <v>0</v>
      </c>
    </row>
    <row r="78" spans="1:13" ht="57.75" customHeight="1" x14ac:dyDescent="0.2">
      <c r="A78" s="36" t="s">
        <v>181</v>
      </c>
      <c r="B78" s="37" t="s">
        <v>171</v>
      </c>
      <c r="C78" s="276" t="s">
        <v>176</v>
      </c>
      <c r="D78" s="277"/>
      <c r="E78" s="278"/>
      <c r="F78" s="41" t="s">
        <v>30</v>
      </c>
      <c r="G78" s="42">
        <v>387.9</v>
      </c>
      <c r="H78" s="1"/>
      <c r="I78" s="43">
        <f t="shared" ref="I78:I81" si="101">+H78*G78</f>
        <v>0</v>
      </c>
      <c r="J78" s="1"/>
      <c r="K78" s="43">
        <f t="shared" ref="K78:K81" si="102">+J78*G78</f>
        <v>0</v>
      </c>
      <c r="L78" s="44">
        <f t="shared" ref="L78:L81" si="103">+H78+J78</f>
        <v>0</v>
      </c>
      <c r="M78" s="43">
        <f t="shared" ref="M78:M81" si="104">L78*G78</f>
        <v>0</v>
      </c>
    </row>
    <row r="79" spans="1:13" ht="30" customHeight="1" x14ac:dyDescent="0.2">
      <c r="A79" s="36" t="s">
        <v>181</v>
      </c>
      <c r="B79" s="37" t="s">
        <v>172</v>
      </c>
      <c r="C79" s="276" t="s">
        <v>177</v>
      </c>
      <c r="D79" s="277"/>
      <c r="E79" s="278"/>
      <c r="F79" s="41" t="s">
        <v>30</v>
      </c>
      <c r="G79" s="42">
        <v>245.1</v>
      </c>
      <c r="H79" s="1"/>
      <c r="I79" s="43">
        <f t="shared" si="101"/>
        <v>0</v>
      </c>
      <c r="J79" s="1"/>
      <c r="K79" s="43">
        <f t="shared" si="102"/>
        <v>0</v>
      </c>
      <c r="L79" s="44">
        <f t="shared" si="103"/>
        <v>0</v>
      </c>
      <c r="M79" s="43">
        <f t="shared" si="104"/>
        <v>0</v>
      </c>
    </row>
    <row r="80" spans="1:13" ht="30" customHeight="1" x14ac:dyDescent="0.2">
      <c r="A80" s="85" t="s">
        <v>181</v>
      </c>
      <c r="B80" s="37" t="s">
        <v>173</v>
      </c>
      <c r="C80" s="276" t="s">
        <v>178</v>
      </c>
      <c r="D80" s="277"/>
      <c r="E80" s="278"/>
      <c r="F80" s="41" t="s">
        <v>30</v>
      </c>
      <c r="G80" s="42">
        <v>99.6</v>
      </c>
      <c r="H80" s="1"/>
      <c r="I80" s="43">
        <f t="shared" si="101"/>
        <v>0</v>
      </c>
      <c r="J80" s="1"/>
      <c r="K80" s="43">
        <f t="shared" si="102"/>
        <v>0</v>
      </c>
      <c r="L80" s="44">
        <f t="shared" si="103"/>
        <v>0</v>
      </c>
      <c r="M80" s="43">
        <f t="shared" si="104"/>
        <v>0</v>
      </c>
    </row>
    <row r="81" spans="1:13" ht="30" customHeight="1" x14ac:dyDescent="0.2">
      <c r="A81" s="36" t="s">
        <v>181</v>
      </c>
      <c r="B81" s="37" t="s">
        <v>174</v>
      </c>
      <c r="C81" s="276" t="s">
        <v>179</v>
      </c>
      <c r="D81" s="277"/>
      <c r="E81" s="278"/>
      <c r="F81" s="41" t="s">
        <v>30</v>
      </c>
      <c r="G81" s="42">
        <v>322.8</v>
      </c>
      <c r="H81" s="1"/>
      <c r="I81" s="43">
        <f t="shared" si="101"/>
        <v>0</v>
      </c>
      <c r="J81" s="1"/>
      <c r="K81" s="43">
        <f t="shared" si="102"/>
        <v>0</v>
      </c>
      <c r="L81" s="44">
        <f t="shared" si="103"/>
        <v>0</v>
      </c>
      <c r="M81" s="43">
        <f t="shared" si="104"/>
        <v>0</v>
      </c>
    </row>
    <row r="82" spans="1:13" ht="30" customHeight="1" x14ac:dyDescent="0.2">
      <c r="A82" s="36"/>
      <c r="B82" s="70" t="s">
        <v>169</v>
      </c>
      <c r="C82" s="270" t="s">
        <v>183</v>
      </c>
      <c r="D82" s="271"/>
      <c r="E82" s="271"/>
      <c r="F82" s="72"/>
      <c r="G82" s="73"/>
      <c r="H82" s="74"/>
      <c r="I82" s="75">
        <f>SUM(I83:I87)</f>
        <v>0</v>
      </c>
      <c r="J82" s="74"/>
      <c r="K82" s="75">
        <f>SUM(K83:K87)</f>
        <v>0</v>
      </c>
      <c r="L82" s="74"/>
      <c r="M82" s="75">
        <f>SUM(M83:M87)</f>
        <v>0</v>
      </c>
    </row>
    <row r="83" spans="1:13" ht="30" customHeight="1" x14ac:dyDescent="0.2">
      <c r="A83" s="85" t="s">
        <v>162</v>
      </c>
      <c r="B83" s="37" t="s">
        <v>170</v>
      </c>
      <c r="C83" s="276" t="s">
        <v>184</v>
      </c>
      <c r="D83" s="277"/>
      <c r="E83" s="278"/>
      <c r="F83" s="41" t="s">
        <v>30</v>
      </c>
      <c r="G83" s="42">
        <v>2851</v>
      </c>
      <c r="H83" s="1"/>
      <c r="I83" s="43">
        <f t="shared" ref="I83:I87" si="105">+H83*G83</f>
        <v>0</v>
      </c>
      <c r="J83" s="1"/>
      <c r="K83" s="43">
        <f t="shared" ref="K83:K87" si="106">+J83*G83</f>
        <v>0</v>
      </c>
      <c r="L83" s="44">
        <f t="shared" ref="L83:L87" si="107">+H83+J83</f>
        <v>0</v>
      </c>
      <c r="M83" s="43">
        <f t="shared" ref="M83:M87" si="108">L83*G83</f>
        <v>0</v>
      </c>
    </row>
    <row r="84" spans="1:13" ht="30" customHeight="1" x14ac:dyDescent="0.2">
      <c r="A84" s="36" t="s">
        <v>190</v>
      </c>
      <c r="B84" s="37" t="s">
        <v>171</v>
      </c>
      <c r="C84" s="276" t="s">
        <v>185</v>
      </c>
      <c r="D84" s="277"/>
      <c r="E84" s="278"/>
      <c r="F84" s="41" t="s">
        <v>30</v>
      </c>
      <c r="G84" s="42">
        <v>695.3</v>
      </c>
      <c r="H84" s="1"/>
      <c r="I84" s="43">
        <f t="shared" si="105"/>
        <v>0</v>
      </c>
      <c r="J84" s="1"/>
      <c r="K84" s="43">
        <f t="shared" si="106"/>
        <v>0</v>
      </c>
      <c r="L84" s="44">
        <f t="shared" si="107"/>
        <v>0</v>
      </c>
      <c r="M84" s="43">
        <f t="shared" si="108"/>
        <v>0</v>
      </c>
    </row>
    <row r="85" spans="1:13" ht="30" customHeight="1" x14ac:dyDescent="0.2">
      <c r="A85" s="36" t="s">
        <v>190</v>
      </c>
      <c r="B85" s="37" t="s">
        <v>172</v>
      </c>
      <c r="C85" s="276" t="s">
        <v>186</v>
      </c>
      <c r="D85" s="277"/>
      <c r="E85" s="278"/>
      <c r="F85" s="41" t="s">
        <v>30</v>
      </c>
      <c r="G85" s="42">
        <v>125.5</v>
      </c>
      <c r="H85" s="1"/>
      <c r="I85" s="43">
        <f t="shared" si="105"/>
        <v>0</v>
      </c>
      <c r="J85" s="1"/>
      <c r="K85" s="43">
        <f t="shared" si="106"/>
        <v>0</v>
      </c>
      <c r="L85" s="44">
        <f t="shared" si="107"/>
        <v>0</v>
      </c>
      <c r="M85" s="43">
        <f t="shared" si="108"/>
        <v>0</v>
      </c>
    </row>
    <row r="86" spans="1:13" ht="30" customHeight="1" x14ac:dyDescent="0.2">
      <c r="A86" s="85" t="s">
        <v>162</v>
      </c>
      <c r="B86" s="37" t="s">
        <v>173</v>
      </c>
      <c r="C86" s="276" t="s">
        <v>187</v>
      </c>
      <c r="D86" s="277"/>
      <c r="E86" s="278"/>
      <c r="F86" s="41" t="s">
        <v>30</v>
      </c>
      <c r="G86" s="42">
        <v>695.3</v>
      </c>
      <c r="H86" s="1"/>
      <c r="I86" s="43">
        <f t="shared" si="105"/>
        <v>0</v>
      </c>
      <c r="J86" s="1"/>
      <c r="K86" s="43">
        <f t="shared" si="106"/>
        <v>0</v>
      </c>
      <c r="L86" s="44">
        <f t="shared" si="107"/>
        <v>0</v>
      </c>
      <c r="M86" s="43">
        <f t="shared" si="108"/>
        <v>0</v>
      </c>
    </row>
    <row r="87" spans="1:13" ht="30" customHeight="1" x14ac:dyDescent="0.2">
      <c r="A87" s="36" t="s">
        <v>162</v>
      </c>
      <c r="B87" s="37" t="s">
        <v>174</v>
      </c>
      <c r="C87" s="276" t="s">
        <v>188</v>
      </c>
      <c r="D87" s="277"/>
      <c r="E87" s="278"/>
      <c r="F87" s="41" t="s">
        <v>30</v>
      </c>
      <c r="G87" s="42">
        <v>125.5</v>
      </c>
      <c r="H87" s="1"/>
      <c r="I87" s="43">
        <f t="shared" si="105"/>
        <v>0</v>
      </c>
      <c r="J87" s="1"/>
      <c r="K87" s="43">
        <f t="shared" si="106"/>
        <v>0</v>
      </c>
      <c r="L87" s="44">
        <f t="shared" si="107"/>
        <v>0</v>
      </c>
      <c r="M87" s="43">
        <f t="shared" si="108"/>
        <v>0</v>
      </c>
    </row>
    <row r="88" spans="1:13" ht="30" customHeight="1" x14ac:dyDescent="0.2">
      <c r="A88" s="36"/>
      <c r="B88" s="70" t="s">
        <v>191</v>
      </c>
      <c r="C88" s="270" t="s">
        <v>199</v>
      </c>
      <c r="D88" s="271"/>
      <c r="E88" s="271"/>
      <c r="F88" s="72"/>
      <c r="G88" s="73"/>
      <c r="H88" s="74"/>
      <c r="I88" s="75">
        <f>SUM(I89:I96)</f>
        <v>0</v>
      </c>
      <c r="J88" s="74"/>
      <c r="K88" s="75">
        <f>SUM(K89:K96)</f>
        <v>0</v>
      </c>
      <c r="L88" s="74"/>
      <c r="M88" s="75">
        <f>SUM(M89:M96)</f>
        <v>0</v>
      </c>
    </row>
    <row r="89" spans="1:13" ht="30" customHeight="1" x14ac:dyDescent="0.2">
      <c r="A89" s="85" t="s">
        <v>200</v>
      </c>
      <c r="B89" s="37" t="s">
        <v>192</v>
      </c>
      <c r="C89" s="276" t="s">
        <v>203</v>
      </c>
      <c r="D89" s="277"/>
      <c r="E89" s="278"/>
      <c r="F89" s="41" t="s">
        <v>30</v>
      </c>
      <c r="G89" s="42">
        <v>407</v>
      </c>
      <c r="H89" s="1"/>
      <c r="I89" s="43">
        <f t="shared" ref="I89" si="109">+H89*G89</f>
        <v>0</v>
      </c>
      <c r="J89" s="1"/>
      <c r="K89" s="43">
        <f t="shared" ref="K89" si="110">+J89*G89</f>
        <v>0</v>
      </c>
      <c r="L89" s="44">
        <f t="shared" ref="L89" si="111">+H89+J89</f>
        <v>0</v>
      </c>
      <c r="M89" s="43">
        <f t="shared" ref="M89" si="112">L89*G89</f>
        <v>0</v>
      </c>
    </row>
    <row r="90" spans="1:13" ht="30" customHeight="1" x14ac:dyDescent="0.2">
      <c r="A90" s="36" t="s">
        <v>200</v>
      </c>
      <c r="B90" s="37" t="s">
        <v>193</v>
      </c>
      <c r="C90" s="276" t="s">
        <v>204</v>
      </c>
      <c r="D90" s="277"/>
      <c r="E90" s="278"/>
      <c r="F90" s="41" t="s">
        <v>30</v>
      </c>
      <c r="G90" s="42">
        <v>2015</v>
      </c>
      <c r="H90" s="1"/>
      <c r="I90" s="43">
        <f t="shared" ref="I90:I96" si="113">+H90*G90</f>
        <v>0</v>
      </c>
      <c r="J90" s="1"/>
      <c r="K90" s="43">
        <f t="shared" ref="K90:K96" si="114">+J90*G90</f>
        <v>0</v>
      </c>
      <c r="L90" s="44">
        <f t="shared" ref="L90:L96" si="115">+H90+J90</f>
        <v>0</v>
      </c>
      <c r="M90" s="43">
        <f t="shared" ref="M90:M96" si="116">L90*G90</f>
        <v>0</v>
      </c>
    </row>
    <row r="91" spans="1:13" ht="30" customHeight="1" x14ac:dyDescent="0.2">
      <c r="A91" s="36" t="s">
        <v>181</v>
      </c>
      <c r="B91" s="37" t="s">
        <v>194</v>
      </c>
      <c r="C91" s="276" t="s">
        <v>205</v>
      </c>
      <c r="D91" s="277"/>
      <c r="E91" s="278"/>
      <c r="F91" s="41" t="s">
        <v>30</v>
      </c>
      <c r="G91" s="42">
        <v>154.5</v>
      </c>
      <c r="H91" s="1"/>
      <c r="I91" s="43">
        <f t="shared" si="113"/>
        <v>0</v>
      </c>
      <c r="J91" s="1"/>
      <c r="K91" s="43">
        <f t="shared" si="114"/>
        <v>0</v>
      </c>
      <c r="L91" s="44">
        <f t="shared" si="115"/>
        <v>0</v>
      </c>
      <c r="M91" s="43">
        <f t="shared" si="116"/>
        <v>0</v>
      </c>
    </row>
    <row r="92" spans="1:13" ht="30" customHeight="1" x14ac:dyDescent="0.2">
      <c r="A92" s="36" t="s">
        <v>181</v>
      </c>
      <c r="B92" s="37" t="s">
        <v>195</v>
      </c>
      <c r="C92" s="276" t="s">
        <v>206</v>
      </c>
      <c r="D92" s="277"/>
      <c r="E92" s="278"/>
      <c r="F92" s="41" t="s">
        <v>30</v>
      </c>
      <c r="G92" s="42">
        <v>113.5</v>
      </c>
      <c r="H92" s="1"/>
      <c r="I92" s="43">
        <f t="shared" si="113"/>
        <v>0</v>
      </c>
      <c r="J92" s="1"/>
      <c r="K92" s="43">
        <f t="shared" si="114"/>
        <v>0</v>
      </c>
      <c r="L92" s="44">
        <f t="shared" si="115"/>
        <v>0</v>
      </c>
      <c r="M92" s="43">
        <f t="shared" si="116"/>
        <v>0</v>
      </c>
    </row>
    <row r="93" spans="1:13" ht="30" customHeight="1" x14ac:dyDescent="0.2">
      <c r="A93" s="36" t="s">
        <v>181</v>
      </c>
      <c r="B93" s="37" t="s">
        <v>189</v>
      </c>
      <c r="C93" s="276" t="s">
        <v>207</v>
      </c>
      <c r="D93" s="277"/>
      <c r="E93" s="278"/>
      <c r="F93" s="41" t="s">
        <v>30</v>
      </c>
      <c r="G93" s="42">
        <v>92.7</v>
      </c>
      <c r="H93" s="1"/>
      <c r="I93" s="43">
        <f t="shared" si="113"/>
        <v>0</v>
      </c>
      <c r="J93" s="1"/>
      <c r="K93" s="43">
        <f t="shared" si="114"/>
        <v>0</v>
      </c>
      <c r="L93" s="44">
        <f t="shared" si="115"/>
        <v>0</v>
      </c>
      <c r="M93" s="43">
        <f t="shared" si="116"/>
        <v>0</v>
      </c>
    </row>
    <row r="94" spans="1:13" ht="30" customHeight="1" x14ac:dyDescent="0.2">
      <c r="A94" s="36" t="s">
        <v>181</v>
      </c>
      <c r="B94" s="37" t="s">
        <v>196</v>
      </c>
      <c r="C94" s="276" t="s">
        <v>208</v>
      </c>
      <c r="D94" s="277"/>
      <c r="E94" s="278"/>
      <c r="F94" s="41" t="s">
        <v>30</v>
      </c>
      <c r="G94" s="42">
        <v>808.5</v>
      </c>
      <c r="H94" s="1"/>
      <c r="I94" s="43">
        <f t="shared" si="113"/>
        <v>0</v>
      </c>
      <c r="J94" s="1"/>
      <c r="K94" s="43">
        <f t="shared" si="114"/>
        <v>0</v>
      </c>
      <c r="L94" s="44">
        <f t="shared" si="115"/>
        <v>0</v>
      </c>
      <c r="M94" s="43">
        <f t="shared" si="116"/>
        <v>0</v>
      </c>
    </row>
    <row r="95" spans="1:13" ht="30" customHeight="1" x14ac:dyDescent="0.2">
      <c r="A95" s="85" t="s">
        <v>201</v>
      </c>
      <c r="B95" s="37" t="s">
        <v>197</v>
      </c>
      <c r="C95" s="276" t="s">
        <v>209</v>
      </c>
      <c r="D95" s="277"/>
      <c r="E95" s="278"/>
      <c r="F95" s="41" t="s">
        <v>30</v>
      </c>
      <c r="G95" s="42">
        <v>85.6</v>
      </c>
      <c r="H95" s="1"/>
      <c r="I95" s="43">
        <f t="shared" si="113"/>
        <v>0</v>
      </c>
      <c r="J95" s="1"/>
      <c r="K95" s="43">
        <f t="shared" si="114"/>
        <v>0</v>
      </c>
      <c r="L95" s="44">
        <f t="shared" si="115"/>
        <v>0</v>
      </c>
      <c r="M95" s="43">
        <f t="shared" si="116"/>
        <v>0</v>
      </c>
    </row>
    <row r="96" spans="1:13" ht="30" customHeight="1" x14ac:dyDescent="0.2">
      <c r="A96" s="36" t="s">
        <v>202</v>
      </c>
      <c r="B96" s="37" t="s">
        <v>198</v>
      </c>
      <c r="C96" s="276" t="s">
        <v>210</v>
      </c>
      <c r="D96" s="277"/>
      <c r="E96" s="278"/>
      <c r="F96" s="41" t="s">
        <v>30</v>
      </c>
      <c r="G96" s="42">
        <v>71.599999999999994</v>
      </c>
      <c r="H96" s="1"/>
      <c r="I96" s="43">
        <f t="shared" si="113"/>
        <v>0</v>
      </c>
      <c r="J96" s="1"/>
      <c r="K96" s="43">
        <f t="shared" si="114"/>
        <v>0</v>
      </c>
      <c r="L96" s="44">
        <f t="shared" si="115"/>
        <v>0</v>
      </c>
      <c r="M96" s="43">
        <f t="shared" si="116"/>
        <v>0</v>
      </c>
    </row>
    <row r="97" spans="1:13" ht="30" customHeight="1" x14ac:dyDescent="0.2">
      <c r="A97" s="36"/>
      <c r="B97" s="70" t="s">
        <v>211</v>
      </c>
      <c r="C97" s="270" t="s">
        <v>214</v>
      </c>
      <c r="D97" s="271"/>
      <c r="E97" s="271"/>
      <c r="F97" s="72"/>
      <c r="G97" s="73"/>
      <c r="H97" s="74"/>
      <c r="I97" s="75">
        <f>SUM(I98:I99)</f>
        <v>0</v>
      </c>
      <c r="J97" s="74"/>
      <c r="K97" s="75">
        <f>SUM(K98:K99)</f>
        <v>0</v>
      </c>
      <c r="L97" s="74"/>
      <c r="M97" s="75">
        <f>SUM(M98:M99)</f>
        <v>0</v>
      </c>
    </row>
    <row r="98" spans="1:13" ht="30" customHeight="1" x14ac:dyDescent="0.2">
      <c r="A98" s="85" t="s">
        <v>217</v>
      </c>
      <c r="B98" s="37" t="s">
        <v>212</v>
      </c>
      <c r="C98" s="276" t="s">
        <v>215</v>
      </c>
      <c r="D98" s="277"/>
      <c r="E98" s="278"/>
      <c r="F98" s="41" t="s">
        <v>30</v>
      </c>
      <c r="G98" s="42">
        <v>32.799999999999997</v>
      </c>
      <c r="H98" s="1"/>
      <c r="I98" s="43">
        <f t="shared" ref="I98:I99" si="117">+H98*G98</f>
        <v>0</v>
      </c>
      <c r="J98" s="1"/>
      <c r="K98" s="43">
        <f t="shared" ref="K98:K99" si="118">+J98*G98</f>
        <v>0</v>
      </c>
      <c r="L98" s="44">
        <f t="shared" ref="L98:L99" si="119">+H98+J98</f>
        <v>0</v>
      </c>
      <c r="M98" s="43">
        <f t="shared" ref="M98:M99" si="120">L98*G98</f>
        <v>0</v>
      </c>
    </row>
    <row r="99" spans="1:13" ht="30" customHeight="1" x14ac:dyDescent="0.2">
      <c r="A99" s="36" t="s">
        <v>217</v>
      </c>
      <c r="B99" s="37" t="s">
        <v>213</v>
      </c>
      <c r="C99" s="276" t="s">
        <v>216</v>
      </c>
      <c r="D99" s="277"/>
      <c r="E99" s="278"/>
      <c r="F99" s="41" t="s">
        <v>38</v>
      </c>
      <c r="G99" s="42">
        <v>72</v>
      </c>
      <c r="H99" s="1"/>
      <c r="I99" s="43">
        <f t="shared" si="117"/>
        <v>0</v>
      </c>
      <c r="J99" s="1"/>
      <c r="K99" s="43">
        <f t="shared" si="118"/>
        <v>0</v>
      </c>
      <c r="L99" s="44">
        <f t="shared" si="119"/>
        <v>0</v>
      </c>
      <c r="M99" s="43">
        <f t="shared" si="120"/>
        <v>0</v>
      </c>
    </row>
    <row r="100" spans="1:13" ht="30" customHeight="1" x14ac:dyDescent="0.2">
      <c r="A100" s="36"/>
      <c r="B100" s="70" t="s">
        <v>218</v>
      </c>
      <c r="C100" s="270" t="s">
        <v>220</v>
      </c>
      <c r="D100" s="271"/>
      <c r="E100" s="271"/>
      <c r="F100" s="72"/>
      <c r="G100" s="73"/>
      <c r="H100" s="74"/>
      <c r="I100" s="75">
        <f>SUM(I101)</f>
        <v>0</v>
      </c>
      <c r="J100" s="74"/>
      <c r="K100" s="75">
        <f>SUM(K101)</f>
        <v>0</v>
      </c>
      <c r="L100" s="74"/>
      <c r="M100" s="75">
        <f>SUM(M101)</f>
        <v>0</v>
      </c>
    </row>
    <row r="101" spans="1:13" ht="60.75" customHeight="1" x14ac:dyDescent="0.2">
      <c r="A101" s="36" t="s">
        <v>222</v>
      </c>
      <c r="B101" s="37" t="s">
        <v>219</v>
      </c>
      <c r="C101" s="276" t="s">
        <v>221</v>
      </c>
      <c r="D101" s="277"/>
      <c r="E101" s="278"/>
      <c r="F101" s="41" t="s">
        <v>223</v>
      </c>
      <c r="G101" s="42">
        <v>142.85</v>
      </c>
      <c r="H101" s="1"/>
      <c r="I101" s="43">
        <f t="shared" ref="I101" si="121">+H101*G101</f>
        <v>0</v>
      </c>
      <c r="J101" s="1"/>
      <c r="K101" s="43">
        <f t="shared" ref="K101" si="122">+J101*G101</f>
        <v>0</v>
      </c>
      <c r="L101" s="44">
        <f t="shared" ref="L101" si="123">+H101+J101</f>
        <v>0</v>
      </c>
      <c r="M101" s="43">
        <f t="shared" ref="M101" si="124">L101*G101</f>
        <v>0</v>
      </c>
    </row>
    <row r="102" spans="1:13" ht="30" customHeight="1" x14ac:dyDescent="0.2">
      <c r="A102" s="36"/>
      <c r="B102" s="70" t="s">
        <v>225</v>
      </c>
      <c r="C102" s="270" t="s">
        <v>224</v>
      </c>
      <c r="D102" s="271"/>
      <c r="E102" s="271"/>
      <c r="F102" s="72"/>
      <c r="G102" s="73"/>
      <c r="H102" s="74"/>
      <c r="I102" s="75">
        <f>SUM(I103:I104)</f>
        <v>0</v>
      </c>
      <c r="J102" s="74"/>
      <c r="K102" s="75">
        <f>SUM(K103:K104)</f>
        <v>0</v>
      </c>
      <c r="L102" s="74"/>
      <c r="M102" s="75">
        <f>SUM(M103:M104)</f>
        <v>0</v>
      </c>
    </row>
    <row r="103" spans="1:13" ht="30" customHeight="1" x14ac:dyDescent="0.2">
      <c r="A103" s="85" t="s">
        <v>181</v>
      </c>
      <c r="B103" s="37" t="s">
        <v>226</v>
      </c>
      <c r="C103" s="276" t="s">
        <v>228</v>
      </c>
      <c r="D103" s="277"/>
      <c r="E103" s="278"/>
      <c r="F103" s="41" t="s">
        <v>77</v>
      </c>
      <c r="G103" s="42">
        <v>430</v>
      </c>
      <c r="H103" s="1"/>
      <c r="I103" s="43">
        <f t="shared" ref="I103:I104" si="125">+H103*G103</f>
        <v>0</v>
      </c>
      <c r="J103" s="1"/>
      <c r="K103" s="43">
        <f t="shared" ref="K103:K104" si="126">+J103*G103</f>
        <v>0</v>
      </c>
      <c r="L103" s="44">
        <f t="shared" ref="L103:L104" si="127">+H103+J103</f>
        <v>0</v>
      </c>
      <c r="M103" s="43">
        <f t="shared" ref="M103:M104" si="128">L103*G103</f>
        <v>0</v>
      </c>
    </row>
    <row r="104" spans="1:13" ht="30" customHeight="1" x14ac:dyDescent="0.2">
      <c r="A104" s="36" t="s">
        <v>217</v>
      </c>
      <c r="B104" s="37" t="s">
        <v>227</v>
      </c>
      <c r="C104" s="276" t="s">
        <v>229</v>
      </c>
      <c r="D104" s="277"/>
      <c r="E104" s="278"/>
      <c r="F104" s="41" t="s">
        <v>77</v>
      </c>
      <c r="G104" s="42">
        <v>55.4</v>
      </c>
      <c r="H104" s="1"/>
      <c r="I104" s="43">
        <f t="shared" si="125"/>
        <v>0</v>
      </c>
      <c r="J104" s="1"/>
      <c r="K104" s="43">
        <f t="shared" si="126"/>
        <v>0</v>
      </c>
      <c r="L104" s="44">
        <f t="shared" si="127"/>
        <v>0</v>
      </c>
      <c r="M104" s="43">
        <f t="shared" si="128"/>
        <v>0</v>
      </c>
    </row>
    <row r="105" spans="1:13" ht="30" customHeight="1" x14ac:dyDescent="0.2">
      <c r="A105" s="36"/>
      <c r="B105" s="70" t="s">
        <v>230</v>
      </c>
      <c r="C105" s="270" t="s">
        <v>233</v>
      </c>
      <c r="D105" s="271"/>
      <c r="E105" s="271"/>
      <c r="F105" s="72"/>
      <c r="G105" s="73"/>
      <c r="H105" s="74"/>
      <c r="I105" s="75">
        <f>SUM(I106:I107)</f>
        <v>0</v>
      </c>
      <c r="J105" s="74"/>
      <c r="K105" s="75">
        <f>SUM(K106:K107)</f>
        <v>0</v>
      </c>
      <c r="L105" s="74"/>
      <c r="M105" s="75">
        <f>SUM(M106:M107)</f>
        <v>0</v>
      </c>
    </row>
    <row r="106" spans="1:13" ht="30" customHeight="1" x14ac:dyDescent="0.2">
      <c r="A106" s="85"/>
      <c r="B106" s="37" t="s">
        <v>231</v>
      </c>
      <c r="C106" s="276" t="s">
        <v>234</v>
      </c>
      <c r="D106" s="277"/>
      <c r="E106" s="278"/>
      <c r="F106" s="41" t="s">
        <v>77</v>
      </c>
      <c r="G106" s="42">
        <v>26.4</v>
      </c>
      <c r="H106" s="1"/>
      <c r="I106" s="43">
        <f t="shared" ref="I106:I107" si="129">+H106*G106</f>
        <v>0</v>
      </c>
      <c r="J106" s="1"/>
      <c r="K106" s="43">
        <f t="shared" ref="K106:K107" si="130">+J106*G106</f>
        <v>0</v>
      </c>
      <c r="L106" s="44">
        <f t="shared" ref="L106:L107" si="131">+H106+J106</f>
        <v>0</v>
      </c>
      <c r="M106" s="43">
        <f t="shared" ref="M106:M107" si="132">L106*G106</f>
        <v>0</v>
      </c>
    </row>
    <row r="107" spans="1:13" ht="30" customHeight="1" thickBot="1" x14ac:dyDescent="0.25">
      <c r="A107" s="36"/>
      <c r="B107" s="37" t="s">
        <v>232</v>
      </c>
      <c r="C107" s="276" t="s">
        <v>235</v>
      </c>
      <c r="D107" s="277"/>
      <c r="E107" s="278"/>
      <c r="F107" s="41" t="s">
        <v>77</v>
      </c>
      <c r="G107" s="42">
        <v>17.2</v>
      </c>
      <c r="H107" s="1"/>
      <c r="I107" s="43">
        <f t="shared" si="129"/>
        <v>0</v>
      </c>
      <c r="J107" s="1"/>
      <c r="K107" s="43">
        <f t="shared" si="130"/>
        <v>0</v>
      </c>
      <c r="L107" s="44">
        <f t="shared" si="131"/>
        <v>0</v>
      </c>
      <c r="M107" s="43">
        <f t="shared" si="132"/>
        <v>0</v>
      </c>
    </row>
    <row r="108" spans="1:13" ht="37.5" customHeight="1" thickTop="1" thickBot="1" x14ac:dyDescent="0.25">
      <c r="A108" s="29"/>
      <c r="B108" s="30">
        <v>7</v>
      </c>
      <c r="C108" s="272" t="s">
        <v>236</v>
      </c>
      <c r="D108" s="273"/>
      <c r="E108" s="273"/>
      <c r="F108" s="31"/>
      <c r="G108" s="32"/>
      <c r="H108" s="33"/>
      <c r="I108" s="34">
        <f>+I109+I122+I127+I130</f>
        <v>0</v>
      </c>
      <c r="J108" s="33"/>
      <c r="K108" s="34">
        <f>+K109+K122+K127+K130</f>
        <v>0</v>
      </c>
      <c r="L108" s="35"/>
      <c r="M108" s="34">
        <f>+M109+M122+M127+M130</f>
        <v>0</v>
      </c>
    </row>
    <row r="109" spans="1:13" ht="30" customHeight="1" thickTop="1" x14ac:dyDescent="0.2">
      <c r="A109" s="36"/>
      <c r="B109" s="70" t="s">
        <v>237</v>
      </c>
      <c r="C109" s="274" t="s">
        <v>250</v>
      </c>
      <c r="D109" s="275"/>
      <c r="E109" s="275"/>
      <c r="F109" s="72"/>
      <c r="G109" s="73"/>
      <c r="H109" s="74"/>
      <c r="I109" s="75">
        <f>SUM(I110:I121)</f>
        <v>0</v>
      </c>
      <c r="J109" s="74"/>
      <c r="K109" s="75">
        <f>SUM(K110:K121)</f>
        <v>0</v>
      </c>
      <c r="L109" s="74"/>
      <c r="M109" s="75">
        <f>SUM(M110:M121)</f>
        <v>0</v>
      </c>
    </row>
    <row r="110" spans="1:13" ht="30" customHeight="1" x14ac:dyDescent="0.2">
      <c r="A110" s="36" t="s">
        <v>251</v>
      </c>
      <c r="B110" s="37" t="s">
        <v>238</v>
      </c>
      <c r="C110" s="276" t="s">
        <v>253</v>
      </c>
      <c r="D110" s="277"/>
      <c r="E110" s="278"/>
      <c r="F110" s="41" t="s">
        <v>38</v>
      </c>
      <c r="G110" s="82">
        <v>8</v>
      </c>
      <c r="H110" s="1"/>
      <c r="I110" s="43">
        <f t="shared" ref="I110" si="133">+H110*G110</f>
        <v>0</v>
      </c>
      <c r="J110" s="1"/>
      <c r="K110" s="43">
        <f t="shared" ref="K110" si="134">+J110*G110</f>
        <v>0</v>
      </c>
      <c r="L110" s="44">
        <f t="shared" ref="L110" si="135">+H110+J110</f>
        <v>0</v>
      </c>
      <c r="M110" s="43">
        <f t="shared" ref="M110" si="136">L110*G110</f>
        <v>0</v>
      </c>
    </row>
    <row r="111" spans="1:13" ht="30" customHeight="1" x14ac:dyDescent="0.2">
      <c r="A111" s="36" t="s">
        <v>251</v>
      </c>
      <c r="B111" s="37" t="s">
        <v>239</v>
      </c>
      <c r="C111" s="276" t="s">
        <v>254</v>
      </c>
      <c r="D111" s="277"/>
      <c r="E111" s="278"/>
      <c r="F111" s="41" t="s">
        <v>38</v>
      </c>
      <c r="G111" s="82">
        <v>1</v>
      </c>
      <c r="H111" s="1"/>
      <c r="I111" s="43">
        <f t="shared" ref="I111:I118" si="137">+H111*G111</f>
        <v>0</v>
      </c>
      <c r="J111" s="1"/>
      <c r="K111" s="43">
        <f t="shared" ref="K111:K118" si="138">+J111*G111</f>
        <v>0</v>
      </c>
      <c r="L111" s="44">
        <f t="shared" ref="L111:L118" si="139">+H111+J111</f>
        <v>0</v>
      </c>
      <c r="M111" s="43">
        <f t="shared" ref="M111:M118" si="140">L111*G111</f>
        <v>0</v>
      </c>
    </row>
    <row r="112" spans="1:13" ht="30" customHeight="1" x14ac:dyDescent="0.2">
      <c r="A112" s="36" t="s">
        <v>251</v>
      </c>
      <c r="B112" s="37" t="s">
        <v>240</v>
      </c>
      <c r="C112" s="276" t="s">
        <v>255</v>
      </c>
      <c r="D112" s="277"/>
      <c r="E112" s="278"/>
      <c r="F112" s="41" t="s">
        <v>38</v>
      </c>
      <c r="G112" s="82">
        <v>5</v>
      </c>
      <c r="H112" s="1"/>
      <c r="I112" s="43">
        <f t="shared" si="137"/>
        <v>0</v>
      </c>
      <c r="J112" s="1"/>
      <c r="K112" s="43">
        <f t="shared" si="138"/>
        <v>0</v>
      </c>
      <c r="L112" s="44">
        <f t="shared" si="139"/>
        <v>0</v>
      </c>
      <c r="M112" s="43">
        <f t="shared" si="140"/>
        <v>0</v>
      </c>
    </row>
    <row r="113" spans="1:13" ht="30" customHeight="1" x14ac:dyDescent="0.2">
      <c r="A113" s="36" t="s">
        <v>251</v>
      </c>
      <c r="B113" s="37" t="s">
        <v>241</v>
      </c>
      <c r="C113" s="276" t="s">
        <v>256</v>
      </c>
      <c r="D113" s="277"/>
      <c r="E113" s="278"/>
      <c r="F113" s="41" t="s">
        <v>38</v>
      </c>
      <c r="G113" s="82">
        <v>2</v>
      </c>
      <c r="H113" s="1"/>
      <c r="I113" s="43">
        <f t="shared" si="137"/>
        <v>0</v>
      </c>
      <c r="J113" s="1"/>
      <c r="K113" s="43">
        <f t="shared" si="138"/>
        <v>0</v>
      </c>
      <c r="L113" s="44">
        <f t="shared" si="139"/>
        <v>0</v>
      </c>
      <c r="M113" s="43">
        <f t="shared" si="140"/>
        <v>0</v>
      </c>
    </row>
    <row r="114" spans="1:13" ht="30" customHeight="1" x14ac:dyDescent="0.2">
      <c r="A114" s="36" t="s">
        <v>252</v>
      </c>
      <c r="B114" s="37" t="s">
        <v>242</v>
      </c>
      <c r="C114" s="276" t="s">
        <v>257</v>
      </c>
      <c r="D114" s="277"/>
      <c r="E114" s="278"/>
      <c r="F114" s="41" t="s">
        <v>38</v>
      </c>
      <c r="G114" s="82">
        <v>2</v>
      </c>
      <c r="H114" s="1"/>
      <c r="I114" s="43">
        <f t="shared" si="137"/>
        <v>0</v>
      </c>
      <c r="J114" s="1"/>
      <c r="K114" s="43">
        <f t="shared" si="138"/>
        <v>0</v>
      </c>
      <c r="L114" s="44">
        <f t="shared" si="139"/>
        <v>0</v>
      </c>
      <c r="M114" s="43">
        <f t="shared" si="140"/>
        <v>0</v>
      </c>
    </row>
    <row r="115" spans="1:13" ht="30" customHeight="1" x14ac:dyDescent="0.2">
      <c r="A115" s="36" t="s">
        <v>251</v>
      </c>
      <c r="B115" s="37" t="s">
        <v>243</v>
      </c>
      <c r="C115" s="276" t="s">
        <v>258</v>
      </c>
      <c r="D115" s="277"/>
      <c r="E115" s="278"/>
      <c r="F115" s="41" t="s">
        <v>38</v>
      </c>
      <c r="G115" s="82">
        <v>1</v>
      </c>
      <c r="H115" s="1"/>
      <c r="I115" s="43">
        <f t="shared" si="137"/>
        <v>0</v>
      </c>
      <c r="J115" s="1"/>
      <c r="K115" s="43">
        <f t="shared" si="138"/>
        <v>0</v>
      </c>
      <c r="L115" s="44">
        <f t="shared" si="139"/>
        <v>0</v>
      </c>
      <c r="M115" s="43">
        <f t="shared" si="140"/>
        <v>0</v>
      </c>
    </row>
    <row r="116" spans="1:13" ht="30" customHeight="1" x14ac:dyDescent="0.2">
      <c r="A116" s="36" t="s">
        <v>251</v>
      </c>
      <c r="B116" s="37" t="s">
        <v>244</v>
      </c>
      <c r="C116" s="276" t="s">
        <v>259</v>
      </c>
      <c r="D116" s="277"/>
      <c r="E116" s="278"/>
      <c r="F116" s="41" t="s">
        <v>38</v>
      </c>
      <c r="G116" s="82">
        <v>1</v>
      </c>
      <c r="H116" s="1"/>
      <c r="I116" s="43">
        <f t="shared" si="137"/>
        <v>0</v>
      </c>
      <c r="J116" s="1"/>
      <c r="K116" s="43">
        <f t="shared" si="138"/>
        <v>0</v>
      </c>
      <c r="L116" s="44">
        <f t="shared" si="139"/>
        <v>0</v>
      </c>
      <c r="M116" s="43">
        <f t="shared" si="140"/>
        <v>0</v>
      </c>
    </row>
    <row r="117" spans="1:13" ht="30" customHeight="1" x14ac:dyDescent="0.2">
      <c r="A117" s="36" t="s">
        <v>252</v>
      </c>
      <c r="B117" s="37" t="s">
        <v>245</v>
      </c>
      <c r="C117" s="276" t="s">
        <v>260</v>
      </c>
      <c r="D117" s="277"/>
      <c r="E117" s="278"/>
      <c r="F117" s="41" t="s">
        <v>38</v>
      </c>
      <c r="G117" s="82">
        <v>3</v>
      </c>
      <c r="H117" s="1"/>
      <c r="I117" s="43">
        <f t="shared" si="137"/>
        <v>0</v>
      </c>
      <c r="J117" s="1"/>
      <c r="K117" s="43">
        <f t="shared" si="138"/>
        <v>0</v>
      </c>
      <c r="L117" s="44">
        <f t="shared" si="139"/>
        <v>0</v>
      </c>
      <c r="M117" s="43">
        <f t="shared" si="140"/>
        <v>0</v>
      </c>
    </row>
    <row r="118" spans="1:13" ht="30" customHeight="1" x14ac:dyDescent="0.2">
      <c r="A118" s="36" t="s">
        <v>251</v>
      </c>
      <c r="B118" s="37" t="s">
        <v>246</v>
      </c>
      <c r="C118" s="276" t="s">
        <v>261</v>
      </c>
      <c r="D118" s="277"/>
      <c r="E118" s="278"/>
      <c r="F118" s="41" t="s">
        <v>38</v>
      </c>
      <c r="G118" s="82">
        <v>6</v>
      </c>
      <c r="H118" s="1"/>
      <c r="I118" s="43">
        <f t="shared" si="137"/>
        <v>0</v>
      </c>
      <c r="J118" s="1"/>
      <c r="K118" s="43">
        <f t="shared" si="138"/>
        <v>0</v>
      </c>
      <c r="L118" s="44">
        <f t="shared" si="139"/>
        <v>0</v>
      </c>
      <c r="M118" s="43">
        <f t="shared" si="140"/>
        <v>0</v>
      </c>
    </row>
    <row r="119" spans="1:13" ht="30" customHeight="1" x14ac:dyDescent="0.2">
      <c r="A119" s="36" t="s">
        <v>251</v>
      </c>
      <c r="B119" s="37" t="s">
        <v>247</v>
      </c>
      <c r="C119" s="276" t="s">
        <v>262</v>
      </c>
      <c r="D119" s="277"/>
      <c r="E119" s="278"/>
      <c r="F119" s="41" t="s">
        <v>38</v>
      </c>
      <c r="G119" s="82">
        <v>1</v>
      </c>
      <c r="H119" s="1"/>
      <c r="I119" s="43">
        <f t="shared" ref="I119:I121" si="141">+H119*G119</f>
        <v>0</v>
      </c>
      <c r="J119" s="1"/>
      <c r="K119" s="43">
        <f t="shared" ref="K119:K121" si="142">+J119*G119</f>
        <v>0</v>
      </c>
      <c r="L119" s="44">
        <f t="shared" ref="L119:L121" si="143">+H119+J119</f>
        <v>0</v>
      </c>
      <c r="M119" s="43">
        <f t="shared" ref="M119:M121" si="144">L119*G119</f>
        <v>0</v>
      </c>
    </row>
    <row r="120" spans="1:13" ht="30" customHeight="1" x14ac:dyDescent="0.2">
      <c r="A120" s="36" t="s">
        <v>252</v>
      </c>
      <c r="B120" s="37" t="s">
        <v>248</v>
      </c>
      <c r="C120" s="276" t="s">
        <v>263</v>
      </c>
      <c r="D120" s="277"/>
      <c r="E120" s="278"/>
      <c r="F120" s="41" t="s">
        <v>38</v>
      </c>
      <c r="G120" s="82">
        <v>2</v>
      </c>
      <c r="H120" s="1"/>
      <c r="I120" s="43">
        <f t="shared" si="141"/>
        <v>0</v>
      </c>
      <c r="J120" s="1"/>
      <c r="K120" s="43">
        <f t="shared" si="142"/>
        <v>0</v>
      </c>
      <c r="L120" s="44">
        <f t="shared" si="143"/>
        <v>0</v>
      </c>
      <c r="M120" s="43">
        <f t="shared" si="144"/>
        <v>0</v>
      </c>
    </row>
    <row r="121" spans="1:13" ht="30" customHeight="1" x14ac:dyDescent="0.2">
      <c r="A121" s="36" t="s">
        <v>252</v>
      </c>
      <c r="B121" s="37" t="s">
        <v>249</v>
      </c>
      <c r="C121" s="276" t="s">
        <v>264</v>
      </c>
      <c r="D121" s="277"/>
      <c r="E121" s="278"/>
      <c r="F121" s="41" t="s">
        <v>38</v>
      </c>
      <c r="G121" s="82">
        <v>1</v>
      </c>
      <c r="H121" s="1"/>
      <c r="I121" s="43">
        <f t="shared" si="141"/>
        <v>0</v>
      </c>
      <c r="J121" s="1"/>
      <c r="K121" s="43">
        <f t="shared" si="142"/>
        <v>0</v>
      </c>
      <c r="L121" s="44">
        <f t="shared" si="143"/>
        <v>0</v>
      </c>
      <c r="M121" s="43">
        <f t="shared" si="144"/>
        <v>0</v>
      </c>
    </row>
    <row r="122" spans="1:13" ht="30" customHeight="1" x14ac:dyDescent="0.2">
      <c r="A122" s="36" t="s">
        <v>271</v>
      </c>
      <c r="B122" s="70" t="s">
        <v>265</v>
      </c>
      <c r="C122" s="270" t="s">
        <v>270</v>
      </c>
      <c r="D122" s="271"/>
      <c r="E122" s="271"/>
      <c r="F122" s="72"/>
      <c r="G122" s="73"/>
      <c r="H122" s="74"/>
      <c r="I122" s="75">
        <f>SUM(I123:I126)</f>
        <v>0</v>
      </c>
      <c r="J122" s="74"/>
      <c r="K122" s="75">
        <f>SUM(K123:K126)</f>
        <v>0</v>
      </c>
      <c r="L122" s="74"/>
      <c r="M122" s="75">
        <f>SUM(M123:M126)</f>
        <v>0</v>
      </c>
    </row>
    <row r="123" spans="1:13" ht="30" customHeight="1" x14ac:dyDescent="0.2">
      <c r="A123" s="36"/>
      <c r="B123" s="37" t="s">
        <v>266</v>
      </c>
      <c r="C123" s="276" t="s">
        <v>272</v>
      </c>
      <c r="D123" s="277"/>
      <c r="E123" s="278"/>
      <c r="F123" s="41" t="s">
        <v>38</v>
      </c>
      <c r="G123" s="82">
        <v>19</v>
      </c>
      <c r="H123" s="1"/>
      <c r="I123" s="43">
        <f t="shared" ref="I123:I126" si="145">+H123*G123</f>
        <v>0</v>
      </c>
      <c r="J123" s="1"/>
      <c r="K123" s="43">
        <f t="shared" ref="K123:K126" si="146">+J123*G123</f>
        <v>0</v>
      </c>
      <c r="L123" s="44">
        <f t="shared" ref="L123:L126" si="147">+H123+J123</f>
        <v>0</v>
      </c>
      <c r="M123" s="43">
        <f t="shared" ref="M123:M126" si="148">L123*G123</f>
        <v>0</v>
      </c>
    </row>
    <row r="124" spans="1:13" ht="30" customHeight="1" x14ac:dyDescent="0.2">
      <c r="A124" s="36"/>
      <c r="B124" s="37" t="s">
        <v>267</v>
      </c>
      <c r="C124" s="276" t="s">
        <v>273</v>
      </c>
      <c r="D124" s="277"/>
      <c r="E124" s="278"/>
      <c r="F124" s="41" t="s">
        <v>38</v>
      </c>
      <c r="G124" s="82">
        <v>2</v>
      </c>
      <c r="H124" s="1"/>
      <c r="I124" s="43">
        <f t="shared" si="145"/>
        <v>0</v>
      </c>
      <c r="J124" s="1"/>
      <c r="K124" s="43">
        <f t="shared" si="146"/>
        <v>0</v>
      </c>
      <c r="L124" s="44">
        <f t="shared" si="147"/>
        <v>0</v>
      </c>
      <c r="M124" s="43">
        <f t="shared" si="148"/>
        <v>0</v>
      </c>
    </row>
    <row r="125" spans="1:13" ht="30" customHeight="1" x14ac:dyDescent="0.2">
      <c r="A125" s="36"/>
      <c r="B125" s="37" t="s">
        <v>268</v>
      </c>
      <c r="C125" s="276" t="s">
        <v>274</v>
      </c>
      <c r="D125" s="277"/>
      <c r="E125" s="278"/>
      <c r="F125" s="41" t="s">
        <v>38</v>
      </c>
      <c r="G125" s="82">
        <v>1</v>
      </c>
      <c r="H125" s="1"/>
      <c r="I125" s="43">
        <f t="shared" si="145"/>
        <v>0</v>
      </c>
      <c r="J125" s="1"/>
      <c r="K125" s="43">
        <f t="shared" si="146"/>
        <v>0</v>
      </c>
      <c r="L125" s="44">
        <f t="shared" si="147"/>
        <v>0</v>
      </c>
      <c r="M125" s="43">
        <f t="shared" si="148"/>
        <v>0</v>
      </c>
    </row>
    <row r="126" spans="1:13" ht="30" customHeight="1" x14ac:dyDescent="0.2">
      <c r="A126" s="36"/>
      <c r="B126" s="37" t="s">
        <v>269</v>
      </c>
      <c r="C126" s="276" t="s">
        <v>275</v>
      </c>
      <c r="D126" s="277"/>
      <c r="E126" s="278"/>
      <c r="F126" s="41" t="s">
        <v>38</v>
      </c>
      <c r="G126" s="82">
        <v>2</v>
      </c>
      <c r="H126" s="1"/>
      <c r="I126" s="43">
        <f t="shared" si="145"/>
        <v>0</v>
      </c>
      <c r="J126" s="1"/>
      <c r="K126" s="43">
        <f t="shared" si="146"/>
        <v>0</v>
      </c>
      <c r="L126" s="44">
        <f t="shared" si="147"/>
        <v>0</v>
      </c>
      <c r="M126" s="43">
        <f t="shared" si="148"/>
        <v>0</v>
      </c>
    </row>
    <row r="127" spans="1:13" ht="30" customHeight="1" x14ac:dyDescent="0.2">
      <c r="A127" s="36" t="s">
        <v>287</v>
      </c>
      <c r="B127" s="70" t="s">
        <v>276</v>
      </c>
      <c r="C127" s="270" t="s">
        <v>279</v>
      </c>
      <c r="D127" s="271"/>
      <c r="E127" s="271"/>
      <c r="F127" s="72"/>
      <c r="G127" s="73"/>
      <c r="H127" s="74"/>
      <c r="I127" s="75">
        <f>SUM(I128:I129)</f>
        <v>0</v>
      </c>
      <c r="J127" s="74"/>
      <c r="K127" s="75">
        <f>SUM(K128:K129)</f>
        <v>0</v>
      </c>
      <c r="L127" s="74"/>
      <c r="M127" s="75">
        <f>SUM(M128:M129)</f>
        <v>0</v>
      </c>
    </row>
    <row r="128" spans="1:13" ht="30" customHeight="1" x14ac:dyDescent="0.2">
      <c r="A128" s="36"/>
      <c r="B128" s="37" t="s">
        <v>277</v>
      </c>
      <c r="C128" s="286" t="s">
        <v>280</v>
      </c>
      <c r="D128" s="287"/>
      <c r="E128" s="288"/>
      <c r="F128" s="41" t="s">
        <v>38</v>
      </c>
      <c r="G128" s="82">
        <v>3</v>
      </c>
      <c r="H128" s="1"/>
      <c r="I128" s="43">
        <f t="shared" ref="I128:I129" si="149">+H128*G128</f>
        <v>0</v>
      </c>
      <c r="J128" s="1"/>
      <c r="K128" s="43">
        <f t="shared" ref="K128:K129" si="150">+J128*G128</f>
        <v>0</v>
      </c>
      <c r="L128" s="44">
        <f t="shared" ref="L128:L129" si="151">+H128+J128</f>
        <v>0</v>
      </c>
      <c r="M128" s="43">
        <f t="shared" ref="M128:M129" si="152">L128*G128</f>
        <v>0</v>
      </c>
    </row>
    <row r="129" spans="1:13" ht="30" customHeight="1" x14ac:dyDescent="0.2">
      <c r="A129" s="36"/>
      <c r="B129" s="37" t="s">
        <v>278</v>
      </c>
      <c r="C129" s="286" t="s">
        <v>281</v>
      </c>
      <c r="D129" s="287"/>
      <c r="E129" s="288"/>
      <c r="F129" s="41" t="s">
        <v>38</v>
      </c>
      <c r="G129" s="82">
        <v>4</v>
      </c>
      <c r="H129" s="1"/>
      <c r="I129" s="43">
        <f t="shared" si="149"/>
        <v>0</v>
      </c>
      <c r="J129" s="1"/>
      <c r="K129" s="43">
        <f t="shared" si="150"/>
        <v>0</v>
      </c>
      <c r="L129" s="44">
        <f t="shared" si="151"/>
        <v>0</v>
      </c>
      <c r="M129" s="43">
        <f t="shared" si="152"/>
        <v>0</v>
      </c>
    </row>
    <row r="130" spans="1:13" ht="30" customHeight="1" x14ac:dyDescent="0.2">
      <c r="A130" s="36" t="s">
        <v>286</v>
      </c>
      <c r="B130" s="70" t="s">
        <v>282</v>
      </c>
      <c r="C130" s="270" t="s">
        <v>284</v>
      </c>
      <c r="D130" s="271"/>
      <c r="E130" s="271"/>
      <c r="F130" s="72"/>
      <c r="G130" s="73"/>
      <c r="H130" s="74"/>
      <c r="I130" s="75">
        <f>SUM(I131)</f>
        <v>0</v>
      </c>
      <c r="J130" s="74"/>
      <c r="K130" s="75">
        <f>SUM(K131)</f>
        <v>0</v>
      </c>
      <c r="L130" s="74"/>
      <c r="M130" s="75">
        <f>SUM(M131)</f>
        <v>0</v>
      </c>
    </row>
    <row r="131" spans="1:13" ht="30" customHeight="1" thickBot="1" x14ac:dyDescent="0.25">
      <c r="A131" s="36"/>
      <c r="B131" s="37" t="s">
        <v>283</v>
      </c>
      <c r="C131" s="286" t="s">
        <v>285</v>
      </c>
      <c r="D131" s="287"/>
      <c r="E131" s="288"/>
      <c r="F131" s="41" t="s">
        <v>38</v>
      </c>
      <c r="G131" s="82">
        <v>2</v>
      </c>
      <c r="H131" s="1"/>
      <c r="I131" s="43">
        <f t="shared" ref="I131" si="153">+H131*G131</f>
        <v>0</v>
      </c>
      <c r="J131" s="1"/>
      <c r="K131" s="43">
        <f t="shared" ref="K131" si="154">+J131*G131</f>
        <v>0</v>
      </c>
      <c r="L131" s="44">
        <f t="shared" ref="L131" si="155">+H131+J131</f>
        <v>0</v>
      </c>
      <c r="M131" s="43">
        <f t="shared" ref="M131" si="156">L131*G131</f>
        <v>0</v>
      </c>
    </row>
    <row r="132" spans="1:13" ht="37.5" customHeight="1" thickTop="1" thickBot="1" x14ac:dyDescent="0.25">
      <c r="A132" s="29"/>
      <c r="B132" s="30">
        <v>8</v>
      </c>
      <c r="C132" s="272" t="s">
        <v>288</v>
      </c>
      <c r="D132" s="273"/>
      <c r="E132" s="273"/>
      <c r="F132" s="31"/>
      <c r="G132" s="32"/>
      <c r="H132" s="33"/>
      <c r="I132" s="34">
        <f>+I133+I136</f>
        <v>0</v>
      </c>
      <c r="J132" s="33"/>
      <c r="K132" s="34">
        <f>+K133+K136</f>
        <v>0</v>
      </c>
      <c r="L132" s="35"/>
      <c r="M132" s="34">
        <f>+M133+M136</f>
        <v>0</v>
      </c>
    </row>
    <row r="133" spans="1:13" ht="30" customHeight="1" thickTop="1" x14ac:dyDescent="0.2">
      <c r="A133" s="36"/>
      <c r="B133" s="70" t="s">
        <v>289</v>
      </c>
      <c r="C133" s="274" t="s">
        <v>292</v>
      </c>
      <c r="D133" s="275"/>
      <c r="E133" s="275"/>
      <c r="F133" s="72"/>
      <c r="G133" s="73"/>
      <c r="H133" s="74"/>
      <c r="I133" s="75">
        <f>SUM(I134:I135)</f>
        <v>0</v>
      </c>
      <c r="J133" s="74"/>
      <c r="K133" s="75">
        <f>SUM(K134:K135)</f>
        <v>0</v>
      </c>
      <c r="L133" s="74"/>
      <c r="M133" s="75">
        <f>SUM(M134:M135)</f>
        <v>0</v>
      </c>
    </row>
    <row r="134" spans="1:13" ht="30" customHeight="1" x14ac:dyDescent="0.2">
      <c r="A134" s="36"/>
      <c r="B134" s="37" t="s">
        <v>290</v>
      </c>
      <c r="C134" s="276" t="s">
        <v>293</v>
      </c>
      <c r="D134" s="277"/>
      <c r="E134" s="278"/>
      <c r="F134" s="41" t="s">
        <v>38</v>
      </c>
      <c r="G134" s="82">
        <v>1</v>
      </c>
      <c r="H134" s="1"/>
      <c r="I134" s="43">
        <f t="shared" ref="I134:I135" si="157">+H134*G134</f>
        <v>0</v>
      </c>
      <c r="J134" s="1"/>
      <c r="K134" s="43">
        <f t="shared" ref="K134:K135" si="158">+J134*G134</f>
        <v>0</v>
      </c>
      <c r="L134" s="44">
        <f t="shared" ref="L134:L135" si="159">+H134+J134</f>
        <v>0</v>
      </c>
      <c r="M134" s="43">
        <f t="shared" ref="M134:M135" si="160">L134*G134</f>
        <v>0</v>
      </c>
    </row>
    <row r="135" spans="1:13" ht="30" customHeight="1" x14ac:dyDescent="0.2">
      <c r="A135" s="36"/>
      <c r="B135" s="37" t="s">
        <v>291</v>
      </c>
      <c r="C135" s="276" t="s">
        <v>294</v>
      </c>
      <c r="D135" s="277"/>
      <c r="E135" s="278"/>
      <c r="F135" s="41" t="s">
        <v>38</v>
      </c>
      <c r="G135" s="82">
        <v>1</v>
      </c>
      <c r="H135" s="1"/>
      <c r="I135" s="43">
        <f t="shared" si="157"/>
        <v>0</v>
      </c>
      <c r="J135" s="1"/>
      <c r="K135" s="43">
        <f t="shared" si="158"/>
        <v>0</v>
      </c>
      <c r="L135" s="44">
        <f t="shared" si="159"/>
        <v>0</v>
      </c>
      <c r="M135" s="43">
        <f t="shared" si="160"/>
        <v>0</v>
      </c>
    </row>
    <row r="136" spans="1:13" ht="30" customHeight="1" x14ac:dyDescent="0.2">
      <c r="A136" s="36"/>
      <c r="B136" s="70" t="s">
        <v>295</v>
      </c>
      <c r="C136" s="270" t="s">
        <v>296</v>
      </c>
      <c r="D136" s="271"/>
      <c r="E136" s="271"/>
      <c r="F136" s="83"/>
      <c r="G136" s="84"/>
      <c r="H136" s="74"/>
      <c r="I136" s="75">
        <f>SUM(I137:I139)</f>
        <v>0</v>
      </c>
      <c r="J136" s="74"/>
      <c r="K136" s="75">
        <f>SUM(K137:K139)</f>
        <v>0</v>
      </c>
      <c r="L136" s="74"/>
      <c r="M136" s="75">
        <f>SUM(M137:M139)</f>
        <v>0</v>
      </c>
    </row>
    <row r="137" spans="1:13" ht="30" customHeight="1" x14ac:dyDescent="0.2">
      <c r="A137" s="36"/>
      <c r="B137" s="37" t="s">
        <v>297</v>
      </c>
      <c r="C137" s="276" t="s">
        <v>298</v>
      </c>
      <c r="D137" s="277"/>
      <c r="E137" s="278"/>
      <c r="F137" s="41" t="s">
        <v>38</v>
      </c>
      <c r="G137" s="82">
        <v>2</v>
      </c>
      <c r="H137" s="1"/>
      <c r="I137" s="43">
        <f t="shared" ref="I137" si="161">+H137*G137</f>
        <v>0</v>
      </c>
      <c r="J137" s="1"/>
      <c r="K137" s="43">
        <f t="shared" ref="K137" si="162">+J137*G137</f>
        <v>0</v>
      </c>
      <c r="L137" s="44">
        <f t="shared" ref="L137" si="163">+H137+J137</f>
        <v>0</v>
      </c>
      <c r="M137" s="43">
        <f t="shared" ref="M137" si="164">L137*G137</f>
        <v>0</v>
      </c>
    </row>
    <row r="138" spans="1:13" ht="30" customHeight="1" x14ac:dyDescent="0.2">
      <c r="A138" s="36"/>
      <c r="B138" s="37" t="s">
        <v>299</v>
      </c>
      <c r="C138" s="276" t="s">
        <v>300</v>
      </c>
      <c r="D138" s="277"/>
      <c r="E138" s="278"/>
      <c r="F138" s="41" t="s">
        <v>38</v>
      </c>
      <c r="G138" s="82">
        <v>1</v>
      </c>
      <c r="H138" s="1"/>
      <c r="I138" s="43">
        <f t="shared" ref="I138:I139" si="165">+H138*G138</f>
        <v>0</v>
      </c>
      <c r="J138" s="1"/>
      <c r="K138" s="43">
        <f t="shared" ref="K138:K139" si="166">+J138*G138</f>
        <v>0</v>
      </c>
      <c r="L138" s="44">
        <f t="shared" ref="L138:L139" si="167">+H138+J138</f>
        <v>0</v>
      </c>
      <c r="M138" s="43">
        <f t="shared" ref="M138:M139" si="168">L138*G138</f>
        <v>0</v>
      </c>
    </row>
    <row r="139" spans="1:13" ht="30" customHeight="1" thickBot="1" x14ac:dyDescent="0.25">
      <c r="A139" s="36"/>
      <c r="B139" s="37" t="s">
        <v>301</v>
      </c>
      <c r="C139" s="276" t="s">
        <v>302</v>
      </c>
      <c r="D139" s="277"/>
      <c r="E139" s="278"/>
      <c r="F139" s="41" t="s">
        <v>38</v>
      </c>
      <c r="G139" s="82">
        <v>1</v>
      </c>
      <c r="H139" s="1"/>
      <c r="I139" s="43">
        <f t="shared" si="165"/>
        <v>0</v>
      </c>
      <c r="J139" s="1"/>
      <c r="K139" s="43">
        <f t="shared" si="166"/>
        <v>0</v>
      </c>
      <c r="L139" s="44">
        <f t="shared" si="167"/>
        <v>0</v>
      </c>
      <c r="M139" s="43">
        <f t="shared" si="168"/>
        <v>0</v>
      </c>
    </row>
    <row r="140" spans="1:13" ht="37.5" customHeight="1" thickTop="1" thickBot="1" x14ac:dyDescent="0.25">
      <c r="A140" s="53"/>
      <c r="B140" s="54">
        <v>9</v>
      </c>
      <c r="C140" s="272" t="s">
        <v>303</v>
      </c>
      <c r="D140" s="273"/>
      <c r="E140" s="273"/>
      <c r="F140" s="31"/>
      <c r="G140" s="32"/>
      <c r="H140" s="33"/>
      <c r="I140" s="34">
        <f>+I141+I142+I143+I170+I184</f>
        <v>0</v>
      </c>
      <c r="J140" s="33"/>
      <c r="K140" s="34">
        <f>+K141+K142+K143+K170+K184</f>
        <v>0</v>
      </c>
      <c r="L140" s="35"/>
      <c r="M140" s="34">
        <f>+M141+M142+M143+M170+M184</f>
        <v>0</v>
      </c>
    </row>
    <row r="141" spans="1:13" ht="30" customHeight="1" thickTop="1" x14ac:dyDescent="0.2">
      <c r="A141" s="279"/>
      <c r="B141" s="55" t="s">
        <v>304</v>
      </c>
      <c r="C141" s="280" t="s">
        <v>306</v>
      </c>
      <c r="D141" s="281"/>
      <c r="E141" s="282"/>
      <c r="F141" s="56" t="s">
        <v>30</v>
      </c>
      <c r="G141" s="57">
        <v>38.76</v>
      </c>
      <c r="H141" s="3"/>
      <c r="I141" s="58">
        <f t="shared" ref="I141:I142" si="169">+H141*G141</f>
        <v>0</v>
      </c>
      <c r="J141" s="3"/>
      <c r="K141" s="58">
        <f t="shared" ref="K141:K142" si="170">+J141*G141</f>
        <v>0</v>
      </c>
      <c r="L141" s="59">
        <f t="shared" ref="L141:L142" si="171">+H141+J141</f>
        <v>0</v>
      </c>
      <c r="M141" s="58">
        <f t="shared" ref="M141:M142" si="172">L141*G141</f>
        <v>0</v>
      </c>
    </row>
    <row r="142" spans="1:13" ht="30" customHeight="1" x14ac:dyDescent="0.2">
      <c r="A142" s="279"/>
      <c r="B142" s="60" t="s">
        <v>305</v>
      </c>
      <c r="C142" s="283" t="s">
        <v>307</v>
      </c>
      <c r="D142" s="284"/>
      <c r="E142" s="285"/>
      <c r="F142" s="61" t="s">
        <v>77</v>
      </c>
      <c r="G142" s="62">
        <v>17.2</v>
      </c>
      <c r="H142" s="2"/>
      <c r="I142" s="63">
        <f t="shared" si="169"/>
        <v>0</v>
      </c>
      <c r="J142" s="2"/>
      <c r="K142" s="63">
        <f t="shared" si="170"/>
        <v>0</v>
      </c>
      <c r="L142" s="64">
        <f t="shared" si="171"/>
        <v>0</v>
      </c>
      <c r="M142" s="63">
        <f t="shared" si="172"/>
        <v>0</v>
      </c>
    </row>
    <row r="143" spans="1:13" ht="30" customHeight="1" x14ac:dyDescent="0.2">
      <c r="A143" s="36"/>
      <c r="B143" s="37" t="s">
        <v>308</v>
      </c>
      <c r="C143" s="270" t="s">
        <v>309</v>
      </c>
      <c r="D143" s="271"/>
      <c r="E143" s="271"/>
      <c r="F143" s="83"/>
      <c r="G143" s="84"/>
      <c r="H143" s="78"/>
      <c r="I143" s="79">
        <f>SUM(I144:I169)</f>
        <v>0</v>
      </c>
      <c r="J143" s="78"/>
      <c r="K143" s="79">
        <f>SUM(K144:K169)</f>
        <v>0</v>
      </c>
      <c r="L143" s="78"/>
      <c r="M143" s="79">
        <f>SUM(M144:M169)</f>
        <v>0</v>
      </c>
    </row>
    <row r="144" spans="1:13" ht="30" customHeight="1" x14ac:dyDescent="0.2">
      <c r="A144" s="36"/>
      <c r="B144" s="37" t="s">
        <v>310</v>
      </c>
      <c r="C144" s="276" t="s">
        <v>311</v>
      </c>
      <c r="D144" s="277"/>
      <c r="E144" s="278"/>
      <c r="F144" s="41" t="s">
        <v>38</v>
      </c>
      <c r="G144" s="82">
        <v>6</v>
      </c>
      <c r="H144" s="1"/>
      <c r="I144" s="43">
        <f t="shared" ref="I144" si="173">+H144*G144</f>
        <v>0</v>
      </c>
      <c r="J144" s="1"/>
      <c r="K144" s="43">
        <f t="shared" ref="K144" si="174">+J144*G144</f>
        <v>0</v>
      </c>
      <c r="L144" s="44">
        <f t="shared" ref="L144" si="175">+H144+J144</f>
        <v>0</v>
      </c>
      <c r="M144" s="43">
        <f t="shared" ref="M144" si="176">L144*G144</f>
        <v>0</v>
      </c>
    </row>
    <row r="145" spans="1:13" ht="30" customHeight="1" x14ac:dyDescent="0.2">
      <c r="A145" s="36"/>
      <c r="B145" s="37" t="s">
        <v>312</v>
      </c>
      <c r="C145" s="276" t="s">
        <v>313</v>
      </c>
      <c r="D145" s="277"/>
      <c r="E145" s="278"/>
      <c r="F145" s="41" t="s">
        <v>38</v>
      </c>
      <c r="G145" s="82">
        <v>3</v>
      </c>
      <c r="H145" s="1"/>
      <c r="I145" s="43">
        <f t="shared" ref="I145:I169" si="177">+H145*G145</f>
        <v>0</v>
      </c>
      <c r="J145" s="1"/>
      <c r="K145" s="43">
        <f t="shared" ref="K145:K169" si="178">+J145*G145</f>
        <v>0</v>
      </c>
      <c r="L145" s="44">
        <f t="shared" ref="L145:L169" si="179">+H145+J145</f>
        <v>0</v>
      </c>
      <c r="M145" s="43">
        <f t="shared" ref="M145:M169" si="180">L145*G145</f>
        <v>0</v>
      </c>
    </row>
    <row r="146" spans="1:13" ht="30" customHeight="1" x14ac:dyDescent="0.2">
      <c r="A146" s="36"/>
      <c r="B146" s="37" t="s">
        <v>314</v>
      </c>
      <c r="C146" s="276" t="s">
        <v>315</v>
      </c>
      <c r="D146" s="277"/>
      <c r="E146" s="278"/>
      <c r="F146" s="41" t="s">
        <v>38</v>
      </c>
      <c r="G146" s="82">
        <v>9</v>
      </c>
      <c r="H146" s="1"/>
      <c r="I146" s="43">
        <f t="shared" si="177"/>
        <v>0</v>
      </c>
      <c r="J146" s="1"/>
      <c r="K146" s="43">
        <f t="shared" si="178"/>
        <v>0</v>
      </c>
      <c r="L146" s="44">
        <f t="shared" si="179"/>
        <v>0</v>
      </c>
      <c r="M146" s="43">
        <f t="shared" si="180"/>
        <v>0</v>
      </c>
    </row>
    <row r="147" spans="1:13" ht="30" customHeight="1" x14ac:dyDescent="0.2">
      <c r="A147" s="36"/>
      <c r="B147" s="37" t="s">
        <v>316</v>
      </c>
      <c r="C147" s="276" t="s">
        <v>317</v>
      </c>
      <c r="D147" s="277"/>
      <c r="E147" s="278"/>
      <c r="F147" s="41" t="s">
        <v>38</v>
      </c>
      <c r="G147" s="82">
        <v>9</v>
      </c>
      <c r="H147" s="1"/>
      <c r="I147" s="43">
        <f t="shared" si="177"/>
        <v>0</v>
      </c>
      <c r="J147" s="1"/>
      <c r="K147" s="43">
        <f t="shared" si="178"/>
        <v>0</v>
      </c>
      <c r="L147" s="44">
        <f t="shared" si="179"/>
        <v>0</v>
      </c>
      <c r="M147" s="43">
        <f t="shared" si="180"/>
        <v>0</v>
      </c>
    </row>
    <row r="148" spans="1:13" ht="30" customHeight="1" x14ac:dyDescent="0.2">
      <c r="A148" s="36"/>
      <c r="B148" s="37" t="s">
        <v>318</v>
      </c>
      <c r="C148" s="276" t="s">
        <v>319</v>
      </c>
      <c r="D148" s="277"/>
      <c r="E148" s="278"/>
      <c r="F148" s="41" t="s">
        <v>38</v>
      </c>
      <c r="G148" s="82">
        <v>9</v>
      </c>
      <c r="H148" s="1"/>
      <c r="I148" s="43">
        <f t="shared" si="177"/>
        <v>0</v>
      </c>
      <c r="J148" s="1"/>
      <c r="K148" s="43">
        <f t="shared" si="178"/>
        <v>0</v>
      </c>
      <c r="L148" s="44">
        <f t="shared" si="179"/>
        <v>0</v>
      </c>
      <c r="M148" s="43">
        <f t="shared" si="180"/>
        <v>0</v>
      </c>
    </row>
    <row r="149" spans="1:13" ht="30" customHeight="1" x14ac:dyDescent="0.2">
      <c r="A149" s="36"/>
      <c r="B149" s="37" t="s">
        <v>320</v>
      </c>
      <c r="C149" s="276" t="s">
        <v>321</v>
      </c>
      <c r="D149" s="277"/>
      <c r="E149" s="278"/>
      <c r="F149" s="41" t="s">
        <v>38</v>
      </c>
      <c r="G149" s="82">
        <v>10</v>
      </c>
      <c r="H149" s="1"/>
      <c r="I149" s="43">
        <f t="shared" si="177"/>
        <v>0</v>
      </c>
      <c r="J149" s="1"/>
      <c r="K149" s="43">
        <f t="shared" si="178"/>
        <v>0</v>
      </c>
      <c r="L149" s="44">
        <f t="shared" si="179"/>
        <v>0</v>
      </c>
      <c r="M149" s="43">
        <f t="shared" si="180"/>
        <v>0</v>
      </c>
    </row>
    <row r="150" spans="1:13" ht="30" customHeight="1" x14ac:dyDescent="0.2">
      <c r="A150" s="36"/>
      <c r="B150" s="37" t="s">
        <v>322</v>
      </c>
      <c r="C150" s="276" t="s">
        <v>2304</v>
      </c>
      <c r="D150" s="277"/>
      <c r="E150" s="278"/>
      <c r="F150" s="41" t="s">
        <v>38</v>
      </c>
      <c r="G150" s="82">
        <v>6</v>
      </c>
      <c r="H150" s="1"/>
      <c r="I150" s="43">
        <f t="shared" si="177"/>
        <v>0</v>
      </c>
      <c r="J150" s="1"/>
      <c r="K150" s="43">
        <f t="shared" si="178"/>
        <v>0</v>
      </c>
      <c r="L150" s="44">
        <f t="shared" si="179"/>
        <v>0</v>
      </c>
      <c r="M150" s="43">
        <f t="shared" si="180"/>
        <v>0</v>
      </c>
    </row>
    <row r="151" spans="1:13" ht="30" customHeight="1" x14ac:dyDescent="0.2">
      <c r="A151" s="36"/>
      <c r="B151" s="37" t="s">
        <v>323</v>
      </c>
      <c r="C151" s="276" t="s">
        <v>324</v>
      </c>
      <c r="D151" s="277"/>
      <c r="E151" s="278"/>
      <c r="F151" s="41" t="s">
        <v>38</v>
      </c>
      <c r="G151" s="82">
        <v>3</v>
      </c>
      <c r="H151" s="1"/>
      <c r="I151" s="43">
        <f t="shared" si="177"/>
        <v>0</v>
      </c>
      <c r="J151" s="1"/>
      <c r="K151" s="43">
        <f t="shared" si="178"/>
        <v>0</v>
      </c>
      <c r="L151" s="44">
        <f t="shared" si="179"/>
        <v>0</v>
      </c>
      <c r="M151" s="43">
        <f t="shared" si="180"/>
        <v>0</v>
      </c>
    </row>
    <row r="152" spans="1:13" ht="30" customHeight="1" x14ac:dyDescent="0.2">
      <c r="A152" s="36"/>
      <c r="B152" s="37" t="s">
        <v>325</v>
      </c>
      <c r="C152" s="276" t="s">
        <v>326</v>
      </c>
      <c r="D152" s="277"/>
      <c r="E152" s="278"/>
      <c r="F152" s="41" t="s">
        <v>38</v>
      </c>
      <c r="G152" s="82">
        <v>14</v>
      </c>
      <c r="H152" s="1"/>
      <c r="I152" s="43">
        <f t="shared" si="177"/>
        <v>0</v>
      </c>
      <c r="J152" s="1"/>
      <c r="K152" s="43">
        <f t="shared" si="178"/>
        <v>0</v>
      </c>
      <c r="L152" s="44">
        <f t="shared" si="179"/>
        <v>0</v>
      </c>
      <c r="M152" s="43">
        <f t="shared" si="180"/>
        <v>0</v>
      </c>
    </row>
    <row r="153" spans="1:13" ht="30" customHeight="1" x14ac:dyDescent="0.2">
      <c r="A153" s="36"/>
      <c r="B153" s="37" t="s">
        <v>327</v>
      </c>
      <c r="C153" s="276" t="s">
        <v>328</v>
      </c>
      <c r="D153" s="277"/>
      <c r="E153" s="278"/>
      <c r="F153" s="41" t="s">
        <v>38</v>
      </c>
      <c r="G153" s="82">
        <v>14</v>
      </c>
      <c r="H153" s="1"/>
      <c r="I153" s="43">
        <f t="shared" si="177"/>
        <v>0</v>
      </c>
      <c r="J153" s="1"/>
      <c r="K153" s="43">
        <f t="shared" si="178"/>
        <v>0</v>
      </c>
      <c r="L153" s="44">
        <f t="shared" si="179"/>
        <v>0</v>
      </c>
      <c r="M153" s="43">
        <f t="shared" si="180"/>
        <v>0</v>
      </c>
    </row>
    <row r="154" spans="1:13" ht="30" customHeight="1" x14ac:dyDescent="0.2">
      <c r="A154" s="36"/>
      <c r="B154" s="37" t="s">
        <v>329</v>
      </c>
      <c r="C154" s="276" t="s">
        <v>330</v>
      </c>
      <c r="D154" s="277"/>
      <c r="E154" s="278"/>
      <c r="F154" s="41" t="s">
        <v>38</v>
      </c>
      <c r="G154" s="82">
        <v>4</v>
      </c>
      <c r="H154" s="1"/>
      <c r="I154" s="43">
        <f t="shared" si="177"/>
        <v>0</v>
      </c>
      <c r="J154" s="1"/>
      <c r="K154" s="43">
        <f t="shared" si="178"/>
        <v>0</v>
      </c>
      <c r="L154" s="44">
        <f t="shared" si="179"/>
        <v>0</v>
      </c>
      <c r="M154" s="43">
        <f t="shared" si="180"/>
        <v>0</v>
      </c>
    </row>
    <row r="155" spans="1:13" ht="30" customHeight="1" x14ac:dyDescent="0.2">
      <c r="A155" s="36"/>
      <c r="B155" s="37" t="s">
        <v>331</v>
      </c>
      <c r="C155" s="276" t="s">
        <v>332</v>
      </c>
      <c r="D155" s="277"/>
      <c r="E155" s="278"/>
      <c r="F155" s="41" t="s">
        <v>38</v>
      </c>
      <c r="G155" s="82">
        <v>6</v>
      </c>
      <c r="H155" s="1"/>
      <c r="I155" s="43">
        <f t="shared" si="177"/>
        <v>0</v>
      </c>
      <c r="J155" s="1"/>
      <c r="K155" s="43">
        <f t="shared" si="178"/>
        <v>0</v>
      </c>
      <c r="L155" s="44">
        <f t="shared" si="179"/>
        <v>0</v>
      </c>
      <c r="M155" s="43">
        <f t="shared" si="180"/>
        <v>0</v>
      </c>
    </row>
    <row r="156" spans="1:13" ht="30" customHeight="1" x14ac:dyDescent="0.2">
      <c r="A156" s="36"/>
      <c r="B156" s="37" t="s">
        <v>333</v>
      </c>
      <c r="C156" s="276" t="s">
        <v>334</v>
      </c>
      <c r="D156" s="277"/>
      <c r="E156" s="278"/>
      <c r="F156" s="41" t="s">
        <v>38</v>
      </c>
      <c r="G156" s="82">
        <v>2</v>
      </c>
      <c r="H156" s="1"/>
      <c r="I156" s="43">
        <f t="shared" si="177"/>
        <v>0</v>
      </c>
      <c r="J156" s="1"/>
      <c r="K156" s="43">
        <f t="shared" si="178"/>
        <v>0</v>
      </c>
      <c r="L156" s="44">
        <f t="shared" si="179"/>
        <v>0</v>
      </c>
      <c r="M156" s="43">
        <f t="shared" si="180"/>
        <v>0</v>
      </c>
    </row>
    <row r="157" spans="1:13" ht="30" customHeight="1" x14ac:dyDescent="0.2">
      <c r="A157" s="36"/>
      <c r="B157" s="37" t="s">
        <v>335</v>
      </c>
      <c r="C157" s="276" t="s">
        <v>336</v>
      </c>
      <c r="D157" s="277"/>
      <c r="E157" s="278"/>
      <c r="F157" s="41" t="s">
        <v>38</v>
      </c>
      <c r="G157" s="82">
        <v>2</v>
      </c>
      <c r="H157" s="1"/>
      <c r="I157" s="43">
        <f t="shared" si="177"/>
        <v>0</v>
      </c>
      <c r="J157" s="1"/>
      <c r="K157" s="43">
        <f t="shared" si="178"/>
        <v>0</v>
      </c>
      <c r="L157" s="44">
        <f t="shared" si="179"/>
        <v>0</v>
      </c>
      <c r="M157" s="43">
        <f t="shared" si="180"/>
        <v>0</v>
      </c>
    </row>
    <row r="158" spans="1:13" ht="30" customHeight="1" x14ac:dyDescent="0.2">
      <c r="A158" s="36"/>
      <c r="B158" s="37" t="s">
        <v>337</v>
      </c>
      <c r="C158" s="276" t="s">
        <v>338</v>
      </c>
      <c r="D158" s="277"/>
      <c r="E158" s="278"/>
      <c r="F158" s="41" t="s">
        <v>38</v>
      </c>
      <c r="G158" s="82">
        <v>4</v>
      </c>
      <c r="H158" s="1"/>
      <c r="I158" s="43">
        <f t="shared" si="177"/>
        <v>0</v>
      </c>
      <c r="J158" s="1"/>
      <c r="K158" s="43">
        <f t="shared" si="178"/>
        <v>0</v>
      </c>
      <c r="L158" s="44">
        <f t="shared" si="179"/>
        <v>0</v>
      </c>
      <c r="M158" s="43">
        <f t="shared" si="180"/>
        <v>0</v>
      </c>
    </row>
    <row r="159" spans="1:13" ht="30" customHeight="1" x14ac:dyDescent="0.2">
      <c r="A159" s="36"/>
      <c r="B159" s="37" t="s">
        <v>339</v>
      </c>
      <c r="C159" s="276" t="s">
        <v>340</v>
      </c>
      <c r="D159" s="277"/>
      <c r="E159" s="278"/>
      <c r="F159" s="41" t="s">
        <v>38</v>
      </c>
      <c r="G159" s="82">
        <v>8</v>
      </c>
      <c r="H159" s="1"/>
      <c r="I159" s="43">
        <f t="shared" si="177"/>
        <v>0</v>
      </c>
      <c r="J159" s="1"/>
      <c r="K159" s="43">
        <f t="shared" si="178"/>
        <v>0</v>
      </c>
      <c r="L159" s="44">
        <f t="shared" si="179"/>
        <v>0</v>
      </c>
      <c r="M159" s="43">
        <f t="shared" si="180"/>
        <v>0</v>
      </c>
    </row>
    <row r="160" spans="1:13" ht="30" customHeight="1" x14ac:dyDescent="0.2">
      <c r="A160" s="36"/>
      <c r="B160" s="37" t="s">
        <v>341</v>
      </c>
      <c r="C160" s="276" t="s">
        <v>342</v>
      </c>
      <c r="D160" s="277"/>
      <c r="E160" s="278"/>
      <c r="F160" s="41" t="s">
        <v>38</v>
      </c>
      <c r="G160" s="82">
        <v>9</v>
      </c>
      <c r="H160" s="1"/>
      <c r="I160" s="43">
        <f t="shared" si="177"/>
        <v>0</v>
      </c>
      <c r="J160" s="1"/>
      <c r="K160" s="43">
        <f t="shared" si="178"/>
        <v>0</v>
      </c>
      <c r="L160" s="44">
        <f t="shared" si="179"/>
        <v>0</v>
      </c>
      <c r="M160" s="43">
        <f t="shared" si="180"/>
        <v>0</v>
      </c>
    </row>
    <row r="161" spans="1:13" ht="30" customHeight="1" x14ac:dyDescent="0.2">
      <c r="A161" s="36"/>
      <c r="B161" s="37" t="s">
        <v>343</v>
      </c>
      <c r="C161" s="276" t="s">
        <v>344</v>
      </c>
      <c r="D161" s="277"/>
      <c r="E161" s="278"/>
      <c r="F161" s="41" t="s">
        <v>38</v>
      </c>
      <c r="G161" s="82">
        <v>9</v>
      </c>
      <c r="H161" s="1"/>
      <c r="I161" s="43">
        <f t="shared" si="177"/>
        <v>0</v>
      </c>
      <c r="J161" s="1"/>
      <c r="K161" s="43">
        <f t="shared" si="178"/>
        <v>0</v>
      </c>
      <c r="L161" s="44">
        <f t="shared" si="179"/>
        <v>0</v>
      </c>
      <c r="M161" s="43">
        <f t="shared" si="180"/>
        <v>0</v>
      </c>
    </row>
    <row r="162" spans="1:13" ht="30" customHeight="1" x14ac:dyDescent="0.2">
      <c r="A162" s="36"/>
      <c r="B162" s="37" t="s">
        <v>345</v>
      </c>
      <c r="C162" s="276" t="s">
        <v>346</v>
      </c>
      <c r="D162" s="277"/>
      <c r="E162" s="278"/>
      <c r="F162" s="41" t="s">
        <v>38</v>
      </c>
      <c r="G162" s="82">
        <v>15</v>
      </c>
      <c r="H162" s="1"/>
      <c r="I162" s="43">
        <f t="shared" si="177"/>
        <v>0</v>
      </c>
      <c r="J162" s="1"/>
      <c r="K162" s="43">
        <f t="shared" si="178"/>
        <v>0</v>
      </c>
      <c r="L162" s="44">
        <f t="shared" si="179"/>
        <v>0</v>
      </c>
      <c r="M162" s="43">
        <f t="shared" si="180"/>
        <v>0</v>
      </c>
    </row>
    <row r="163" spans="1:13" ht="30" customHeight="1" x14ac:dyDescent="0.2">
      <c r="A163" s="36"/>
      <c r="B163" s="37" t="s">
        <v>347</v>
      </c>
      <c r="C163" s="276" t="s">
        <v>348</v>
      </c>
      <c r="D163" s="277"/>
      <c r="E163" s="278"/>
      <c r="F163" s="41" t="s">
        <v>38</v>
      </c>
      <c r="G163" s="82">
        <v>9</v>
      </c>
      <c r="H163" s="1"/>
      <c r="I163" s="43">
        <f t="shared" si="177"/>
        <v>0</v>
      </c>
      <c r="J163" s="1"/>
      <c r="K163" s="43">
        <f t="shared" si="178"/>
        <v>0</v>
      </c>
      <c r="L163" s="44">
        <f t="shared" si="179"/>
        <v>0</v>
      </c>
      <c r="M163" s="43">
        <f t="shared" si="180"/>
        <v>0</v>
      </c>
    </row>
    <row r="164" spans="1:13" ht="30" customHeight="1" x14ac:dyDescent="0.2">
      <c r="A164" s="36"/>
      <c r="B164" s="37" t="s">
        <v>349</v>
      </c>
      <c r="C164" s="276" t="s">
        <v>350</v>
      </c>
      <c r="D164" s="277"/>
      <c r="E164" s="278"/>
      <c r="F164" s="41" t="s">
        <v>38</v>
      </c>
      <c r="G164" s="82">
        <v>8</v>
      </c>
      <c r="H164" s="1"/>
      <c r="I164" s="43">
        <f t="shared" si="177"/>
        <v>0</v>
      </c>
      <c r="J164" s="1"/>
      <c r="K164" s="43">
        <f t="shared" si="178"/>
        <v>0</v>
      </c>
      <c r="L164" s="44">
        <f t="shared" si="179"/>
        <v>0</v>
      </c>
      <c r="M164" s="43">
        <f t="shared" si="180"/>
        <v>0</v>
      </c>
    </row>
    <row r="165" spans="1:13" ht="30" customHeight="1" x14ac:dyDescent="0.2">
      <c r="A165" s="36"/>
      <c r="B165" s="37" t="s">
        <v>351</v>
      </c>
      <c r="C165" s="276" t="s">
        <v>352</v>
      </c>
      <c r="D165" s="277"/>
      <c r="E165" s="278"/>
      <c r="F165" s="41" t="s">
        <v>38</v>
      </c>
      <c r="G165" s="82">
        <v>5</v>
      </c>
      <c r="H165" s="1"/>
      <c r="I165" s="43">
        <f t="shared" si="177"/>
        <v>0</v>
      </c>
      <c r="J165" s="1"/>
      <c r="K165" s="43">
        <f t="shared" si="178"/>
        <v>0</v>
      </c>
      <c r="L165" s="44">
        <f t="shared" si="179"/>
        <v>0</v>
      </c>
      <c r="M165" s="43">
        <f t="shared" si="180"/>
        <v>0</v>
      </c>
    </row>
    <row r="166" spans="1:13" ht="30" customHeight="1" x14ac:dyDescent="0.2">
      <c r="A166" s="36"/>
      <c r="B166" s="37" t="s">
        <v>353</v>
      </c>
      <c r="C166" s="276" t="s">
        <v>354</v>
      </c>
      <c r="D166" s="277"/>
      <c r="E166" s="278"/>
      <c r="F166" s="41" t="s">
        <v>38</v>
      </c>
      <c r="G166" s="82">
        <v>2</v>
      </c>
      <c r="H166" s="1"/>
      <c r="I166" s="43">
        <f t="shared" si="177"/>
        <v>0</v>
      </c>
      <c r="J166" s="1"/>
      <c r="K166" s="43">
        <f t="shared" si="178"/>
        <v>0</v>
      </c>
      <c r="L166" s="44">
        <f t="shared" si="179"/>
        <v>0</v>
      </c>
      <c r="M166" s="43">
        <f t="shared" si="180"/>
        <v>0</v>
      </c>
    </row>
    <row r="167" spans="1:13" ht="30" customHeight="1" x14ac:dyDescent="0.2">
      <c r="A167" s="36"/>
      <c r="B167" s="37" t="s">
        <v>355</v>
      </c>
      <c r="C167" s="276" t="s">
        <v>356</v>
      </c>
      <c r="D167" s="277"/>
      <c r="E167" s="278"/>
      <c r="F167" s="41" t="s">
        <v>38</v>
      </c>
      <c r="G167" s="82">
        <v>1</v>
      </c>
      <c r="H167" s="1"/>
      <c r="I167" s="43">
        <f t="shared" si="177"/>
        <v>0</v>
      </c>
      <c r="J167" s="1"/>
      <c r="K167" s="43">
        <f t="shared" si="178"/>
        <v>0</v>
      </c>
      <c r="L167" s="44">
        <f t="shared" si="179"/>
        <v>0</v>
      </c>
      <c r="M167" s="43">
        <f t="shared" si="180"/>
        <v>0</v>
      </c>
    </row>
    <row r="168" spans="1:13" ht="30" customHeight="1" x14ac:dyDescent="0.2">
      <c r="A168" s="36"/>
      <c r="B168" s="37" t="s">
        <v>357</v>
      </c>
      <c r="C168" s="276" t="s">
        <v>358</v>
      </c>
      <c r="D168" s="277"/>
      <c r="E168" s="278"/>
      <c r="F168" s="41" t="s">
        <v>38</v>
      </c>
      <c r="G168" s="82">
        <v>1</v>
      </c>
      <c r="H168" s="1"/>
      <c r="I168" s="43">
        <f t="shared" si="177"/>
        <v>0</v>
      </c>
      <c r="J168" s="1"/>
      <c r="K168" s="43">
        <f t="shared" si="178"/>
        <v>0</v>
      </c>
      <c r="L168" s="44">
        <f t="shared" si="179"/>
        <v>0</v>
      </c>
      <c r="M168" s="43">
        <f t="shared" si="180"/>
        <v>0</v>
      </c>
    </row>
    <row r="169" spans="1:13" ht="30" customHeight="1" x14ac:dyDescent="0.2">
      <c r="A169" s="36"/>
      <c r="B169" s="37" t="s">
        <v>359</v>
      </c>
      <c r="C169" s="276" t="s">
        <v>1391</v>
      </c>
      <c r="D169" s="277"/>
      <c r="E169" s="278"/>
      <c r="F169" s="41" t="s">
        <v>38</v>
      </c>
      <c r="G169" s="82">
        <v>1</v>
      </c>
      <c r="H169" s="1"/>
      <c r="I169" s="43">
        <f t="shared" si="177"/>
        <v>0</v>
      </c>
      <c r="J169" s="1"/>
      <c r="K169" s="43">
        <f t="shared" si="178"/>
        <v>0</v>
      </c>
      <c r="L169" s="44">
        <f t="shared" si="179"/>
        <v>0</v>
      </c>
      <c r="M169" s="43">
        <f t="shared" si="180"/>
        <v>0</v>
      </c>
    </row>
    <row r="170" spans="1:13" ht="30" customHeight="1" x14ac:dyDescent="0.2">
      <c r="A170" s="36"/>
      <c r="B170" s="37" t="s">
        <v>2305</v>
      </c>
      <c r="C170" s="270" t="s">
        <v>2306</v>
      </c>
      <c r="D170" s="271"/>
      <c r="E170" s="271"/>
      <c r="F170" s="83"/>
      <c r="G170" s="84"/>
      <c r="H170" s="78"/>
      <c r="I170" s="79">
        <f>SUM(I171:I183)</f>
        <v>0</v>
      </c>
      <c r="J170" s="78"/>
      <c r="K170" s="79">
        <f>SUM(K171:K183)</f>
        <v>0</v>
      </c>
      <c r="L170" s="78"/>
      <c r="M170" s="79">
        <f>SUM(M171:M183)</f>
        <v>0</v>
      </c>
    </row>
    <row r="171" spans="1:13" ht="30" customHeight="1" x14ac:dyDescent="0.2">
      <c r="A171" s="36"/>
      <c r="B171" s="37" t="s">
        <v>1509</v>
      </c>
      <c r="C171" s="276" t="s">
        <v>2312</v>
      </c>
      <c r="D171" s="277"/>
      <c r="E171" s="278"/>
      <c r="F171" s="41" t="s">
        <v>38</v>
      </c>
      <c r="G171" s="82">
        <v>1</v>
      </c>
      <c r="H171" s="1"/>
      <c r="I171" s="43">
        <f t="shared" ref="I171:I183" si="181">+H171*G171</f>
        <v>0</v>
      </c>
      <c r="J171" s="1"/>
      <c r="K171" s="43">
        <f t="shared" ref="K171:K183" si="182">+J171*G171</f>
        <v>0</v>
      </c>
      <c r="L171" s="44">
        <f t="shared" ref="L171:L183" si="183">+H171+J171</f>
        <v>0</v>
      </c>
      <c r="M171" s="43">
        <f t="shared" ref="M171:M183" si="184">L171*G171</f>
        <v>0</v>
      </c>
    </row>
    <row r="172" spans="1:13" ht="30" customHeight="1" x14ac:dyDescent="0.2">
      <c r="A172" s="36"/>
      <c r="B172" s="37" t="s">
        <v>1510</v>
      </c>
      <c r="C172" s="276" t="s">
        <v>2313</v>
      </c>
      <c r="D172" s="277"/>
      <c r="E172" s="278"/>
      <c r="F172" s="41" t="s">
        <v>38</v>
      </c>
      <c r="G172" s="82">
        <v>1</v>
      </c>
      <c r="H172" s="1"/>
      <c r="I172" s="43">
        <f t="shared" si="181"/>
        <v>0</v>
      </c>
      <c r="J172" s="1"/>
      <c r="K172" s="43">
        <f t="shared" si="182"/>
        <v>0</v>
      </c>
      <c r="L172" s="44">
        <f t="shared" si="183"/>
        <v>0</v>
      </c>
      <c r="M172" s="43">
        <f t="shared" si="184"/>
        <v>0</v>
      </c>
    </row>
    <row r="173" spans="1:13" ht="30" customHeight="1" x14ac:dyDescent="0.2">
      <c r="A173" s="36"/>
      <c r="B173" s="37" t="s">
        <v>1511</v>
      </c>
      <c r="C173" s="276" t="s">
        <v>2314</v>
      </c>
      <c r="D173" s="277"/>
      <c r="E173" s="278"/>
      <c r="F173" s="41" t="s">
        <v>38</v>
      </c>
      <c r="G173" s="82">
        <v>2</v>
      </c>
      <c r="H173" s="1"/>
      <c r="I173" s="43">
        <f t="shared" si="181"/>
        <v>0</v>
      </c>
      <c r="J173" s="1"/>
      <c r="K173" s="43">
        <f t="shared" si="182"/>
        <v>0</v>
      </c>
      <c r="L173" s="44">
        <f t="shared" si="183"/>
        <v>0</v>
      </c>
      <c r="M173" s="43">
        <f t="shared" si="184"/>
        <v>0</v>
      </c>
    </row>
    <row r="174" spans="1:13" ht="30" customHeight="1" x14ac:dyDescent="0.2">
      <c r="A174" s="36"/>
      <c r="B174" s="37" t="s">
        <v>1512</v>
      </c>
      <c r="C174" s="276" t="s">
        <v>2315</v>
      </c>
      <c r="D174" s="277"/>
      <c r="E174" s="278"/>
      <c r="F174" s="41" t="s">
        <v>38</v>
      </c>
      <c r="G174" s="82">
        <v>1</v>
      </c>
      <c r="H174" s="1"/>
      <c r="I174" s="43">
        <f t="shared" si="181"/>
        <v>0</v>
      </c>
      <c r="J174" s="1"/>
      <c r="K174" s="43">
        <f t="shared" si="182"/>
        <v>0</v>
      </c>
      <c r="L174" s="44">
        <f t="shared" si="183"/>
        <v>0</v>
      </c>
      <c r="M174" s="43">
        <f t="shared" si="184"/>
        <v>0</v>
      </c>
    </row>
    <row r="175" spans="1:13" ht="30" customHeight="1" x14ac:dyDescent="0.2">
      <c r="A175" s="36"/>
      <c r="B175" s="37" t="s">
        <v>1513</v>
      </c>
      <c r="C175" s="276" t="s">
        <v>2316</v>
      </c>
      <c r="D175" s="277"/>
      <c r="E175" s="278"/>
      <c r="F175" s="41" t="s">
        <v>38</v>
      </c>
      <c r="G175" s="82">
        <v>1</v>
      </c>
      <c r="H175" s="1"/>
      <c r="I175" s="43">
        <f t="shared" si="181"/>
        <v>0</v>
      </c>
      <c r="J175" s="1"/>
      <c r="K175" s="43">
        <f t="shared" si="182"/>
        <v>0</v>
      </c>
      <c r="L175" s="44">
        <f t="shared" si="183"/>
        <v>0</v>
      </c>
      <c r="M175" s="43">
        <f t="shared" si="184"/>
        <v>0</v>
      </c>
    </row>
    <row r="176" spans="1:13" ht="30" customHeight="1" x14ac:dyDescent="0.2">
      <c r="A176" s="36"/>
      <c r="B176" s="37" t="s">
        <v>1514</v>
      </c>
      <c r="C176" s="276" t="s">
        <v>2317</v>
      </c>
      <c r="D176" s="277"/>
      <c r="E176" s="278"/>
      <c r="F176" s="41" t="s">
        <v>38</v>
      </c>
      <c r="G176" s="82">
        <v>1</v>
      </c>
      <c r="H176" s="1"/>
      <c r="I176" s="43">
        <f t="shared" si="181"/>
        <v>0</v>
      </c>
      <c r="J176" s="1"/>
      <c r="K176" s="43">
        <f t="shared" si="182"/>
        <v>0</v>
      </c>
      <c r="L176" s="44">
        <f t="shared" si="183"/>
        <v>0</v>
      </c>
      <c r="M176" s="43">
        <f t="shared" si="184"/>
        <v>0</v>
      </c>
    </row>
    <row r="177" spans="1:13" ht="30" customHeight="1" x14ac:dyDescent="0.2">
      <c r="A177" s="36"/>
      <c r="B177" s="37" t="s">
        <v>1515</v>
      </c>
      <c r="C177" s="276" t="s">
        <v>2318</v>
      </c>
      <c r="D177" s="277"/>
      <c r="E177" s="278"/>
      <c r="F177" s="41" t="s">
        <v>38</v>
      </c>
      <c r="G177" s="82">
        <v>1</v>
      </c>
      <c r="H177" s="1"/>
      <c r="I177" s="43">
        <f t="shared" si="181"/>
        <v>0</v>
      </c>
      <c r="J177" s="1"/>
      <c r="K177" s="43">
        <f t="shared" si="182"/>
        <v>0</v>
      </c>
      <c r="L177" s="44">
        <f t="shared" si="183"/>
        <v>0</v>
      </c>
      <c r="M177" s="43">
        <f t="shared" si="184"/>
        <v>0</v>
      </c>
    </row>
    <row r="178" spans="1:13" ht="30" customHeight="1" x14ac:dyDescent="0.2">
      <c r="A178" s="36"/>
      <c r="B178" s="37" t="s">
        <v>1516</v>
      </c>
      <c r="C178" s="276" t="s">
        <v>2319</v>
      </c>
      <c r="D178" s="277"/>
      <c r="E178" s="278"/>
      <c r="F178" s="41" t="s">
        <v>38</v>
      </c>
      <c r="G178" s="82">
        <v>2</v>
      </c>
      <c r="H178" s="1"/>
      <c r="I178" s="43">
        <f t="shared" si="181"/>
        <v>0</v>
      </c>
      <c r="J178" s="1"/>
      <c r="K178" s="43">
        <f t="shared" si="182"/>
        <v>0</v>
      </c>
      <c r="L178" s="44">
        <f t="shared" si="183"/>
        <v>0</v>
      </c>
      <c r="M178" s="43">
        <f t="shared" si="184"/>
        <v>0</v>
      </c>
    </row>
    <row r="179" spans="1:13" ht="30" customHeight="1" x14ac:dyDescent="0.2">
      <c r="A179" s="36"/>
      <c r="B179" s="37" t="s">
        <v>2307</v>
      </c>
      <c r="C179" s="276" t="s">
        <v>2320</v>
      </c>
      <c r="D179" s="277"/>
      <c r="E179" s="278"/>
      <c r="F179" s="41" t="s">
        <v>38</v>
      </c>
      <c r="G179" s="82">
        <v>2</v>
      </c>
      <c r="H179" s="1"/>
      <c r="I179" s="43">
        <f t="shared" si="181"/>
        <v>0</v>
      </c>
      <c r="J179" s="1"/>
      <c r="K179" s="43">
        <f t="shared" si="182"/>
        <v>0</v>
      </c>
      <c r="L179" s="44">
        <f t="shared" si="183"/>
        <v>0</v>
      </c>
      <c r="M179" s="43">
        <f t="shared" si="184"/>
        <v>0</v>
      </c>
    </row>
    <row r="180" spans="1:13" ht="30" customHeight="1" x14ac:dyDescent="0.2">
      <c r="A180" s="36"/>
      <c r="B180" s="37" t="s">
        <v>2308</v>
      </c>
      <c r="C180" s="276" t="s">
        <v>2321</v>
      </c>
      <c r="D180" s="277"/>
      <c r="E180" s="278"/>
      <c r="F180" s="41" t="s">
        <v>38</v>
      </c>
      <c r="G180" s="82">
        <v>1</v>
      </c>
      <c r="H180" s="1"/>
      <c r="I180" s="43">
        <f t="shared" si="181"/>
        <v>0</v>
      </c>
      <c r="J180" s="1"/>
      <c r="K180" s="43">
        <f t="shared" si="182"/>
        <v>0</v>
      </c>
      <c r="L180" s="44">
        <f t="shared" si="183"/>
        <v>0</v>
      </c>
      <c r="M180" s="43">
        <f t="shared" si="184"/>
        <v>0</v>
      </c>
    </row>
    <row r="181" spans="1:13" ht="30" customHeight="1" x14ac:dyDescent="0.2">
      <c r="A181" s="36"/>
      <c r="B181" s="37" t="s">
        <v>2309</v>
      </c>
      <c r="C181" s="276" t="s">
        <v>2322</v>
      </c>
      <c r="D181" s="277"/>
      <c r="E181" s="278"/>
      <c r="F181" s="41" t="s">
        <v>38</v>
      </c>
      <c r="G181" s="82">
        <v>1</v>
      </c>
      <c r="H181" s="1"/>
      <c r="I181" s="43">
        <f t="shared" si="181"/>
        <v>0</v>
      </c>
      <c r="J181" s="1"/>
      <c r="K181" s="43">
        <f t="shared" si="182"/>
        <v>0</v>
      </c>
      <c r="L181" s="44">
        <f t="shared" si="183"/>
        <v>0</v>
      </c>
      <c r="M181" s="43">
        <f t="shared" si="184"/>
        <v>0</v>
      </c>
    </row>
    <row r="182" spans="1:13" ht="30" customHeight="1" x14ac:dyDescent="0.2">
      <c r="A182" s="36"/>
      <c r="B182" s="37" t="s">
        <v>2310</v>
      </c>
      <c r="C182" s="276" t="s">
        <v>2323</v>
      </c>
      <c r="D182" s="277"/>
      <c r="E182" s="278"/>
      <c r="F182" s="41" t="s">
        <v>38</v>
      </c>
      <c r="G182" s="82">
        <v>1</v>
      </c>
      <c r="H182" s="1"/>
      <c r="I182" s="43">
        <f t="shared" si="181"/>
        <v>0</v>
      </c>
      <c r="J182" s="1"/>
      <c r="K182" s="43">
        <f t="shared" si="182"/>
        <v>0</v>
      </c>
      <c r="L182" s="44">
        <f t="shared" si="183"/>
        <v>0</v>
      </c>
      <c r="M182" s="43">
        <f t="shared" si="184"/>
        <v>0</v>
      </c>
    </row>
    <row r="183" spans="1:13" ht="30" customHeight="1" x14ac:dyDescent="0.2">
      <c r="A183" s="36"/>
      <c r="B183" s="37" t="s">
        <v>2311</v>
      </c>
      <c r="C183" s="276" t="s">
        <v>2324</v>
      </c>
      <c r="D183" s="277"/>
      <c r="E183" s="278"/>
      <c r="F183" s="41" t="s">
        <v>38</v>
      </c>
      <c r="G183" s="82">
        <v>1</v>
      </c>
      <c r="H183" s="1"/>
      <c r="I183" s="43">
        <f t="shared" si="181"/>
        <v>0</v>
      </c>
      <c r="J183" s="1"/>
      <c r="K183" s="43">
        <f t="shared" si="182"/>
        <v>0</v>
      </c>
      <c r="L183" s="44">
        <f t="shared" si="183"/>
        <v>0</v>
      </c>
      <c r="M183" s="43">
        <f t="shared" si="184"/>
        <v>0</v>
      </c>
    </row>
    <row r="184" spans="1:13" ht="30" customHeight="1" x14ac:dyDescent="0.2">
      <c r="A184" s="36"/>
      <c r="B184" s="37" t="s">
        <v>2325</v>
      </c>
      <c r="C184" s="270" t="s">
        <v>2328</v>
      </c>
      <c r="D184" s="271"/>
      <c r="E184" s="271"/>
      <c r="F184" s="83"/>
      <c r="G184" s="84"/>
      <c r="H184" s="78"/>
      <c r="I184" s="79">
        <f>SUM(I185:I187)</f>
        <v>0</v>
      </c>
      <c r="J184" s="78"/>
      <c r="K184" s="79">
        <f>SUM(K185:K187)</f>
        <v>0</v>
      </c>
      <c r="L184" s="78"/>
      <c r="M184" s="79">
        <f>SUM(M185:M187)</f>
        <v>0</v>
      </c>
    </row>
    <row r="185" spans="1:13" ht="30" customHeight="1" x14ac:dyDescent="0.2">
      <c r="A185" s="36"/>
      <c r="B185" s="37" t="s">
        <v>1526</v>
      </c>
      <c r="C185" s="276" t="s">
        <v>2329</v>
      </c>
      <c r="D185" s="277"/>
      <c r="E185" s="278"/>
      <c r="F185" s="41" t="s">
        <v>38</v>
      </c>
      <c r="G185" s="82">
        <v>1</v>
      </c>
      <c r="H185" s="1"/>
      <c r="I185" s="43">
        <f t="shared" ref="I185:I187" si="185">+H185*G185</f>
        <v>0</v>
      </c>
      <c r="J185" s="1"/>
      <c r="K185" s="43">
        <f t="shared" ref="K185:K187" si="186">+J185*G185</f>
        <v>0</v>
      </c>
      <c r="L185" s="44">
        <f t="shared" ref="L185:L187" si="187">+H185+J185</f>
        <v>0</v>
      </c>
      <c r="M185" s="43">
        <f t="shared" ref="M185:M187" si="188">L185*G185</f>
        <v>0</v>
      </c>
    </row>
    <row r="186" spans="1:13" ht="30" customHeight="1" x14ac:dyDescent="0.2">
      <c r="A186" s="36"/>
      <c r="B186" s="37" t="s">
        <v>2326</v>
      </c>
      <c r="C186" s="276" t="s">
        <v>2330</v>
      </c>
      <c r="D186" s="277"/>
      <c r="E186" s="278"/>
      <c r="F186" s="41" t="s">
        <v>38</v>
      </c>
      <c r="G186" s="82">
        <v>1</v>
      </c>
      <c r="H186" s="1"/>
      <c r="I186" s="43">
        <f t="shared" si="185"/>
        <v>0</v>
      </c>
      <c r="J186" s="1"/>
      <c r="K186" s="43">
        <f t="shared" si="186"/>
        <v>0</v>
      </c>
      <c r="L186" s="44">
        <f t="shared" si="187"/>
        <v>0</v>
      </c>
      <c r="M186" s="43">
        <f t="shared" si="188"/>
        <v>0</v>
      </c>
    </row>
    <row r="187" spans="1:13" ht="30" customHeight="1" thickBot="1" x14ac:dyDescent="0.25">
      <c r="A187" s="36"/>
      <c r="B187" s="37" t="s">
        <v>2327</v>
      </c>
      <c r="C187" s="276" t="s">
        <v>2331</v>
      </c>
      <c r="D187" s="277"/>
      <c r="E187" s="278"/>
      <c r="F187" s="41" t="s">
        <v>38</v>
      </c>
      <c r="G187" s="82">
        <v>1</v>
      </c>
      <c r="H187" s="1"/>
      <c r="I187" s="43">
        <f t="shared" si="185"/>
        <v>0</v>
      </c>
      <c r="J187" s="1"/>
      <c r="K187" s="43">
        <f t="shared" si="186"/>
        <v>0</v>
      </c>
      <c r="L187" s="44">
        <f t="shared" si="187"/>
        <v>0</v>
      </c>
      <c r="M187" s="43">
        <f t="shared" si="188"/>
        <v>0</v>
      </c>
    </row>
    <row r="188" spans="1:13" ht="37.5" customHeight="1" thickTop="1" thickBot="1" x14ac:dyDescent="0.25">
      <c r="A188" s="53"/>
      <c r="B188" s="54">
        <v>10</v>
      </c>
      <c r="C188" s="272" t="s">
        <v>2332</v>
      </c>
      <c r="D188" s="273"/>
      <c r="E188" s="273"/>
      <c r="F188" s="31"/>
      <c r="G188" s="32"/>
      <c r="H188" s="33"/>
      <c r="I188" s="34">
        <f>+I189</f>
        <v>0</v>
      </c>
      <c r="J188" s="33"/>
      <c r="K188" s="34">
        <f>+K189</f>
        <v>0</v>
      </c>
      <c r="L188" s="35"/>
      <c r="M188" s="34">
        <f>+M189</f>
        <v>0</v>
      </c>
    </row>
    <row r="189" spans="1:13" ht="37.5" customHeight="1" thickTop="1" x14ac:dyDescent="0.2">
      <c r="A189" s="36"/>
      <c r="B189" s="37" t="s">
        <v>2334</v>
      </c>
      <c r="C189" s="276" t="s">
        <v>2333</v>
      </c>
      <c r="D189" s="277"/>
      <c r="E189" s="278"/>
      <c r="F189" s="41" t="s">
        <v>38</v>
      </c>
      <c r="G189" s="82">
        <v>1</v>
      </c>
      <c r="H189" s="1"/>
      <c r="I189" s="43">
        <f t="shared" ref="I189" si="189">+H189*G189</f>
        <v>0</v>
      </c>
      <c r="J189" s="1"/>
      <c r="K189" s="43">
        <f t="shared" ref="K189" si="190">+J189*G189</f>
        <v>0</v>
      </c>
      <c r="L189" s="44">
        <f t="shared" ref="L189" si="191">+H189+J189</f>
        <v>0</v>
      </c>
      <c r="M189" s="43">
        <f t="shared" ref="M189" si="192">L189*G189</f>
        <v>0</v>
      </c>
    </row>
    <row r="190" spans="1:13" ht="14.25" x14ac:dyDescent="0.2">
      <c r="A190" s="45"/>
      <c r="B190" s="45"/>
      <c r="C190" s="46"/>
      <c r="D190" s="46"/>
      <c r="E190" s="47"/>
      <c r="F190" s="48"/>
      <c r="G190" s="49"/>
      <c r="H190" s="50"/>
      <c r="I190" s="50"/>
      <c r="J190" s="50"/>
      <c r="K190" s="50"/>
      <c r="L190" s="50"/>
      <c r="M190" s="50"/>
    </row>
    <row r="191" spans="1:13" ht="30" customHeight="1" x14ac:dyDescent="0.2">
      <c r="F191" s="264">
        <v>1</v>
      </c>
      <c r="G191" s="264" t="str">
        <f>+C3</f>
        <v>TOPRAK İŞLERİ</v>
      </c>
      <c r="H191" s="264"/>
      <c r="I191" s="264"/>
      <c r="J191" s="266" t="s">
        <v>1</v>
      </c>
      <c r="K191" s="266"/>
      <c r="L191" s="267">
        <f>+I3</f>
        <v>0</v>
      </c>
      <c r="M191" s="267"/>
    </row>
    <row r="192" spans="1:13" ht="30" customHeight="1" x14ac:dyDescent="0.2">
      <c r="F192" s="264"/>
      <c r="G192" s="264"/>
      <c r="H192" s="264"/>
      <c r="I192" s="264"/>
      <c r="J192" s="266" t="s">
        <v>2</v>
      </c>
      <c r="K192" s="266"/>
      <c r="L192" s="267">
        <f>+K3</f>
        <v>0</v>
      </c>
      <c r="M192" s="267"/>
    </row>
    <row r="193" spans="6:13" ht="38.25" customHeight="1" thickBot="1" x14ac:dyDescent="0.25">
      <c r="F193" s="265"/>
      <c r="G193" s="265"/>
      <c r="H193" s="265"/>
      <c r="I193" s="265"/>
      <c r="J193" s="268" t="s">
        <v>13</v>
      </c>
      <c r="K193" s="268"/>
      <c r="L193" s="269">
        <f>+L191+L192</f>
        <v>0</v>
      </c>
      <c r="M193" s="269"/>
    </row>
    <row r="194" spans="6:13" ht="30" customHeight="1" thickTop="1" x14ac:dyDescent="0.2">
      <c r="F194" s="264">
        <v>2</v>
      </c>
      <c r="G194" s="264" t="str">
        <f>+C6</f>
        <v>BETONARME STRÜKTÜR İŞLERİ</v>
      </c>
      <c r="H194" s="264"/>
      <c r="I194" s="264"/>
      <c r="J194" s="266" t="s">
        <v>1</v>
      </c>
      <c r="K194" s="266"/>
      <c r="L194" s="267">
        <f>+I6</f>
        <v>0</v>
      </c>
      <c r="M194" s="267"/>
    </row>
    <row r="195" spans="6:13" ht="30" customHeight="1" x14ac:dyDescent="0.2">
      <c r="F195" s="264"/>
      <c r="G195" s="264"/>
      <c r="H195" s="264"/>
      <c r="I195" s="264"/>
      <c r="J195" s="266" t="s">
        <v>2</v>
      </c>
      <c r="K195" s="266"/>
      <c r="L195" s="267">
        <f>+K6</f>
        <v>0</v>
      </c>
      <c r="M195" s="267"/>
    </row>
    <row r="196" spans="6:13" ht="38.25" customHeight="1" thickBot="1" x14ac:dyDescent="0.25">
      <c r="F196" s="265"/>
      <c r="G196" s="265"/>
      <c r="H196" s="265"/>
      <c r="I196" s="265"/>
      <c r="J196" s="268" t="s">
        <v>13</v>
      </c>
      <c r="K196" s="268"/>
      <c r="L196" s="269">
        <f>+L194+L195</f>
        <v>0</v>
      </c>
      <c r="M196" s="269"/>
    </row>
    <row r="197" spans="6:13" ht="30" customHeight="1" thickTop="1" x14ac:dyDescent="0.2">
      <c r="F197" s="264">
        <v>3</v>
      </c>
      <c r="G197" s="264" t="str">
        <f>+C14</f>
        <v>ÇELİK İMALAT VE MONTAJ İŞLERİ</v>
      </c>
      <c r="H197" s="264"/>
      <c r="I197" s="264"/>
      <c r="J197" s="266" t="s">
        <v>1</v>
      </c>
      <c r="K197" s="266"/>
      <c r="L197" s="267">
        <f>+I14</f>
        <v>0</v>
      </c>
      <c r="M197" s="267"/>
    </row>
    <row r="198" spans="6:13" ht="30" customHeight="1" x14ac:dyDescent="0.2">
      <c r="F198" s="264"/>
      <c r="G198" s="264"/>
      <c r="H198" s="264"/>
      <c r="I198" s="264"/>
      <c r="J198" s="266" t="s">
        <v>2</v>
      </c>
      <c r="K198" s="266"/>
      <c r="L198" s="267">
        <f>+K14</f>
        <v>0</v>
      </c>
      <c r="M198" s="267"/>
    </row>
    <row r="199" spans="6:13" ht="38.25" customHeight="1" thickBot="1" x14ac:dyDescent="0.25">
      <c r="F199" s="265"/>
      <c r="G199" s="265"/>
      <c r="H199" s="265"/>
      <c r="I199" s="265"/>
      <c r="J199" s="268" t="s">
        <v>13</v>
      </c>
      <c r="K199" s="268"/>
      <c r="L199" s="269">
        <f>+L197+L198</f>
        <v>0</v>
      </c>
      <c r="M199" s="269"/>
    </row>
    <row r="200" spans="6:13" ht="30" customHeight="1" thickTop="1" x14ac:dyDescent="0.2">
      <c r="F200" s="264">
        <v>4</v>
      </c>
      <c r="G200" s="264" t="str">
        <f>+C20</f>
        <v>MUHTELİF ISI VE SU YALITIMI İŞLERİ</v>
      </c>
      <c r="H200" s="264"/>
      <c r="I200" s="264"/>
      <c r="J200" s="266" t="s">
        <v>1</v>
      </c>
      <c r="K200" s="266"/>
      <c r="L200" s="267">
        <f>+I20</f>
        <v>0</v>
      </c>
      <c r="M200" s="267"/>
    </row>
    <row r="201" spans="6:13" ht="30" customHeight="1" x14ac:dyDescent="0.2">
      <c r="F201" s="264"/>
      <c r="G201" s="264"/>
      <c r="H201" s="264"/>
      <c r="I201" s="264"/>
      <c r="J201" s="266" t="s">
        <v>2</v>
      </c>
      <c r="K201" s="266"/>
      <c r="L201" s="267">
        <f>+K20</f>
        <v>0</v>
      </c>
      <c r="M201" s="267"/>
    </row>
    <row r="202" spans="6:13" ht="38.25" customHeight="1" thickBot="1" x14ac:dyDescent="0.25">
      <c r="F202" s="265"/>
      <c r="G202" s="265"/>
      <c r="H202" s="265"/>
      <c r="I202" s="265"/>
      <c r="J202" s="268" t="s">
        <v>13</v>
      </c>
      <c r="K202" s="268"/>
      <c r="L202" s="269">
        <f>+L200+L201</f>
        <v>0</v>
      </c>
      <c r="M202" s="269"/>
    </row>
    <row r="203" spans="6:13" ht="30" customHeight="1" thickTop="1" x14ac:dyDescent="0.2">
      <c r="F203" s="264">
        <v>5</v>
      </c>
      <c r="G203" s="264" t="str">
        <f>+C38</f>
        <v>ÇATI VE CEPHE KAPLAMA İŞLERİ</v>
      </c>
      <c r="H203" s="264"/>
      <c r="I203" s="264"/>
      <c r="J203" s="266" t="s">
        <v>1</v>
      </c>
      <c r="K203" s="266"/>
      <c r="L203" s="267">
        <f>+I38</f>
        <v>0</v>
      </c>
      <c r="M203" s="267"/>
    </row>
    <row r="204" spans="6:13" ht="30" customHeight="1" x14ac:dyDescent="0.2">
      <c r="F204" s="264"/>
      <c r="G204" s="264"/>
      <c r="H204" s="264"/>
      <c r="I204" s="264"/>
      <c r="J204" s="266" t="s">
        <v>2</v>
      </c>
      <c r="K204" s="266"/>
      <c r="L204" s="267">
        <f>+K38</f>
        <v>0</v>
      </c>
      <c r="M204" s="267"/>
    </row>
    <row r="205" spans="6:13" ht="38.25" customHeight="1" thickBot="1" x14ac:dyDescent="0.25">
      <c r="F205" s="265"/>
      <c r="G205" s="265"/>
      <c r="H205" s="265"/>
      <c r="I205" s="265"/>
      <c r="J205" s="268" t="s">
        <v>13</v>
      </c>
      <c r="K205" s="268"/>
      <c r="L205" s="269">
        <f>+L203+L204</f>
        <v>0</v>
      </c>
      <c r="M205" s="269"/>
    </row>
    <row r="206" spans="6:13" ht="30" customHeight="1" thickTop="1" x14ac:dyDescent="0.2">
      <c r="F206" s="264">
        <v>6</v>
      </c>
      <c r="G206" s="264" t="str">
        <f>+C64</f>
        <v>İNCE İŞLER</v>
      </c>
      <c r="H206" s="264"/>
      <c r="I206" s="264"/>
      <c r="J206" s="266" t="s">
        <v>1</v>
      </c>
      <c r="K206" s="266"/>
      <c r="L206" s="267">
        <f>+I64</f>
        <v>0</v>
      </c>
      <c r="M206" s="267"/>
    </row>
    <row r="207" spans="6:13" ht="30" customHeight="1" x14ac:dyDescent="0.2">
      <c r="F207" s="264"/>
      <c r="G207" s="264"/>
      <c r="H207" s="264"/>
      <c r="I207" s="264"/>
      <c r="J207" s="266" t="s">
        <v>2</v>
      </c>
      <c r="K207" s="266"/>
      <c r="L207" s="267">
        <f>+K64</f>
        <v>0</v>
      </c>
      <c r="M207" s="267"/>
    </row>
    <row r="208" spans="6:13" ht="38.25" customHeight="1" thickBot="1" x14ac:dyDescent="0.25">
      <c r="F208" s="265"/>
      <c r="G208" s="265"/>
      <c r="H208" s="265"/>
      <c r="I208" s="265"/>
      <c r="J208" s="268" t="s">
        <v>13</v>
      </c>
      <c r="K208" s="268"/>
      <c r="L208" s="269">
        <f>+L206+L207</f>
        <v>0</v>
      </c>
      <c r="M208" s="269"/>
    </row>
    <row r="209" spans="6:13" ht="30" customHeight="1" thickTop="1" x14ac:dyDescent="0.2">
      <c r="F209" s="264">
        <v>7</v>
      </c>
      <c r="G209" s="264" t="str">
        <f>+C108</f>
        <v>KAPI İŞLERİ</v>
      </c>
      <c r="H209" s="264"/>
      <c r="I209" s="264"/>
      <c r="J209" s="266" t="s">
        <v>1</v>
      </c>
      <c r="K209" s="266"/>
      <c r="L209" s="267">
        <f>+I108</f>
        <v>0</v>
      </c>
      <c r="M209" s="267"/>
    </row>
    <row r="210" spans="6:13" ht="30" customHeight="1" x14ac:dyDescent="0.2">
      <c r="F210" s="264"/>
      <c r="G210" s="264"/>
      <c r="H210" s="264"/>
      <c r="I210" s="264"/>
      <c r="J210" s="266" t="s">
        <v>2</v>
      </c>
      <c r="K210" s="266"/>
      <c r="L210" s="267">
        <f>+K108</f>
        <v>0</v>
      </c>
      <c r="M210" s="267"/>
    </row>
    <row r="211" spans="6:13" ht="38.25" customHeight="1" thickBot="1" x14ac:dyDescent="0.25">
      <c r="F211" s="265"/>
      <c r="G211" s="265"/>
      <c r="H211" s="265"/>
      <c r="I211" s="265"/>
      <c r="J211" s="268" t="s">
        <v>13</v>
      </c>
      <c r="K211" s="268"/>
      <c r="L211" s="269">
        <f>+L209+L210</f>
        <v>0</v>
      </c>
      <c r="M211" s="269"/>
    </row>
    <row r="212" spans="6:13" ht="30" customHeight="1" thickTop="1" x14ac:dyDescent="0.2">
      <c r="F212" s="264">
        <v>8</v>
      </c>
      <c r="G212" s="264" t="str">
        <f>+C132</f>
        <v>DOĞRAMA İŞLERİ</v>
      </c>
      <c r="H212" s="264"/>
      <c r="I212" s="264"/>
      <c r="J212" s="266" t="s">
        <v>1</v>
      </c>
      <c r="K212" s="266"/>
      <c r="L212" s="267">
        <f>+I132</f>
        <v>0</v>
      </c>
      <c r="M212" s="267"/>
    </row>
    <row r="213" spans="6:13" ht="30" customHeight="1" x14ac:dyDescent="0.2">
      <c r="F213" s="264"/>
      <c r="G213" s="264"/>
      <c r="H213" s="264"/>
      <c r="I213" s="264"/>
      <c r="J213" s="266" t="s">
        <v>2</v>
      </c>
      <c r="K213" s="266"/>
      <c r="L213" s="267">
        <f>+K132</f>
        <v>0</v>
      </c>
      <c r="M213" s="267"/>
    </row>
    <row r="214" spans="6:13" ht="38.25" customHeight="1" thickBot="1" x14ac:dyDescent="0.25">
      <c r="F214" s="265"/>
      <c r="G214" s="265"/>
      <c r="H214" s="265"/>
      <c r="I214" s="265"/>
      <c r="J214" s="268" t="s">
        <v>13</v>
      </c>
      <c r="K214" s="268"/>
      <c r="L214" s="269">
        <f>+L212+L213</f>
        <v>0</v>
      </c>
      <c r="M214" s="269"/>
    </row>
    <row r="215" spans="6:13" ht="30" customHeight="1" thickTop="1" x14ac:dyDescent="0.2">
      <c r="F215" s="264">
        <v>9</v>
      </c>
      <c r="G215" s="264" t="str">
        <f>+C140</f>
        <v>ÖZEL İŞLER</v>
      </c>
      <c r="H215" s="264"/>
      <c r="I215" s="264"/>
      <c r="J215" s="266" t="s">
        <v>1</v>
      </c>
      <c r="K215" s="266"/>
      <c r="L215" s="267">
        <f>+I140</f>
        <v>0</v>
      </c>
      <c r="M215" s="267"/>
    </row>
    <row r="216" spans="6:13" ht="30" customHeight="1" x14ac:dyDescent="0.2">
      <c r="F216" s="264"/>
      <c r="G216" s="264"/>
      <c r="H216" s="264"/>
      <c r="I216" s="264"/>
      <c r="J216" s="266" t="s">
        <v>2</v>
      </c>
      <c r="K216" s="266"/>
      <c r="L216" s="267">
        <f>+K140</f>
        <v>0</v>
      </c>
      <c r="M216" s="267"/>
    </row>
    <row r="217" spans="6:13" ht="38.25" customHeight="1" thickBot="1" x14ac:dyDescent="0.25">
      <c r="F217" s="265"/>
      <c r="G217" s="265"/>
      <c r="H217" s="265"/>
      <c r="I217" s="265"/>
      <c r="J217" s="268" t="s">
        <v>13</v>
      </c>
      <c r="K217" s="268"/>
      <c r="L217" s="269">
        <f>+L215+L216</f>
        <v>0</v>
      </c>
      <c r="M217" s="269"/>
    </row>
    <row r="218" spans="6:13" ht="30" customHeight="1" thickTop="1" x14ac:dyDescent="0.2">
      <c r="F218" s="264">
        <v>10</v>
      </c>
      <c r="G218" s="264" t="str">
        <f>+C188</f>
        <v>GİRİŞ GÜVENLİK KULÜBESİ</v>
      </c>
      <c r="H218" s="264"/>
      <c r="I218" s="264"/>
      <c r="J218" s="266" t="s">
        <v>1</v>
      </c>
      <c r="K218" s="266"/>
      <c r="L218" s="267">
        <f>+I188</f>
        <v>0</v>
      </c>
      <c r="M218" s="267"/>
    </row>
    <row r="219" spans="6:13" ht="30" customHeight="1" x14ac:dyDescent="0.2">
      <c r="F219" s="264"/>
      <c r="G219" s="264"/>
      <c r="H219" s="264"/>
      <c r="I219" s="264"/>
      <c r="J219" s="266" t="s">
        <v>2</v>
      </c>
      <c r="K219" s="266"/>
      <c r="L219" s="267">
        <f>+K188</f>
        <v>0</v>
      </c>
      <c r="M219" s="267"/>
    </row>
    <row r="220" spans="6:13" ht="38.25" customHeight="1" thickBot="1" x14ac:dyDescent="0.25">
      <c r="F220" s="265"/>
      <c r="G220" s="265"/>
      <c r="H220" s="265"/>
      <c r="I220" s="265"/>
      <c r="J220" s="268" t="s">
        <v>13</v>
      </c>
      <c r="K220" s="268"/>
      <c r="L220" s="269">
        <f>+L218+L219</f>
        <v>0</v>
      </c>
      <c r="M220" s="269"/>
    </row>
    <row r="221" spans="6:13" ht="30" customHeight="1" thickTop="1" x14ac:dyDescent="0.2">
      <c r="F221" s="255" t="s">
        <v>1392</v>
      </c>
      <c r="G221" s="256"/>
      <c r="H221" s="256"/>
      <c r="I221" s="257"/>
      <c r="J221" s="251" t="s">
        <v>1</v>
      </c>
      <c r="K221" s="251"/>
      <c r="L221" s="252">
        <f>+L191+L194+L197+L200+L203+L206+L209+L212+L215+L218</f>
        <v>0</v>
      </c>
      <c r="M221" s="252"/>
    </row>
    <row r="222" spans="6:13" ht="30" customHeight="1" x14ac:dyDescent="0.2">
      <c r="F222" s="258"/>
      <c r="G222" s="259"/>
      <c r="H222" s="259"/>
      <c r="I222" s="260"/>
      <c r="J222" s="251" t="s">
        <v>2</v>
      </c>
      <c r="K222" s="251"/>
      <c r="L222" s="252">
        <f>+L192+L195+L198+L201+L204+L207+L210+L213+L216+L219</f>
        <v>0</v>
      </c>
      <c r="M222" s="252"/>
    </row>
    <row r="223" spans="6:13" ht="38.25" customHeight="1" thickBot="1" x14ac:dyDescent="0.25">
      <c r="F223" s="261"/>
      <c r="G223" s="262"/>
      <c r="H223" s="262"/>
      <c r="I223" s="263"/>
      <c r="J223" s="253" t="s">
        <v>13</v>
      </c>
      <c r="K223" s="253"/>
      <c r="L223" s="254">
        <f>+L221+L222</f>
        <v>0</v>
      </c>
      <c r="M223" s="254"/>
    </row>
    <row r="224" spans="6:13" ht="13.5" thickTop="1" x14ac:dyDescent="0.2"/>
  </sheetData>
  <sheetProtection algorithmName="SHA-512" hashValue="DfjG/pDF29YNoplaKNzkkL9kCDz8ff0PrdHL1MLrBEhENlyB0iQypxSuke2xiGZoI+Kglol1ebBpw0Ap2t4OnA==" saltValue="AEC0g2misycWu0TOXpNO2g==" spinCount="100000" sheet="1" selectLockedCells="1"/>
  <mergeCells count="284">
    <mergeCell ref="C188:E188"/>
    <mergeCell ref="C189:E189"/>
    <mergeCell ref="F218:F220"/>
    <mergeCell ref="G218:I220"/>
    <mergeCell ref="J218:K218"/>
    <mergeCell ref="L218:M218"/>
    <mergeCell ref="J219:K219"/>
    <mergeCell ref="L219:M219"/>
    <mergeCell ref="J220:K220"/>
    <mergeCell ref="L220:M220"/>
    <mergeCell ref="F194:F196"/>
    <mergeCell ref="G194:I196"/>
    <mergeCell ref="J194:K194"/>
    <mergeCell ref="L194:M194"/>
    <mergeCell ref="J195:K195"/>
    <mergeCell ref="L195:M195"/>
    <mergeCell ref="J196:K196"/>
    <mergeCell ref="L196:M196"/>
    <mergeCell ref="J193:K193"/>
    <mergeCell ref="J192:K192"/>
    <mergeCell ref="J191:K191"/>
    <mergeCell ref="L193:M193"/>
    <mergeCell ref="L192:M192"/>
    <mergeCell ref="L191:M191"/>
    <mergeCell ref="C179:E179"/>
    <mergeCell ref="C180:E180"/>
    <mergeCell ref="C181:E181"/>
    <mergeCell ref="C182:E182"/>
    <mergeCell ref="C183:E183"/>
    <mergeCell ref="C184:E184"/>
    <mergeCell ref="C185:E185"/>
    <mergeCell ref="C186:E186"/>
    <mergeCell ref="C187:E187"/>
    <mergeCell ref="C170:E170"/>
    <mergeCell ref="C171:E171"/>
    <mergeCell ref="C172:E172"/>
    <mergeCell ref="C173:E173"/>
    <mergeCell ref="C174:E174"/>
    <mergeCell ref="C175:E175"/>
    <mergeCell ref="C176:E176"/>
    <mergeCell ref="C177:E177"/>
    <mergeCell ref="C178:E178"/>
    <mergeCell ref="M1:M2"/>
    <mergeCell ref="H1:I1"/>
    <mergeCell ref="J1:K1"/>
    <mergeCell ref="L1:L2"/>
    <mergeCell ref="C4:E4"/>
    <mergeCell ref="C5:E5"/>
    <mergeCell ref="F1:G1"/>
    <mergeCell ref="A1:E1"/>
    <mergeCell ref="C7:E7"/>
    <mergeCell ref="C2:E2"/>
    <mergeCell ref="C18:E18"/>
    <mergeCell ref="C19:E19"/>
    <mergeCell ref="A4:A5"/>
    <mergeCell ref="A7:A13"/>
    <mergeCell ref="A15:A19"/>
    <mergeCell ref="C15:E15"/>
    <mergeCell ref="C16:E16"/>
    <mergeCell ref="C17:E17"/>
    <mergeCell ref="C9:E9"/>
    <mergeCell ref="C10:E10"/>
    <mergeCell ref="C11:E11"/>
    <mergeCell ref="C12:E12"/>
    <mergeCell ref="C13:E13"/>
    <mergeCell ref="C8:E8"/>
    <mergeCell ref="C34:E34"/>
    <mergeCell ref="C36:E36"/>
    <mergeCell ref="C37:E37"/>
    <mergeCell ref="C30:E30"/>
    <mergeCell ref="C31:E31"/>
    <mergeCell ref="C32:E32"/>
    <mergeCell ref="C33:E33"/>
    <mergeCell ref="C22:E22"/>
    <mergeCell ref="C23:E23"/>
    <mergeCell ref="C27:E27"/>
    <mergeCell ref="C28:E28"/>
    <mergeCell ref="C24:E24"/>
    <mergeCell ref="C25:E25"/>
    <mergeCell ref="C26:E26"/>
    <mergeCell ref="C40:E40"/>
    <mergeCell ref="C54:E54"/>
    <mergeCell ref="C56:E56"/>
    <mergeCell ref="C57:E57"/>
    <mergeCell ref="C60:E60"/>
    <mergeCell ref="C61:E61"/>
    <mergeCell ref="C58:E58"/>
    <mergeCell ref="C59:E59"/>
    <mergeCell ref="C63:E63"/>
    <mergeCell ref="C67:E67"/>
    <mergeCell ref="C66:E66"/>
    <mergeCell ref="C42:E42"/>
    <mergeCell ref="C44:E44"/>
    <mergeCell ref="C45:E45"/>
    <mergeCell ref="C47:E47"/>
    <mergeCell ref="C48:E48"/>
    <mergeCell ref="C49:E49"/>
    <mergeCell ref="C51:E51"/>
    <mergeCell ref="C52:E52"/>
    <mergeCell ref="C77:E77"/>
    <mergeCell ref="C78:E78"/>
    <mergeCell ref="C79:E79"/>
    <mergeCell ref="C80:E80"/>
    <mergeCell ref="C76:E76"/>
    <mergeCell ref="C69:E69"/>
    <mergeCell ref="C71:E71"/>
    <mergeCell ref="C72:E72"/>
    <mergeCell ref="C75:E75"/>
    <mergeCell ref="C73:E73"/>
    <mergeCell ref="C74:E74"/>
    <mergeCell ref="C70:E70"/>
    <mergeCell ref="C86:E86"/>
    <mergeCell ref="C87:E87"/>
    <mergeCell ref="C89:E89"/>
    <mergeCell ref="C90:E90"/>
    <mergeCell ref="C88:E88"/>
    <mergeCell ref="C81:E81"/>
    <mergeCell ref="C83:E83"/>
    <mergeCell ref="C84:E84"/>
    <mergeCell ref="C85:E85"/>
    <mergeCell ref="C82:E82"/>
    <mergeCell ref="C98:E98"/>
    <mergeCell ref="C99:E99"/>
    <mergeCell ref="C101:E101"/>
    <mergeCell ref="C97:E97"/>
    <mergeCell ref="C100:E100"/>
    <mergeCell ref="C91:E91"/>
    <mergeCell ref="C95:E95"/>
    <mergeCell ref="C96:E96"/>
    <mergeCell ref="C92:E92"/>
    <mergeCell ref="C93:E93"/>
    <mergeCell ref="C94:E94"/>
    <mergeCell ref="C107:E107"/>
    <mergeCell ref="C110:E110"/>
    <mergeCell ref="C111:E111"/>
    <mergeCell ref="C108:E108"/>
    <mergeCell ref="C109:E109"/>
    <mergeCell ref="C103:E103"/>
    <mergeCell ref="C104:E104"/>
    <mergeCell ref="C106:E106"/>
    <mergeCell ref="C102:E102"/>
    <mergeCell ref="C105:E105"/>
    <mergeCell ref="C122:E122"/>
    <mergeCell ref="C127:E127"/>
    <mergeCell ref="C130:E130"/>
    <mergeCell ref="C121:E121"/>
    <mergeCell ref="C112:E112"/>
    <mergeCell ref="C113:E113"/>
    <mergeCell ref="C114:E114"/>
    <mergeCell ref="C115:E115"/>
    <mergeCell ref="C116:E116"/>
    <mergeCell ref="C117:E117"/>
    <mergeCell ref="C118:E118"/>
    <mergeCell ref="C119:E119"/>
    <mergeCell ref="C120:E120"/>
    <mergeCell ref="C131:E131"/>
    <mergeCell ref="C134:E134"/>
    <mergeCell ref="C135:E135"/>
    <mergeCell ref="C132:E132"/>
    <mergeCell ref="C133:E133"/>
    <mergeCell ref="C126:E126"/>
    <mergeCell ref="C128:E128"/>
    <mergeCell ref="C129:E129"/>
    <mergeCell ref="C123:E123"/>
    <mergeCell ref="C124:E124"/>
    <mergeCell ref="C125:E125"/>
    <mergeCell ref="C149:E149"/>
    <mergeCell ref="C150:E150"/>
    <mergeCell ref="C151:E151"/>
    <mergeCell ref="C152:E152"/>
    <mergeCell ref="C140:E140"/>
    <mergeCell ref="C137:E137"/>
    <mergeCell ref="C139:E139"/>
    <mergeCell ref="C138:E138"/>
    <mergeCell ref="C136:E136"/>
    <mergeCell ref="A141:A142"/>
    <mergeCell ref="C141:E141"/>
    <mergeCell ref="C142:E142"/>
    <mergeCell ref="C143:E143"/>
    <mergeCell ref="C144:E144"/>
    <mergeCell ref="C145:E145"/>
    <mergeCell ref="C146:E146"/>
    <mergeCell ref="C147:E147"/>
    <mergeCell ref="C148:E148"/>
    <mergeCell ref="C167:E167"/>
    <mergeCell ref="C168:E168"/>
    <mergeCell ref="C159:E159"/>
    <mergeCell ref="C160:E160"/>
    <mergeCell ref="C161:E161"/>
    <mergeCell ref="C162:E162"/>
    <mergeCell ref="C163:E163"/>
    <mergeCell ref="C153:E153"/>
    <mergeCell ref="C154:E154"/>
    <mergeCell ref="C155:E155"/>
    <mergeCell ref="C156:E156"/>
    <mergeCell ref="C157:E157"/>
    <mergeCell ref="C158:E158"/>
    <mergeCell ref="G191:I193"/>
    <mergeCell ref="F191:F193"/>
    <mergeCell ref="C43:E43"/>
    <mergeCell ref="C41:E41"/>
    <mergeCell ref="C39:E39"/>
    <mergeCell ref="C64:E64"/>
    <mergeCell ref="C65:E65"/>
    <mergeCell ref="C169:E169"/>
    <mergeCell ref="C3:E3"/>
    <mergeCell ref="C6:E6"/>
    <mergeCell ref="C14:E14"/>
    <mergeCell ref="C21:E21"/>
    <mergeCell ref="C20:E20"/>
    <mergeCell ref="C29:E29"/>
    <mergeCell ref="C35:E35"/>
    <mergeCell ref="C38:E38"/>
    <mergeCell ref="C62:E62"/>
    <mergeCell ref="C55:E55"/>
    <mergeCell ref="C53:E53"/>
    <mergeCell ref="C50:E50"/>
    <mergeCell ref="C46:E46"/>
    <mergeCell ref="C164:E164"/>
    <mergeCell ref="C165:E165"/>
    <mergeCell ref="C166:E166"/>
    <mergeCell ref="F200:F202"/>
    <mergeCell ref="G200:I202"/>
    <mergeCell ref="J200:K200"/>
    <mergeCell ref="L200:M200"/>
    <mergeCell ref="J201:K201"/>
    <mergeCell ref="L201:M201"/>
    <mergeCell ref="J202:K202"/>
    <mergeCell ref="L202:M202"/>
    <mergeCell ref="F197:F199"/>
    <mergeCell ref="G197:I199"/>
    <mergeCell ref="J197:K197"/>
    <mergeCell ref="L197:M197"/>
    <mergeCell ref="J198:K198"/>
    <mergeCell ref="L198:M198"/>
    <mergeCell ref="J199:K199"/>
    <mergeCell ref="L199:M199"/>
    <mergeCell ref="F206:F208"/>
    <mergeCell ref="G206:I208"/>
    <mergeCell ref="J206:K206"/>
    <mergeCell ref="L206:M206"/>
    <mergeCell ref="J207:K207"/>
    <mergeCell ref="L207:M207"/>
    <mergeCell ref="J208:K208"/>
    <mergeCell ref="L208:M208"/>
    <mergeCell ref="F203:F205"/>
    <mergeCell ref="G203:I205"/>
    <mergeCell ref="J203:K203"/>
    <mergeCell ref="L203:M203"/>
    <mergeCell ref="J204:K204"/>
    <mergeCell ref="L204:M204"/>
    <mergeCell ref="J205:K205"/>
    <mergeCell ref="L205:M205"/>
    <mergeCell ref="F212:F214"/>
    <mergeCell ref="G212:I214"/>
    <mergeCell ref="J212:K212"/>
    <mergeCell ref="L212:M212"/>
    <mergeCell ref="J213:K213"/>
    <mergeCell ref="L213:M213"/>
    <mergeCell ref="J214:K214"/>
    <mergeCell ref="L214:M214"/>
    <mergeCell ref="F209:F211"/>
    <mergeCell ref="G209:I211"/>
    <mergeCell ref="J209:K209"/>
    <mergeCell ref="L209:M209"/>
    <mergeCell ref="J210:K210"/>
    <mergeCell ref="L210:M210"/>
    <mergeCell ref="J211:K211"/>
    <mergeCell ref="L211:M211"/>
    <mergeCell ref="J221:K221"/>
    <mergeCell ref="L221:M221"/>
    <mergeCell ref="J222:K222"/>
    <mergeCell ref="L222:M222"/>
    <mergeCell ref="J223:K223"/>
    <mergeCell ref="L223:M223"/>
    <mergeCell ref="F221:I223"/>
    <mergeCell ref="F215:F217"/>
    <mergeCell ref="G215:I217"/>
    <mergeCell ref="J215:K215"/>
    <mergeCell ref="L215:M215"/>
    <mergeCell ref="J216:K216"/>
    <mergeCell ref="L216:M216"/>
    <mergeCell ref="J217:K217"/>
    <mergeCell ref="L217:M217"/>
  </mergeCells>
  <phoneticPr fontId="14" type="noConversion"/>
  <printOptions horizontalCentered="1"/>
  <pageMargins left="0.51181102362204722" right="0.51181102362204722" top="0.74803149606299213" bottom="0.55118110236220474" header="0.31496062992125984" footer="0.31496062992125984"/>
  <pageSetup paperSize="8" scale="50" fitToWidth="5" fitToHeight="5" orientation="portrait" r:id="rId1"/>
  <rowBreaks count="3" manualBreakCount="3">
    <brk id="54" max="12" man="1"/>
    <brk id="121" max="12" man="1"/>
    <brk id="189" max="12"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3ABF-9701-4DD6-A496-807FB069CCB2}">
  <sheetPr>
    <pageSetUpPr fitToPage="1"/>
  </sheetPr>
  <dimension ref="A1:M64"/>
  <sheetViews>
    <sheetView view="pageBreakPreview" topLeftCell="A16" zoomScale="70" zoomScaleNormal="70" zoomScaleSheetLayoutView="70" workbookViewId="0">
      <selection activeCell="H22" sqref="H22"/>
    </sheetView>
  </sheetViews>
  <sheetFormatPr defaultRowHeight="12.75" x14ac:dyDescent="0.2"/>
  <cols>
    <col min="1" max="1" width="14.85546875" style="23" customWidth="1"/>
    <col min="2" max="2" width="9.7109375" style="23" customWidth="1"/>
    <col min="3" max="3" width="17.28515625" style="23" customWidth="1"/>
    <col min="4" max="5" width="34.42578125" style="23" customWidth="1"/>
    <col min="6" max="6" width="11.85546875" style="23" bestFit="1" customWidth="1"/>
    <col min="7" max="7" width="14.28515625" style="52" bestFit="1" customWidth="1"/>
    <col min="8" max="8" width="18.5703125" style="52" customWidth="1"/>
    <col min="9" max="9" width="24.28515625" style="52" customWidth="1" collapsed="1"/>
    <col min="10" max="10" width="18.5703125" style="52" customWidth="1"/>
    <col min="11" max="11" width="24.28515625" style="52" customWidth="1" collapsed="1"/>
    <col min="12" max="12" width="18.5703125" style="52" customWidth="1"/>
    <col min="13" max="13" width="24.28515625" style="52" customWidth="1"/>
    <col min="14" max="227" width="9.140625" style="23"/>
    <col min="228" max="229" width="54" style="23" customWidth="1"/>
    <col min="230" max="230" width="16.7109375" style="23" customWidth="1"/>
    <col min="231" max="231" width="11.85546875" style="23" bestFit="1" customWidth="1"/>
    <col min="232" max="232" width="9.85546875" style="23" bestFit="1" customWidth="1"/>
    <col min="233" max="233" width="10.5703125" style="23" bestFit="1" customWidth="1"/>
    <col min="234" max="236" width="13.42578125" style="23" customWidth="1"/>
    <col min="237" max="237" width="19.140625" style="23" customWidth="1"/>
    <col min="238" max="238" width="13.42578125" style="23" customWidth="1"/>
    <col min="239" max="239" width="19.85546875" style="23" customWidth="1"/>
    <col min="240" max="240" width="16" style="23" customWidth="1"/>
    <col min="241" max="241" width="24.28515625" style="23" customWidth="1"/>
    <col min="242" max="247" width="10.85546875" style="23" customWidth="1"/>
    <col min="248" max="248" width="16.28515625" style="23" bestFit="1" customWidth="1"/>
    <col min="249" max="249" width="12.140625" style="23" bestFit="1" customWidth="1"/>
    <col min="250" max="252" width="10.85546875" style="23" customWidth="1"/>
    <col min="253" max="253" width="9.28515625" style="23" bestFit="1" customWidth="1"/>
    <col min="254" max="483" width="9.140625" style="23"/>
    <col min="484" max="485" width="54" style="23" customWidth="1"/>
    <col min="486" max="486" width="16.7109375" style="23" customWidth="1"/>
    <col min="487" max="487" width="11.85546875" style="23" bestFit="1" customWidth="1"/>
    <col min="488" max="488" width="9.85546875" style="23" bestFit="1" customWidth="1"/>
    <col min="489" max="489" width="10.5703125" style="23" bestFit="1" customWidth="1"/>
    <col min="490" max="492" width="13.42578125" style="23" customWidth="1"/>
    <col min="493" max="493" width="19.140625" style="23" customWidth="1"/>
    <col min="494" max="494" width="13.42578125" style="23" customWidth="1"/>
    <col min="495" max="495" width="19.85546875" style="23" customWidth="1"/>
    <col min="496" max="496" width="16" style="23" customWidth="1"/>
    <col min="497" max="497" width="24.28515625" style="23" customWidth="1"/>
    <col min="498" max="503" width="10.85546875" style="23" customWidth="1"/>
    <col min="504" max="504" width="16.28515625" style="23" bestFit="1" customWidth="1"/>
    <col min="505" max="505" width="12.140625" style="23" bestFit="1" customWidth="1"/>
    <col min="506" max="508" width="10.85546875" style="23" customWidth="1"/>
    <col min="509" max="509" width="9.28515625" style="23" bestFit="1" customWidth="1"/>
    <col min="510" max="739" width="9.140625" style="23"/>
    <col min="740" max="741" width="54" style="23" customWidth="1"/>
    <col min="742" max="742" width="16.7109375" style="23" customWidth="1"/>
    <col min="743" max="743" width="11.85546875" style="23" bestFit="1" customWidth="1"/>
    <col min="744" max="744" width="9.85546875" style="23" bestFit="1" customWidth="1"/>
    <col min="745" max="745" width="10.5703125" style="23" bestFit="1" customWidth="1"/>
    <col min="746" max="748" width="13.42578125" style="23" customWidth="1"/>
    <col min="749" max="749" width="19.140625" style="23" customWidth="1"/>
    <col min="750" max="750" width="13.42578125" style="23" customWidth="1"/>
    <col min="751" max="751" width="19.85546875" style="23" customWidth="1"/>
    <col min="752" max="752" width="16" style="23" customWidth="1"/>
    <col min="753" max="753" width="24.28515625" style="23" customWidth="1"/>
    <col min="754" max="759" width="10.85546875" style="23" customWidth="1"/>
    <col min="760" max="760" width="16.28515625" style="23" bestFit="1" customWidth="1"/>
    <col min="761" max="761" width="12.140625" style="23" bestFit="1" customWidth="1"/>
    <col min="762" max="764" width="10.85546875" style="23" customWidth="1"/>
    <col min="765" max="765" width="9.28515625" style="23" bestFit="1" customWidth="1"/>
    <col min="766" max="995" width="9.140625" style="23"/>
    <col min="996" max="997" width="54" style="23" customWidth="1"/>
    <col min="998" max="998" width="16.7109375" style="23" customWidth="1"/>
    <col min="999" max="999" width="11.85546875" style="23" bestFit="1" customWidth="1"/>
    <col min="1000" max="1000" width="9.85546875" style="23" bestFit="1" customWidth="1"/>
    <col min="1001" max="1001" width="10.5703125" style="23" bestFit="1" customWidth="1"/>
    <col min="1002" max="1004" width="13.42578125" style="23" customWidth="1"/>
    <col min="1005" max="1005" width="19.140625" style="23" customWidth="1"/>
    <col min="1006" max="1006" width="13.42578125" style="23" customWidth="1"/>
    <col min="1007" max="1007" width="19.85546875" style="23" customWidth="1"/>
    <col min="1008" max="1008" width="16" style="23" customWidth="1"/>
    <col min="1009" max="1009" width="24.28515625" style="23" customWidth="1"/>
    <col min="1010" max="1015" width="10.85546875" style="23" customWidth="1"/>
    <col min="1016" max="1016" width="16.28515625" style="23" bestFit="1" customWidth="1"/>
    <col min="1017" max="1017" width="12.140625" style="23" bestFit="1" customWidth="1"/>
    <col min="1018" max="1020" width="10.85546875" style="23" customWidth="1"/>
    <col min="1021" max="1021" width="9.28515625" style="23" bestFit="1" customWidth="1"/>
    <col min="1022" max="1251" width="9.140625" style="23"/>
    <col min="1252" max="1253" width="54" style="23" customWidth="1"/>
    <col min="1254" max="1254" width="16.7109375" style="23" customWidth="1"/>
    <col min="1255" max="1255" width="11.85546875" style="23" bestFit="1" customWidth="1"/>
    <col min="1256" max="1256" width="9.85546875" style="23" bestFit="1" customWidth="1"/>
    <col min="1257" max="1257" width="10.5703125" style="23" bestFit="1" customWidth="1"/>
    <col min="1258" max="1260" width="13.42578125" style="23" customWidth="1"/>
    <col min="1261" max="1261" width="19.140625" style="23" customWidth="1"/>
    <col min="1262" max="1262" width="13.42578125" style="23" customWidth="1"/>
    <col min="1263" max="1263" width="19.85546875" style="23" customWidth="1"/>
    <col min="1264" max="1264" width="16" style="23" customWidth="1"/>
    <col min="1265" max="1265" width="24.28515625" style="23" customWidth="1"/>
    <col min="1266" max="1271" width="10.85546875" style="23" customWidth="1"/>
    <col min="1272" max="1272" width="16.28515625" style="23" bestFit="1" customWidth="1"/>
    <col min="1273" max="1273" width="12.140625" style="23" bestFit="1" customWidth="1"/>
    <col min="1274" max="1276" width="10.85546875" style="23" customWidth="1"/>
    <col min="1277" max="1277" width="9.28515625" style="23" bestFit="1" customWidth="1"/>
    <col min="1278" max="1507" width="9.140625" style="23"/>
    <col min="1508" max="1509" width="54" style="23" customWidth="1"/>
    <col min="1510" max="1510" width="16.7109375" style="23" customWidth="1"/>
    <col min="1511" max="1511" width="11.85546875" style="23" bestFit="1" customWidth="1"/>
    <col min="1512" max="1512" width="9.85546875" style="23" bestFit="1" customWidth="1"/>
    <col min="1513" max="1513" width="10.5703125" style="23" bestFit="1" customWidth="1"/>
    <col min="1514" max="1516" width="13.42578125" style="23" customWidth="1"/>
    <col min="1517" max="1517" width="19.140625" style="23" customWidth="1"/>
    <col min="1518" max="1518" width="13.42578125" style="23" customWidth="1"/>
    <col min="1519" max="1519" width="19.85546875" style="23" customWidth="1"/>
    <col min="1520" max="1520" width="16" style="23" customWidth="1"/>
    <col min="1521" max="1521" width="24.28515625" style="23" customWidth="1"/>
    <col min="1522" max="1527" width="10.85546875" style="23" customWidth="1"/>
    <col min="1528" max="1528" width="16.28515625" style="23" bestFit="1" customWidth="1"/>
    <col min="1529" max="1529" width="12.140625" style="23" bestFit="1" customWidth="1"/>
    <col min="1530" max="1532" width="10.85546875" style="23" customWidth="1"/>
    <col min="1533" max="1533" width="9.28515625" style="23" bestFit="1" customWidth="1"/>
    <col min="1534" max="1763" width="9.140625" style="23"/>
    <col min="1764" max="1765" width="54" style="23" customWidth="1"/>
    <col min="1766" max="1766" width="16.7109375" style="23" customWidth="1"/>
    <col min="1767" max="1767" width="11.85546875" style="23" bestFit="1" customWidth="1"/>
    <col min="1768" max="1768" width="9.85546875" style="23" bestFit="1" customWidth="1"/>
    <col min="1769" max="1769" width="10.5703125" style="23" bestFit="1" customWidth="1"/>
    <col min="1770" max="1772" width="13.42578125" style="23" customWidth="1"/>
    <col min="1773" max="1773" width="19.140625" style="23" customWidth="1"/>
    <col min="1774" max="1774" width="13.42578125" style="23" customWidth="1"/>
    <col min="1775" max="1775" width="19.85546875" style="23" customWidth="1"/>
    <col min="1776" max="1776" width="16" style="23" customWidth="1"/>
    <col min="1777" max="1777" width="24.28515625" style="23" customWidth="1"/>
    <col min="1778" max="1783" width="10.85546875" style="23" customWidth="1"/>
    <col min="1784" max="1784" width="16.28515625" style="23" bestFit="1" customWidth="1"/>
    <col min="1785" max="1785" width="12.140625" style="23" bestFit="1" customWidth="1"/>
    <col min="1786" max="1788" width="10.85546875" style="23" customWidth="1"/>
    <col min="1789" max="1789" width="9.28515625" style="23" bestFit="1" customWidth="1"/>
    <col min="1790" max="2019" width="9.140625" style="23"/>
    <col min="2020" max="2021" width="54" style="23" customWidth="1"/>
    <col min="2022" max="2022" width="16.7109375" style="23" customWidth="1"/>
    <col min="2023" max="2023" width="11.85546875" style="23" bestFit="1" customWidth="1"/>
    <col min="2024" max="2024" width="9.85546875" style="23" bestFit="1" customWidth="1"/>
    <col min="2025" max="2025" width="10.5703125" style="23" bestFit="1" customWidth="1"/>
    <col min="2026" max="2028" width="13.42578125" style="23" customWidth="1"/>
    <col min="2029" max="2029" width="19.140625" style="23" customWidth="1"/>
    <col min="2030" max="2030" width="13.42578125" style="23" customWidth="1"/>
    <col min="2031" max="2031" width="19.85546875" style="23" customWidth="1"/>
    <col min="2032" max="2032" width="16" style="23" customWidth="1"/>
    <col min="2033" max="2033" width="24.28515625" style="23" customWidth="1"/>
    <col min="2034" max="2039" width="10.85546875" style="23" customWidth="1"/>
    <col min="2040" max="2040" width="16.28515625" style="23" bestFit="1" customWidth="1"/>
    <col min="2041" max="2041" width="12.140625" style="23" bestFit="1" customWidth="1"/>
    <col min="2042" max="2044" width="10.85546875" style="23" customWidth="1"/>
    <col min="2045" max="2045" width="9.28515625" style="23" bestFit="1" customWidth="1"/>
    <col min="2046" max="2275" width="9.140625" style="23"/>
    <col min="2276" max="2277" width="54" style="23" customWidth="1"/>
    <col min="2278" max="2278" width="16.7109375" style="23" customWidth="1"/>
    <col min="2279" max="2279" width="11.85546875" style="23" bestFit="1" customWidth="1"/>
    <col min="2280" max="2280" width="9.85546875" style="23" bestFit="1" customWidth="1"/>
    <col min="2281" max="2281" width="10.5703125" style="23" bestFit="1" customWidth="1"/>
    <col min="2282" max="2284" width="13.42578125" style="23" customWidth="1"/>
    <col min="2285" max="2285" width="19.140625" style="23" customWidth="1"/>
    <col min="2286" max="2286" width="13.42578125" style="23" customWidth="1"/>
    <col min="2287" max="2287" width="19.85546875" style="23" customWidth="1"/>
    <col min="2288" max="2288" width="16" style="23" customWidth="1"/>
    <col min="2289" max="2289" width="24.28515625" style="23" customWidth="1"/>
    <col min="2290" max="2295" width="10.85546875" style="23" customWidth="1"/>
    <col min="2296" max="2296" width="16.28515625" style="23" bestFit="1" customWidth="1"/>
    <col min="2297" max="2297" width="12.140625" style="23" bestFit="1" customWidth="1"/>
    <col min="2298" max="2300" width="10.85546875" style="23" customWidth="1"/>
    <col min="2301" max="2301" width="9.28515625" style="23" bestFit="1" customWidth="1"/>
    <col min="2302" max="2531" width="9.140625" style="23"/>
    <col min="2532" max="2533" width="54" style="23" customWidth="1"/>
    <col min="2534" max="2534" width="16.7109375" style="23" customWidth="1"/>
    <col min="2535" max="2535" width="11.85546875" style="23" bestFit="1" customWidth="1"/>
    <col min="2536" max="2536" width="9.85546875" style="23" bestFit="1" customWidth="1"/>
    <col min="2537" max="2537" width="10.5703125" style="23" bestFit="1" customWidth="1"/>
    <col min="2538" max="2540" width="13.42578125" style="23" customWidth="1"/>
    <col min="2541" max="2541" width="19.140625" style="23" customWidth="1"/>
    <col min="2542" max="2542" width="13.42578125" style="23" customWidth="1"/>
    <col min="2543" max="2543" width="19.85546875" style="23" customWidth="1"/>
    <col min="2544" max="2544" width="16" style="23" customWidth="1"/>
    <col min="2545" max="2545" width="24.28515625" style="23" customWidth="1"/>
    <col min="2546" max="2551" width="10.85546875" style="23" customWidth="1"/>
    <col min="2552" max="2552" width="16.28515625" style="23" bestFit="1" customWidth="1"/>
    <col min="2553" max="2553" width="12.140625" style="23" bestFit="1" customWidth="1"/>
    <col min="2554" max="2556" width="10.85546875" style="23" customWidth="1"/>
    <col min="2557" max="2557" width="9.28515625" style="23" bestFit="1" customWidth="1"/>
    <col min="2558" max="2787" width="9.140625" style="23"/>
    <col min="2788" max="2789" width="54" style="23" customWidth="1"/>
    <col min="2790" max="2790" width="16.7109375" style="23" customWidth="1"/>
    <col min="2791" max="2791" width="11.85546875" style="23" bestFit="1" customWidth="1"/>
    <col min="2792" max="2792" width="9.85546875" style="23" bestFit="1" customWidth="1"/>
    <col min="2793" max="2793" width="10.5703125" style="23" bestFit="1" customWidth="1"/>
    <col min="2794" max="2796" width="13.42578125" style="23" customWidth="1"/>
    <col min="2797" max="2797" width="19.140625" style="23" customWidth="1"/>
    <col min="2798" max="2798" width="13.42578125" style="23" customWidth="1"/>
    <col min="2799" max="2799" width="19.85546875" style="23" customWidth="1"/>
    <col min="2800" max="2800" width="16" style="23" customWidth="1"/>
    <col min="2801" max="2801" width="24.28515625" style="23" customWidth="1"/>
    <col min="2802" max="2807" width="10.85546875" style="23" customWidth="1"/>
    <col min="2808" max="2808" width="16.28515625" style="23" bestFit="1" customWidth="1"/>
    <col min="2809" max="2809" width="12.140625" style="23" bestFit="1" customWidth="1"/>
    <col min="2810" max="2812" width="10.85546875" style="23" customWidth="1"/>
    <col min="2813" max="2813" width="9.28515625" style="23" bestFit="1" customWidth="1"/>
    <col min="2814" max="3043" width="9.140625" style="23"/>
    <col min="3044" max="3045" width="54" style="23" customWidth="1"/>
    <col min="3046" max="3046" width="16.7109375" style="23" customWidth="1"/>
    <col min="3047" max="3047" width="11.85546875" style="23" bestFit="1" customWidth="1"/>
    <col min="3048" max="3048" width="9.85546875" style="23" bestFit="1" customWidth="1"/>
    <col min="3049" max="3049" width="10.5703125" style="23" bestFit="1" customWidth="1"/>
    <col min="3050" max="3052" width="13.42578125" style="23" customWidth="1"/>
    <col min="3053" max="3053" width="19.140625" style="23" customWidth="1"/>
    <col min="3054" max="3054" width="13.42578125" style="23" customWidth="1"/>
    <col min="3055" max="3055" width="19.85546875" style="23" customWidth="1"/>
    <col min="3056" max="3056" width="16" style="23" customWidth="1"/>
    <col min="3057" max="3057" width="24.28515625" style="23" customWidth="1"/>
    <col min="3058" max="3063" width="10.85546875" style="23" customWidth="1"/>
    <col min="3064" max="3064" width="16.28515625" style="23" bestFit="1" customWidth="1"/>
    <col min="3065" max="3065" width="12.140625" style="23" bestFit="1" customWidth="1"/>
    <col min="3066" max="3068" width="10.85546875" style="23" customWidth="1"/>
    <col min="3069" max="3069" width="9.28515625" style="23" bestFit="1" customWidth="1"/>
    <col min="3070" max="3299" width="9.140625" style="23"/>
    <col min="3300" max="3301" width="54" style="23" customWidth="1"/>
    <col min="3302" max="3302" width="16.7109375" style="23" customWidth="1"/>
    <col min="3303" max="3303" width="11.85546875" style="23" bestFit="1" customWidth="1"/>
    <col min="3304" max="3304" width="9.85546875" style="23" bestFit="1" customWidth="1"/>
    <col min="3305" max="3305" width="10.5703125" style="23" bestFit="1" customWidth="1"/>
    <col min="3306" max="3308" width="13.42578125" style="23" customWidth="1"/>
    <col min="3309" max="3309" width="19.140625" style="23" customWidth="1"/>
    <col min="3310" max="3310" width="13.42578125" style="23" customWidth="1"/>
    <col min="3311" max="3311" width="19.85546875" style="23" customWidth="1"/>
    <col min="3312" max="3312" width="16" style="23" customWidth="1"/>
    <col min="3313" max="3313" width="24.28515625" style="23" customWidth="1"/>
    <col min="3314" max="3319" width="10.85546875" style="23" customWidth="1"/>
    <col min="3320" max="3320" width="16.28515625" style="23" bestFit="1" customWidth="1"/>
    <col min="3321" max="3321" width="12.140625" style="23" bestFit="1" customWidth="1"/>
    <col min="3322" max="3324" width="10.85546875" style="23" customWidth="1"/>
    <col min="3325" max="3325" width="9.28515625" style="23" bestFit="1" customWidth="1"/>
    <col min="3326" max="3555" width="9.140625" style="23"/>
    <col min="3556" max="3557" width="54" style="23" customWidth="1"/>
    <col min="3558" max="3558" width="16.7109375" style="23" customWidth="1"/>
    <col min="3559" max="3559" width="11.85546875" style="23" bestFit="1" customWidth="1"/>
    <col min="3560" max="3560" width="9.85546875" style="23" bestFit="1" customWidth="1"/>
    <col min="3561" max="3561" width="10.5703125" style="23" bestFit="1" customWidth="1"/>
    <col min="3562" max="3564" width="13.42578125" style="23" customWidth="1"/>
    <col min="3565" max="3565" width="19.140625" style="23" customWidth="1"/>
    <col min="3566" max="3566" width="13.42578125" style="23" customWidth="1"/>
    <col min="3567" max="3567" width="19.85546875" style="23" customWidth="1"/>
    <col min="3568" max="3568" width="16" style="23" customWidth="1"/>
    <col min="3569" max="3569" width="24.28515625" style="23" customWidth="1"/>
    <col min="3570" max="3575" width="10.85546875" style="23" customWidth="1"/>
    <col min="3576" max="3576" width="16.28515625" style="23" bestFit="1" customWidth="1"/>
    <col min="3577" max="3577" width="12.140625" style="23" bestFit="1" customWidth="1"/>
    <col min="3578" max="3580" width="10.85546875" style="23" customWidth="1"/>
    <col min="3581" max="3581" width="9.28515625" style="23" bestFit="1" customWidth="1"/>
    <col min="3582" max="3811" width="9.140625" style="23"/>
    <col min="3812" max="3813" width="54" style="23" customWidth="1"/>
    <col min="3814" max="3814" width="16.7109375" style="23" customWidth="1"/>
    <col min="3815" max="3815" width="11.85546875" style="23" bestFit="1" customWidth="1"/>
    <col min="3816" max="3816" width="9.85546875" style="23" bestFit="1" customWidth="1"/>
    <col min="3817" max="3817" width="10.5703125" style="23" bestFit="1" customWidth="1"/>
    <col min="3818" max="3820" width="13.42578125" style="23" customWidth="1"/>
    <col min="3821" max="3821" width="19.140625" style="23" customWidth="1"/>
    <col min="3822" max="3822" width="13.42578125" style="23" customWidth="1"/>
    <col min="3823" max="3823" width="19.85546875" style="23" customWidth="1"/>
    <col min="3824" max="3824" width="16" style="23" customWidth="1"/>
    <col min="3825" max="3825" width="24.28515625" style="23" customWidth="1"/>
    <col min="3826" max="3831" width="10.85546875" style="23" customWidth="1"/>
    <col min="3832" max="3832" width="16.28515625" style="23" bestFit="1" customWidth="1"/>
    <col min="3833" max="3833" width="12.140625" style="23" bestFit="1" customWidth="1"/>
    <col min="3834" max="3836" width="10.85546875" style="23" customWidth="1"/>
    <col min="3837" max="3837" width="9.28515625" style="23" bestFit="1" customWidth="1"/>
    <col min="3838" max="4067" width="9.140625" style="23"/>
    <col min="4068" max="4069" width="54" style="23" customWidth="1"/>
    <col min="4070" max="4070" width="16.7109375" style="23" customWidth="1"/>
    <col min="4071" max="4071" width="11.85546875" style="23" bestFit="1" customWidth="1"/>
    <col min="4072" max="4072" width="9.85546875" style="23" bestFit="1" customWidth="1"/>
    <col min="4073" max="4073" width="10.5703125" style="23" bestFit="1" customWidth="1"/>
    <col min="4074" max="4076" width="13.42578125" style="23" customWidth="1"/>
    <col min="4077" max="4077" width="19.140625" style="23" customWidth="1"/>
    <col min="4078" max="4078" width="13.42578125" style="23" customWidth="1"/>
    <col min="4079" max="4079" width="19.85546875" style="23" customWidth="1"/>
    <col min="4080" max="4080" width="16" style="23" customWidth="1"/>
    <col min="4081" max="4081" width="24.28515625" style="23" customWidth="1"/>
    <col min="4082" max="4087" width="10.85546875" style="23" customWidth="1"/>
    <col min="4088" max="4088" width="16.28515625" style="23" bestFit="1" customWidth="1"/>
    <col min="4089" max="4089" width="12.140625" style="23" bestFit="1" customWidth="1"/>
    <col min="4090" max="4092" width="10.85546875" style="23" customWidth="1"/>
    <col min="4093" max="4093" width="9.28515625" style="23" bestFit="1" customWidth="1"/>
    <col min="4094" max="4323" width="9.140625" style="23"/>
    <col min="4324" max="4325" width="54" style="23" customWidth="1"/>
    <col min="4326" max="4326" width="16.7109375" style="23" customWidth="1"/>
    <col min="4327" max="4327" width="11.85546875" style="23" bestFit="1" customWidth="1"/>
    <col min="4328" max="4328" width="9.85546875" style="23" bestFit="1" customWidth="1"/>
    <col min="4329" max="4329" width="10.5703125" style="23" bestFit="1" customWidth="1"/>
    <col min="4330" max="4332" width="13.42578125" style="23" customWidth="1"/>
    <col min="4333" max="4333" width="19.140625" style="23" customWidth="1"/>
    <col min="4334" max="4334" width="13.42578125" style="23" customWidth="1"/>
    <col min="4335" max="4335" width="19.85546875" style="23" customWidth="1"/>
    <col min="4336" max="4336" width="16" style="23" customWidth="1"/>
    <col min="4337" max="4337" width="24.28515625" style="23" customWidth="1"/>
    <col min="4338" max="4343" width="10.85546875" style="23" customWidth="1"/>
    <col min="4344" max="4344" width="16.28515625" style="23" bestFit="1" customWidth="1"/>
    <col min="4345" max="4345" width="12.140625" style="23" bestFit="1" customWidth="1"/>
    <col min="4346" max="4348" width="10.85546875" style="23" customWidth="1"/>
    <col min="4349" max="4349" width="9.28515625" style="23" bestFit="1" customWidth="1"/>
    <col min="4350" max="4579" width="9.140625" style="23"/>
    <col min="4580" max="4581" width="54" style="23" customWidth="1"/>
    <col min="4582" max="4582" width="16.7109375" style="23" customWidth="1"/>
    <col min="4583" max="4583" width="11.85546875" style="23" bestFit="1" customWidth="1"/>
    <col min="4584" max="4584" width="9.85546875" style="23" bestFit="1" customWidth="1"/>
    <col min="4585" max="4585" width="10.5703125" style="23" bestFit="1" customWidth="1"/>
    <col min="4586" max="4588" width="13.42578125" style="23" customWidth="1"/>
    <col min="4589" max="4589" width="19.140625" style="23" customWidth="1"/>
    <col min="4590" max="4590" width="13.42578125" style="23" customWidth="1"/>
    <col min="4591" max="4591" width="19.85546875" style="23" customWidth="1"/>
    <col min="4592" max="4592" width="16" style="23" customWidth="1"/>
    <col min="4593" max="4593" width="24.28515625" style="23" customWidth="1"/>
    <col min="4594" max="4599" width="10.85546875" style="23" customWidth="1"/>
    <col min="4600" max="4600" width="16.28515625" style="23" bestFit="1" customWidth="1"/>
    <col min="4601" max="4601" width="12.140625" style="23" bestFit="1" customWidth="1"/>
    <col min="4602" max="4604" width="10.85546875" style="23" customWidth="1"/>
    <col min="4605" max="4605" width="9.28515625" style="23" bestFit="1" customWidth="1"/>
    <col min="4606" max="4835" width="9.140625" style="23"/>
    <col min="4836" max="4837" width="54" style="23" customWidth="1"/>
    <col min="4838" max="4838" width="16.7109375" style="23" customWidth="1"/>
    <col min="4839" max="4839" width="11.85546875" style="23" bestFit="1" customWidth="1"/>
    <col min="4840" max="4840" width="9.85546875" style="23" bestFit="1" customWidth="1"/>
    <col min="4841" max="4841" width="10.5703125" style="23" bestFit="1" customWidth="1"/>
    <col min="4842" max="4844" width="13.42578125" style="23" customWidth="1"/>
    <col min="4845" max="4845" width="19.140625" style="23" customWidth="1"/>
    <col min="4846" max="4846" width="13.42578125" style="23" customWidth="1"/>
    <col min="4847" max="4847" width="19.85546875" style="23" customWidth="1"/>
    <col min="4848" max="4848" width="16" style="23" customWidth="1"/>
    <col min="4849" max="4849" width="24.28515625" style="23" customWidth="1"/>
    <col min="4850" max="4855" width="10.85546875" style="23" customWidth="1"/>
    <col min="4856" max="4856" width="16.28515625" style="23" bestFit="1" customWidth="1"/>
    <col min="4857" max="4857" width="12.140625" style="23" bestFit="1" customWidth="1"/>
    <col min="4858" max="4860" width="10.85546875" style="23" customWidth="1"/>
    <col min="4861" max="4861" width="9.28515625" style="23" bestFit="1" customWidth="1"/>
    <col min="4862" max="5091" width="9.140625" style="23"/>
    <col min="5092" max="5093" width="54" style="23" customWidth="1"/>
    <col min="5094" max="5094" width="16.7109375" style="23" customWidth="1"/>
    <col min="5095" max="5095" width="11.85546875" style="23" bestFit="1" customWidth="1"/>
    <col min="5096" max="5096" width="9.85546875" style="23" bestFit="1" customWidth="1"/>
    <col min="5097" max="5097" width="10.5703125" style="23" bestFit="1" customWidth="1"/>
    <col min="5098" max="5100" width="13.42578125" style="23" customWidth="1"/>
    <col min="5101" max="5101" width="19.140625" style="23" customWidth="1"/>
    <col min="5102" max="5102" width="13.42578125" style="23" customWidth="1"/>
    <col min="5103" max="5103" width="19.85546875" style="23" customWidth="1"/>
    <col min="5104" max="5104" width="16" style="23" customWidth="1"/>
    <col min="5105" max="5105" width="24.28515625" style="23" customWidth="1"/>
    <col min="5106" max="5111" width="10.85546875" style="23" customWidth="1"/>
    <col min="5112" max="5112" width="16.28515625" style="23" bestFit="1" customWidth="1"/>
    <col min="5113" max="5113" width="12.140625" style="23" bestFit="1" customWidth="1"/>
    <col min="5114" max="5116" width="10.85546875" style="23" customWidth="1"/>
    <col min="5117" max="5117" width="9.28515625" style="23" bestFit="1" customWidth="1"/>
    <col min="5118" max="5347" width="9.140625" style="23"/>
    <col min="5348" max="5349" width="54" style="23" customWidth="1"/>
    <col min="5350" max="5350" width="16.7109375" style="23" customWidth="1"/>
    <col min="5351" max="5351" width="11.85546875" style="23" bestFit="1" customWidth="1"/>
    <col min="5352" max="5352" width="9.85546875" style="23" bestFit="1" customWidth="1"/>
    <col min="5353" max="5353" width="10.5703125" style="23" bestFit="1" customWidth="1"/>
    <col min="5354" max="5356" width="13.42578125" style="23" customWidth="1"/>
    <col min="5357" max="5357" width="19.140625" style="23" customWidth="1"/>
    <col min="5358" max="5358" width="13.42578125" style="23" customWidth="1"/>
    <col min="5359" max="5359" width="19.85546875" style="23" customWidth="1"/>
    <col min="5360" max="5360" width="16" style="23" customWidth="1"/>
    <col min="5361" max="5361" width="24.28515625" style="23" customWidth="1"/>
    <col min="5362" max="5367" width="10.85546875" style="23" customWidth="1"/>
    <col min="5368" max="5368" width="16.28515625" style="23" bestFit="1" customWidth="1"/>
    <col min="5369" max="5369" width="12.140625" style="23" bestFit="1" customWidth="1"/>
    <col min="5370" max="5372" width="10.85546875" style="23" customWidth="1"/>
    <col min="5373" max="5373" width="9.28515625" style="23" bestFit="1" customWidth="1"/>
    <col min="5374" max="5603" width="9.140625" style="23"/>
    <col min="5604" max="5605" width="54" style="23" customWidth="1"/>
    <col min="5606" max="5606" width="16.7109375" style="23" customWidth="1"/>
    <col min="5607" max="5607" width="11.85546875" style="23" bestFit="1" customWidth="1"/>
    <col min="5608" max="5608" width="9.85546875" style="23" bestFit="1" customWidth="1"/>
    <col min="5609" max="5609" width="10.5703125" style="23" bestFit="1" customWidth="1"/>
    <col min="5610" max="5612" width="13.42578125" style="23" customWidth="1"/>
    <col min="5613" max="5613" width="19.140625" style="23" customWidth="1"/>
    <col min="5614" max="5614" width="13.42578125" style="23" customWidth="1"/>
    <col min="5615" max="5615" width="19.85546875" style="23" customWidth="1"/>
    <col min="5616" max="5616" width="16" style="23" customWidth="1"/>
    <col min="5617" max="5617" width="24.28515625" style="23" customWidth="1"/>
    <col min="5618" max="5623" width="10.85546875" style="23" customWidth="1"/>
    <col min="5624" max="5624" width="16.28515625" style="23" bestFit="1" customWidth="1"/>
    <col min="5625" max="5625" width="12.140625" style="23" bestFit="1" customWidth="1"/>
    <col min="5626" max="5628" width="10.85546875" style="23" customWidth="1"/>
    <col min="5629" max="5629" width="9.28515625" style="23" bestFit="1" customWidth="1"/>
    <col min="5630" max="5859" width="9.140625" style="23"/>
    <col min="5860" max="5861" width="54" style="23" customWidth="1"/>
    <col min="5862" max="5862" width="16.7109375" style="23" customWidth="1"/>
    <col min="5863" max="5863" width="11.85546875" style="23" bestFit="1" customWidth="1"/>
    <col min="5864" max="5864" width="9.85546875" style="23" bestFit="1" customWidth="1"/>
    <col min="5865" max="5865" width="10.5703125" style="23" bestFit="1" customWidth="1"/>
    <col min="5866" max="5868" width="13.42578125" style="23" customWidth="1"/>
    <col min="5869" max="5869" width="19.140625" style="23" customWidth="1"/>
    <col min="5870" max="5870" width="13.42578125" style="23" customWidth="1"/>
    <col min="5871" max="5871" width="19.85546875" style="23" customWidth="1"/>
    <col min="5872" max="5872" width="16" style="23" customWidth="1"/>
    <col min="5873" max="5873" width="24.28515625" style="23" customWidth="1"/>
    <col min="5874" max="5879" width="10.85546875" style="23" customWidth="1"/>
    <col min="5880" max="5880" width="16.28515625" style="23" bestFit="1" customWidth="1"/>
    <col min="5881" max="5881" width="12.140625" style="23" bestFit="1" customWidth="1"/>
    <col min="5882" max="5884" width="10.85546875" style="23" customWidth="1"/>
    <col min="5885" max="5885" width="9.28515625" style="23" bestFit="1" customWidth="1"/>
    <col min="5886" max="6115" width="9.140625" style="23"/>
    <col min="6116" max="6117" width="54" style="23" customWidth="1"/>
    <col min="6118" max="6118" width="16.7109375" style="23" customWidth="1"/>
    <col min="6119" max="6119" width="11.85546875" style="23" bestFit="1" customWidth="1"/>
    <col min="6120" max="6120" width="9.85546875" style="23" bestFit="1" customWidth="1"/>
    <col min="6121" max="6121" width="10.5703125" style="23" bestFit="1" customWidth="1"/>
    <col min="6122" max="6124" width="13.42578125" style="23" customWidth="1"/>
    <col min="6125" max="6125" width="19.140625" style="23" customWidth="1"/>
    <col min="6126" max="6126" width="13.42578125" style="23" customWidth="1"/>
    <col min="6127" max="6127" width="19.85546875" style="23" customWidth="1"/>
    <col min="6128" max="6128" width="16" style="23" customWidth="1"/>
    <col min="6129" max="6129" width="24.28515625" style="23" customWidth="1"/>
    <col min="6130" max="6135" width="10.85546875" style="23" customWidth="1"/>
    <col min="6136" max="6136" width="16.28515625" style="23" bestFit="1" customWidth="1"/>
    <col min="6137" max="6137" width="12.140625" style="23" bestFit="1" customWidth="1"/>
    <col min="6138" max="6140" width="10.85546875" style="23" customWidth="1"/>
    <col min="6141" max="6141" width="9.28515625" style="23" bestFit="1" customWidth="1"/>
    <col min="6142" max="6371" width="9.140625" style="23"/>
    <col min="6372" max="6373" width="54" style="23" customWidth="1"/>
    <col min="6374" max="6374" width="16.7109375" style="23" customWidth="1"/>
    <col min="6375" max="6375" width="11.85546875" style="23" bestFit="1" customWidth="1"/>
    <col min="6376" max="6376" width="9.85546875" style="23" bestFit="1" customWidth="1"/>
    <col min="6377" max="6377" width="10.5703125" style="23" bestFit="1" customWidth="1"/>
    <col min="6378" max="6380" width="13.42578125" style="23" customWidth="1"/>
    <col min="6381" max="6381" width="19.140625" style="23" customWidth="1"/>
    <col min="6382" max="6382" width="13.42578125" style="23" customWidth="1"/>
    <col min="6383" max="6383" width="19.85546875" style="23" customWidth="1"/>
    <col min="6384" max="6384" width="16" style="23" customWidth="1"/>
    <col min="6385" max="6385" width="24.28515625" style="23" customWidth="1"/>
    <col min="6386" max="6391" width="10.85546875" style="23" customWidth="1"/>
    <col min="6392" max="6392" width="16.28515625" style="23" bestFit="1" customWidth="1"/>
    <col min="6393" max="6393" width="12.140625" style="23" bestFit="1" customWidth="1"/>
    <col min="6394" max="6396" width="10.85546875" style="23" customWidth="1"/>
    <col min="6397" max="6397" width="9.28515625" style="23" bestFit="1" customWidth="1"/>
    <col min="6398" max="6627" width="9.140625" style="23"/>
    <col min="6628" max="6629" width="54" style="23" customWidth="1"/>
    <col min="6630" max="6630" width="16.7109375" style="23" customWidth="1"/>
    <col min="6631" max="6631" width="11.85546875" style="23" bestFit="1" customWidth="1"/>
    <col min="6632" max="6632" width="9.85546875" style="23" bestFit="1" customWidth="1"/>
    <col min="6633" max="6633" width="10.5703125" style="23" bestFit="1" customWidth="1"/>
    <col min="6634" max="6636" width="13.42578125" style="23" customWidth="1"/>
    <col min="6637" max="6637" width="19.140625" style="23" customWidth="1"/>
    <col min="6638" max="6638" width="13.42578125" style="23" customWidth="1"/>
    <col min="6639" max="6639" width="19.85546875" style="23" customWidth="1"/>
    <col min="6640" max="6640" width="16" style="23" customWidth="1"/>
    <col min="6641" max="6641" width="24.28515625" style="23" customWidth="1"/>
    <col min="6642" max="6647" width="10.85546875" style="23" customWidth="1"/>
    <col min="6648" max="6648" width="16.28515625" style="23" bestFit="1" customWidth="1"/>
    <col min="6649" max="6649" width="12.140625" style="23" bestFit="1" customWidth="1"/>
    <col min="6650" max="6652" width="10.85546875" style="23" customWidth="1"/>
    <col min="6653" max="6653" width="9.28515625" style="23" bestFit="1" customWidth="1"/>
    <col min="6654" max="6883" width="9.140625" style="23"/>
    <col min="6884" max="6885" width="54" style="23" customWidth="1"/>
    <col min="6886" max="6886" width="16.7109375" style="23" customWidth="1"/>
    <col min="6887" max="6887" width="11.85546875" style="23" bestFit="1" customWidth="1"/>
    <col min="6888" max="6888" width="9.85546875" style="23" bestFit="1" customWidth="1"/>
    <col min="6889" max="6889" width="10.5703125" style="23" bestFit="1" customWidth="1"/>
    <col min="6890" max="6892" width="13.42578125" style="23" customWidth="1"/>
    <col min="6893" max="6893" width="19.140625" style="23" customWidth="1"/>
    <col min="6894" max="6894" width="13.42578125" style="23" customWidth="1"/>
    <col min="6895" max="6895" width="19.85546875" style="23" customWidth="1"/>
    <col min="6896" max="6896" width="16" style="23" customWidth="1"/>
    <col min="6897" max="6897" width="24.28515625" style="23" customWidth="1"/>
    <col min="6898" max="6903" width="10.85546875" style="23" customWidth="1"/>
    <col min="6904" max="6904" width="16.28515625" style="23" bestFit="1" customWidth="1"/>
    <col min="6905" max="6905" width="12.140625" style="23" bestFit="1" customWidth="1"/>
    <col min="6906" max="6908" width="10.85546875" style="23" customWidth="1"/>
    <col min="6909" max="6909" width="9.28515625" style="23" bestFit="1" customWidth="1"/>
    <col min="6910" max="7139" width="9.140625" style="23"/>
    <col min="7140" max="7141" width="54" style="23" customWidth="1"/>
    <col min="7142" max="7142" width="16.7109375" style="23" customWidth="1"/>
    <col min="7143" max="7143" width="11.85546875" style="23" bestFit="1" customWidth="1"/>
    <col min="7144" max="7144" width="9.85546875" style="23" bestFit="1" customWidth="1"/>
    <col min="7145" max="7145" width="10.5703125" style="23" bestFit="1" customWidth="1"/>
    <col min="7146" max="7148" width="13.42578125" style="23" customWidth="1"/>
    <col min="7149" max="7149" width="19.140625" style="23" customWidth="1"/>
    <col min="7150" max="7150" width="13.42578125" style="23" customWidth="1"/>
    <col min="7151" max="7151" width="19.85546875" style="23" customWidth="1"/>
    <col min="7152" max="7152" width="16" style="23" customWidth="1"/>
    <col min="7153" max="7153" width="24.28515625" style="23" customWidth="1"/>
    <col min="7154" max="7159" width="10.85546875" style="23" customWidth="1"/>
    <col min="7160" max="7160" width="16.28515625" style="23" bestFit="1" customWidth="1"/>
    <col min="7161" max="7161" width="12.140625" style="23" bestFit="1" customWidth="1"/>
    <col min="7162" max="7164" width="10.85546875" style="23" customWidth="1"/>
    <col min="7165" max="7165" width="9.28515625" style="23" bestFit="1" customWidth="1"/>
    <col min="7166" max="7395" width="9.140625" style="23"/>
    <col min="7396" max="7397" width="54" style="23" customWidth="1"/>
    <col min="7398" max="7398" width="16.7109375" style="23" customWidth="1"/>
    <col min="7399" max="7399" width="11.85546875" style="23" bestFit="1" customWidth="1"/>
    <col min="7400" max="7400" width="9.85546875" style="23" bestFit="1" customWidth="1"/>
    <col min="7401" max="7401" width="10.5703125" style="23" bestFit="1" customWidth="1"/>
    <col min="7402" max="7404" width="13.42578125" style="23" customWidth="1"/>
    <col min="7405" max="7405" width="19.140625" style="23" customWidth="1"/>
    <col min="7406" max="7406" width="13.42578125" style="23" customWidth="1"/>
    <col min="7407" max="7407" width="19.85546875" style="23" customWidth="1"/>
    <col min="7408" max="7408" width="16" style="23" customWidth="1"/>
    <col min="7409" max="7409" width="24.28515625" style="23" customWidth="1"/>
    <col min="7410" max="7415" width="10.85546875" style="23" customWidth="1"/>
    <col min="7416" max="7416" width="16.28515625" style="23" bestFit="1" customWidth="1"/>
    <col min="7417" max="7417" width="12.140625" style="23" bestFit="1" customWidth="1"/>
    <col min="7418" max="7420" width="10.85546875" style="23" customWidth="1"/>
    <col min="7421" max="7421" width="9.28515625" style="23" bestFit="1" customWidth="1"/>
    <col min="7422" max="7651" width="9.140625" style="23"/>
    <col min="7652" max="7653" width="54" style="23" customWidth="1"/>
    <col min="7654" max="7654" width="16.7109375" style="23" customWidth="1"/>
    <col min="7655" max="7655" width="11.85546875" style="23" bestFit="1" customWidth="1"/>
    <col min="7656" max="7656" width="9.85546875" style="23" bestFit="1" customWidth="1"/>
    <col min="7657" max="7657" width="10.5703125" style="23" bestFit="1" customWidth="1"/>
    <col min="7658" max="7660" width="13.42578125" style="23" customWidth="1"/>
    <col min="7661" max="7661" width="19.140625" style="23" customWidth="1"/>
    <col min="7662" max="7662" width="13.42578125" style="23" customWidth="1"/>
    <col min="7663" max="7663" width="19.85546875" style="23" customWidth="1"/>
    <col min="7664" max="7664" width="16" style="23" customWidth="1"/>
    <col min="7665" max="7665" width="24.28515625" style="23" customWidth="1"/>
    <col min="7666" max="7671" width="10.85546875" style="23" customWidth="1"/>
    <col min="7672" max="7672" width="16.28515625" style="23" bestFit="1" customWidth="1"/>
    <col min="7673" max="7673" width="12.140625" style="23" bestFit="1" customWidth="1"/>
    <col min="7674" max="7676" width="10.85546875" style="23" customWidth="1"/>
    <col min="7677" max="7677" width="9.28515625" style="23" bestFit="1" customWidth="1"/>
    <col min="7678" max="7907" width="9.140625" style="23"/>
    <col min="7908" max="7909" width="54" style="23" customWidth="1"/>
    <col min="7910" max="7910" width="16.7109375" style="23" customWidth="1"/>
    <col min="7911" max="7911" width="11.85546875" style="23" bestFit="1" customWidth="1"/>
    <col min="7912" max="7912" width="9.85546875" style="23" bestFit="1" customWidth="1"/>
    <col min="7913" max="7913" width="10.5703125" style="23" bestFit="1" customWidth="1"/>
    <col min="7914" max="7916" width="13.42578125" style="23" customWidth="1"/>
    <col min="7917" max="7917" width="19.140625" style="23" customWidth="1"/>
    <col min="7918" max="7918" width="13.42578125" style="23" customWidth="1"/>
    <col min="7919" max="7919" width="19.85546875" style="23" customWidth="1"/>
    <col min="7920" max="7920" width="16" style="23" customWidth="1"/>
    <col min="7921" max="7921" width="24.28515625" style="23" customWidth="1"/>
    <col min="7922" max="7927" width="10.85546875" style="23" customWidth="1"/>
    <col min="7928" max="7928" width="16.28515625" style="23" bestFit="1" customWidth="1"/>
    <col min="7929" max="7929" width="12.140625" style="23" bestFit="1" customWidth="1"/>
    <col min="7930" max="7932" width="10.85546875" style="23" customWidth="1"/>
    <col min="7933" max="7933" width="9.28515625" style="23" bestFit="1" customWidth="1"/>
    <col min="7934" max="8163" width="9.140625" style="23"/>
    <col min="8164" max="8165" width="54" style="23" customWidth="1"/>
    <col min="8166" max="8166" width="16.7109375" style="23" customWidth="1"/>
    <col min="8167" max="8167" width="11.85546875" style="23" bestFit="1" customWidth="1"/>
    <col min="8168" max="8168" width="9.85546875" style="23" bestFit="1" customWidth="1"/>
    <col min="8169" max="8169" width="10.5703125" style="23" bestFit="1" customWidth="1"/>
    <col min="8170" max="8172" width="13.42578125" style="23" customWidth="1"/>
    <col min="8173" max="8173" width="19.140625" style="23" customWidth="1"/>
    <col min="8174" max="8174" width="13.42578125" style="23" customWidth="1"/>
    <col min="8175" max="8175" width="19.85546875" style="23" customWidth="1"/>
    <col min="8176" max="8176" width="16" style="23" customWidth="1"/>
    <col min="8177" max="8177" width="24.28515625" style="23" customWidth="1"/>
    <col min="8178" max="8183" width="10.85546875" style="23" customWidth="1"/>
    <col min="8184" max="8184" width="16.28515625" style="23" bestFit="1" customWidth="1"/>
    <col min="8185" max="8185" width="12.140625" style="23" bestFit="1" customWidth="1"/>
    <col min="8186" max="8188" width="10.85546875" style="23" customWidth="1"/>
    <col min="8189" max="8189" width="9.28515625" style="23" bestFit="1" customWidth="1"/>
    <col min="8190" max="8419" width="9.140625" style="23"/>
    <col min="8420" max="8421" width="54" style="23" customWidth="1"/>
    <col min="8422" max="8422" width="16.7109375" style="23" customWidth="1"/>
    <col min="8423" max="8423" width="11.85546875" style="23" bestFit="1" customWidth="1"/>
    <col min="8424" max="8424" width="9.85546875" style="23" bestFit="1" customWidth="1"/>
    <col min="8425" max="8425" width="10.5703125" style="23" bestFit="1" customWidth="1"/>
    <col min="8426" max="8428" width="13.42578125" style="23" customWidth="1"/>
    <col min="8429" max="8429" width="19.140625" style="23" customWidth="1"/>
    <col min="8430" max="8430" width="13.42578125" style="23" customWidth="1"/>
    <col min="8431" max="8431" width="19.85546875" style="23" customWidth="1"/>
    <col min="8432" max="8432" width="16" style="23" customWidth="1"/>
    <col min="8433" max="8433" width="24.28515625" style="23" customWidth="1"/>
    <col min="8434" max="8439" width="10.85546875" style="23" customWidth="1"/>
    <col min="8440" max="8440" width="16.28515625" style="23" bestFit="1" customWidth="1"/>
    <col min="8441" max="8441" width="12.140625" style="23" bestFit="1" customWidth="1"/>
    <col min="8442" max="8444" width="10.85546875" style="23" customWidth="1"/>
    <col min="8445" max="8445" width="9.28515625" style="23" bestFit="1" customWidth="1"/>
    <col min="8446" max="8675" width="9.140625" style="23"/>
    <col min="8676" max="8677" width="54" style="23" customWidth="1"/>
    <col min="8678" max="8678" width="16.7109375" style="23" customWidth="1"/>
    <col min="8679" max="8679" width="11.85546875" style="23" bestFit="1" customWidth="1"/>
    <col min="8680" max="8680" width="9.85546875" style="23" bestFit="1" customWidth="1"/>
    <col min="8681" max="8681" width="10.5703125" style="23" bestFit="1" customWidth="1"/>
    <col min="8682" max="8684" width="13.42578125" style="23" customWidth="1"/>
    <col min="8685" max="8685" width="19.140625" style="23" customWidth="1"/>
    <col min="8686" max="8686" width="13.42578125" style="23" customWidth="1"/>
    <col min="8687" max="8687" width="19.85546875" style="23" customWidth="1"/>
    <col min="8688" max="8688" width="16" style="23" customWidth="1"/>
    <col min="8689" max="8689" width="24.28515625" style="23" customWidth="1"/>
    <col min="8690" max="8695" width="10.85546875" style="23" customWidth="1"/>
    <col min="8696" max="8696" width="16.28515625" style="23" bestFit="1" customWidth="1"/>
    <col min="8697" max="8697" width="12.140625" style="23" bestFit="1" customWidth="1"/>
    <col min="8698" max="8700" width="10.85546875" style="23" customWidth="1"/>
    <col min="8701" max="8701" width="9.28515625" style="23" bestFit="1" customWidth="1"/>
    <col min="8702" max="8931" width="9.140625" style="23"/>
    <col min="8932" max="8933" width="54" style="23" customWidth="1"/>
    <col min="8934" max="8934" width="16.7109375" style="23" customWidth="1"/>
    <col min="8935" max="8935" width="11.85546875" style="23" bestFit="1" customWidth="1"/>
    <col min="8936" max="8936" width="9.85546875" style="23" bestFit="1" customWidth="1"/>
    <col min="8937" max="8937" width="10.5703125" style="23" bestFit="1" customWidth="1"/>
    <col min="8938" max="8940" width="13.42578125" style="23" customWidth="1"/>
    <col min="8941" max="8941" width="19.140625" style="23" customWidth="1"/>
    <col min="8942" max="8942" width="13.42578125" style="23" customWidth="1"/>
    <col min="8943" max="8943" width="19.85546875" style="23" customWidth="1"/>
    <col min="8944" max="8944" width="16" style="23" customWidth="1"/>
    <col min="8945" max="8945" width="24.28515625" style="23" customWidth="1"/>
    <col min="8946" max="8951" width="10.85546875" style="23" customWidth="1"/>
    <col min="8952" max="8952" width="16.28515625" style="23" bestFit="1" customWidth="1"/>
    <col min="8953" max="8953" width="12.140625" style="23" bestFit="1" customWidth="1"/>
    <col min="8954" max="8956" width="10.85546875" style="23" customWidth="1"/>
    <col min="8957" max="8957" width="9.28515625" style="23" bestFit="1" customWidth="1"/>
    <col min="8958" max="9187" width="9.140625" style="23"/>
    <col min="9188" max="9189" width="54" style="23" customWidth="1"/>
    <col min="9190" max="9190" width="16.7109375" style="23" customWidth="1"/>
    <col min="9191" max="9191" width="11.85546875" style="23" bestFit="1" customWidth="1"/>
    <col min="9192" max="9192" width="9.85546875" style="23" bestFit="1" customWidth="1"/>
    <col min="9193" max="9193" width="10.5703125" style="23" bestFit="1" customWidth="1"/>
    <col min="9194" max="9196" width="13.42578125" style="23" customWidth="1"/>
    <col min="9197" max="9197" width="19.140625" style="23" customWidth="1"/>
    <col min="9198" max="9198" width="13.42578125" style="23" customWidth="1"/>
    <col min="9199" max="9199" width="19.85546875" style="23" customWidth="1"/>
    <col min="9200" max="9200" width="16" style="23" customWidth="1"/>
    <col min="9201" max="9201" width="24.28515625" style="23" customWidth="1"/>
    <col min="9202" max="9207" width="10.85546875" style="23" customWidth="1"/>
    <col min="9208" max="9208" width="16.28515625" style="23" bestFit="1" customWidth="1"/>
    <col min="9209" max="9209" width="12.140625" style="23" bestFit="1" customWidth="1"/>
    <col min="9210" max="9212" width="10.85546875" style="23" customWidth="1"/>
    <col min="9213" max="9213" width="9.28515625" style="23" bestFit="1" customWidth="1"/>
    <col min="9214" max="9443" width="9.140625" style="23"/>
    <col min="9444" max="9445" width="54" style="23" customWidth="1"/>
    <col min="9446" max="9446" width="16.7109375" style="23" customWidth="1"/>
    <col min="9447" max="9447" width="11.85546875" style="23" bestFit="1" customWidth="1"/>
    <col min="9448" max="9448" width="9.85546875" style="23" bestFit="1" customWidth="1"/>
    <col min="9449" max="9449" width="10.5703125" style="23" bestFit="1" customWidth="1"/>
    <col min="9450" max="9452" width="13.42578125" style="23" customWidth="1"/>
    <col min="9453" max="9453" width="19.140625" style="23" customWidth="1"/>
    <col min="9454" max="9454" width="13.42578125" style="23" customWidth="1"/>
    <col min="9455" max="9455" width="19.85546875" style="23" customWidth="1"/>
    <col min="9456" max="9456" width="16" style="23" customWidth="1"/>
    <col min="9457" max="9457" width="24.28515625" style="23" customWidth="1"/>
    <col min="9458" max="9463" width="10.85546875" style="23" customWidth="1"/>
    <col min="9464" max="9464" width="16.28515625" style="23" bestFit="1" customWidth="1"/>
    <col min="9465" max="9465" width="12.140625" style="23" bestFit="1" customWidth="1"/>
    <col min="9466" max="9468" width="10.85546875" style="23" customWidth="1"/>
    <col min="9469" max="9469" width="9.28515625" style="23" bestFit="1" customWidth="1"/>
    <col min="9470" max="9699" width="9.140625" style="23"/>
    <col min="9700" max="9701" width="54" style="23" customWidth="1"/>
    <col min="9702" max="9702" width="16.7109375" style="23" customWidth="1"/>
    <col min="9703" max="9703" width="11.85546875" style="23" bestFit="1" customWidth="1"/>
    <col min="9704" max="9704" width="9.85546875" style="23" bestFit="1" customWidth="1"/>
    <col min="9705" max="9705" width="10.5703125" style="23" bestFit="1" customWidth="1"/>
    <col min="9706" max="9708" width="13.42578125" style="23" customWidth="1"/>
    <col min="9709" max="9709" width="19.140625" style="23" customWidth="1"/>
    <col min="9710" max="9710" width="13.42578125" style="23" customWidth="1"/>
    <col min="9711" max="9711" width="19.85546875" style="23" customWidth="1"/>
    <col min="9712" max="9712" width="16" style="23" customWidth="1"/>
    <col min="9713" max="9713" width="24.28515625" style="23" customWidth="1"/>
    <col min="9714" max="9719" width="10.85546875" style="23" customWidth="1"/>
    <col min="9720" max="9720" width="16.28515625" style="23" bestFit="1" customWidth="1"/>
    <col min="9721" max="9721" width="12.140625" style="23" bestFit="1" customWidth="1"/>
    <col min="9722" max="9724" width="10.85546875" style="23" customWidth="1"/>
    <col min="9725" max="9725" width="9.28515625" style="23" bestFit="1" customWidth="1"/>
    <col min="9726" max="9955" width="9.140625" style="23"/>
    <col min="9956" max="9957" width="54" style="23" customWidth="1"/>
    <col min="9958" max="9958" width="16.7109375" style="23" customWidth="1"/>
    <col min="9959" max="9959" width="11.85546875" style="23" bestFit="1" customWidth="1"/>
    <col min="9960" max="9960" width="9.85546875" style="23" bestFit="1" customWidth="1"/>
    <col min="9961" max="9961" width="10.5703125" style="23" bestFit="1" customWidth="1"/>
    <col min="9962" max="9964" width="13.42578125" style="23" customWidth="1"/>
    <col min="9965" max="9965" width="19.140625" style="23" customWidth="1"/>
    <col min="9966" max="9966" width="13.42578125" style="23" customWidth="1"/>
    <col min="9967" max="9967" width="19.85546875" style="23" customWidth="1"/>
    <col min="9968" max="9968" width="16" style="23" customWidth="1"/>
    <col min="9969" max="9969" width="24.28515625" style="23" customWidth="1"/>
    <col min="9970" max="9975" width="10.85546875" style="23" customWidth="1"/>
    <col min="9976" max="9976" width="16.28515625" style="23" bestFit="1" customWidth="1"/>
    <col min="9977" max="9977" width="12.140625" style="23" bestFit="1" customWidth="1"/>
    <col min="9978" max="9980" width="10.85546875" style="23" customWidth="1"/>
    <col min="9981" max="9981" width="9.28515625" style="23" bestFit="1" customWidth="1"/>
    <col min="9982" max="10211" width="9.140625" style="23"/>
    <col min="10212" max="10213" width="54" style="23" customWidth="1"/>
    <col min="10214" max="10214" width="16.7109375" style="23" customWidth="1"/>
    <col min="10215" max="10215" width="11.85546875" style="23" bestFit="1" customWidth="1"/>
    <col min="10216" max="10216" width="9.85546875" style="23" bestFit="1" customWidth="1"/>
    <col min="10217" max="10217" width="10.5703125" style="23" bestFit="1" customWidth="1"/>
    <col min="10218" max="10220" width="13.42578125" style="23" customWidth="1"/>
    <col min="10221" max="10221" width="19.140625" style="23" customWidth="1"/>
    <col min="10222" max="10222" width="13.42578125" style="23" customWidth="1"/>
    <col min="10223" max="10223" width="19.85546875" style="23" customWidth="1"/>
    <col min="10224" max="10224" width="16" style="23" customWidth="1"/>
    <col min="10225" max="10225" width="24.28515625" style="23" customWidth="1"/>
    <col min="10226" max="10231" width="10.85546875" style="23" customWidth="1"/>
    <col min="10232" max="10232" width="16.28515625" style="23" bestFit="1" customWidth="1"/>
    <col min="10233" max="10233" width="12.140625" style="23" bestFit="1" customWidth="1"/>
    <col min="10234" max="10236" width="10.85546875" style="23" customWidth="1"/>
    <col min="10237" max="10237" width="9.28515625" style="23" bestFit="1" customWidth="1"/>
    <col min="10238" max="10467" width="9.140625" style="23"/>
    <col min="10468" max="10469" width="54" style="23" customWidth="1"/>
    <col min="10470" max="10470" width="16.7109375" style="23" customWidth="1"/>
    <col min="10471" max="10471" width="11.85546875" style="23" bestFit="1" customWidth="1"/>
    <col min="10472" max="10472" width="9.85546875" style="23" bestFit="1" customWidth="1"/>
    <col min="10473" max="10473" width="10.5703125" style="23" bestFit="1" customWidth="1"/>
    <col min="10474" max="10476" width="13.42578125" style="23" customWidth="1"/>
    <col min="10477" max="10477" width="19.140625" style="23" customWidth="1"/>
    <col min="10478" max="10478" width="13.42578125" style="23" customWidth="1"/>
    <col min="10479" max="10479" width="19.85546875" style="23" customWidth="1"/>
    <col min="10480" max="10480" width="16" style="23" customWidth="1"/>
    <col min="10481" max="10481" width="24.28515625" style="23" customWidth="1"/>
    <col min="10482" max="10487" width="10.85546875" style="23" customWidth="1"/>
    <col min="10488" max="10488" width="16.28515625" style="23" bestFit="1" customWidth="1"/>
    <col min="10489" max="10489" width="12.140625" style="23" bestFit="1" customWidth="1"/>
    <col min="10490" max="10492" width="10.85546875" style="23" customWidth="1"/>
    <col min="10493" max="10493" width="9.28515625" style="23" bestFit="1" customWidth="1"/>
    <col min="10494" max="10723" width="9.140625" style="23"/>
    <col min="10724" max="10725" width="54" style="23" customWidth="1"/>
    <col min="10726" max="10726" width="16.7109375" style="23" customWidth="1"/>
    <col min="10727" max="10727" width="11.85546875" style="23" bestFit="1" customWidth="1"/>
    <col min="10728" max="10728" width="9.85546875" style="23" bestFit="1" customWidth="1"/>
    <col min="10729" max="10729" width="10.5703125" style="23" bestFit="1" customWidth="1"/>
    <col min="10730" max="10732" width="13.42578125" style="23" customWidth="1"/>
    <col min="10733" max="10733" width="19.140625" style="23" customWidth="1"/>
    <col min="10734" max="10734" width="13.42578125" style="23" customWidth="1"/>
    <col min="10735" max="10735" width="19.85546875" style="23" customWidth="1"/>
    <col min="10736" max="10736" width="16" style="23" customWidth="1"/>
    <col min="10737" max="10737" width="24.28515625" style="23" customWidth="1"/>
    <col min="10738" max="10743" width="10.85546875" style="23" customWidth="1"/>
    <col min="10744" max="10744" width="16.28515625" style="23" bestFit="1" customWidth="1"/>
    <col min="10745" max="10745" width="12.140625" style="23" bestFit="1" customWidth="1"/>
    <col min="10746" max="10748" width="10.85546875" style="23" customWidth="1"/>
    <col min="10749" max="10749" width="9.28515625" style="23" bestFit="1" customWidth="1"/>
    <col min="10750" max="10979" width="9.140625" style="23"/>
    <col min="10980" max="10981" width="54" style="23" customWidth="1"/>
    <col min="10982" max="10982" width="16.7109375" style="23" customWidth="1"/>
    <col min="10983" max="10983" width="11.85546875" style="23" bestFit="1" customWidth="1"/>
    <col min="10984" max="10984" width="9.85546875" style="23" bestFit="1" customWidth="1"/>
    <col min="10985" max="10985" width="10.5703125" style="23" bestFit="1" customWidth="1"/>
    <col min="10986" max="10988" width="13.42578125" style="23" customWidth="1"/>
    <col min="10989" max="10989" width="19.140625" style="23" customWidth="1"/>
    <col min="10990" max="10990" width="13.42578125" style="23" customWidth="1"/>
    <col min="10991" max="10991" width="19.85546875" style="23" customWidth="1"/>
    <col min="10992" max="10992" width="16" style="23" customWidth="1"/>
    <col min="10993" max="10993" width="24.28515625" style="23" customWidth="1"/>
    <col min="10994" max="10999" width="10.85546875" style="23" customWidth="1"/>
    <col min="11000" max="11000" width="16.28515625" style="23" bestFit="1" customWidth="1"/>
    <col min="11001" max="11001" width="12.140625" style="23" bestFit="1" customWidth="1"/>
    <col min="11002" max="11004" width="10.85546875" style="23" customWidth="1"/>
    <col min="11005" max="11005" width="9.28515625" style="23" bestFit="1" customWidth="1"/>
    <col min="11006" max="11235" width="9.140625" style="23"/>
    <col min="11236" max="11237" width="54" style="23" customWidth="1"/>
    <col min="11238" max="11238" width="16.7109375" style="23" customWidth="1"/>
    <col min="11239" max="11239" width="11.85546875" style="23" bestFit="1" customWidth="1"/>
    <col min="11240" max="11240" width="9.85546875" style="23" bestFit="1" customWidth="1"/>
    <col min="11241" max="11241" width="10.5703125" style="23" bestFit="1" customWidth="1"/>
    <col min="11242" max="11244" width="13.42578125" style="23" customWidth="1"/>
    <col min="11245" max="11245" width="19.140625" style="23" customWidth="1"/>
    <col min="11246" max="11246" width="13.42578125" style="23" customWidth="1"/>
    <col min="11247" max="11247" width="19.85546875" style="23" customWidth="1"/>
    <col min="11248" max="11248" width="16" style="23" customWidth="1"/>
    <col min="11249" max="11249" width="24.28515625" style="23" customWidth="1"/>
    <col min="11250" max="11255" width="10.85546875" style="23" customWidth="1"/>
    <col min="11256" max="11256" width="16.28515625" style="23" bestFit="1" customWidth="1"/>
    <col min="11257" max="11257" width="12.140625" style="23" bestFit="1" customWidth="1"/>
    <col min="11258" max="11260" width="10.85546875" style="23" customWidth="1"/>
    <col min="11261" max="11261" width="9.28515625" style="23" bestFit="1" customWidth="1"/>
    <col min="11262" max="11491" width="9.140625" style="23"/>
    <col min="11492" max="11493" width="54" style="23" customWidth="1"/>
    <col min="11494" max="11494" width="16.7109375" style="23" customWidth="1"/>
    <col min="11495" max="11495" width="11.85546875" style="23" bestFit="1" customWidth="1"/>
    <col min="11496" max="11496" width="9.85546875" style="23" bestFit="1" customWidth="1"/>
    <col min="11497" max="11497" width="10.5703125" style="23" bestFit="1" customWidth="1"/>
    <col min="11498" max="11500" width="13.42578125" style="23" customWidth="1"/>
    <col min="11501" max="11501" width="19.140625" style="23" customWidth="1"/>
    <col min="11502" max="11502" width="13.42578125" style="23" customWidth="1"/>
    <col min="11503" max="11503" width="19.85546875" style="23" customWidth="1"/>
    <col min="11504" max="11504" width="16" style="23" customWidth="1"/>
    <col min="11505" max="11505" width="24.28515625" style="23" customWidth="1"/>
    <col min="11506" max="11511" width="10.85546875" style="23" customWidth="1"/>
    <col min="11512" max="11512" width="16.28515625" style="23" bestFit="1" customWidth="1"/>
    <col min="11513" max="11513" width="12.140625" style="23" bestFit="1" customWidth="1"/>
    <col min="11514" max="11516" width="10.85546875" style="23" customWidth="1"/>
    <col min="11517" max="11517" width="9.28515625" style="23" bestFit="1" customWidth="1"/>
    <col min="11518" max="11747" width="9.140625" style="23"/>
    <col min="11748" max="11749" width="54" style="23" customWidth="1"/>
    <col min="11750" max="11750" width="16.7109375" style="23" customWidth="1"/>
    <col min="11751" max="11751" width="11.85546875" style="23" bestFit="1" customWidth="1"/>
    <col min="11752" max="11752" width="9.85546875" style="23" bestFit="1" customWidth="1"/>
    <col min="11753" max="11753" width="10.5703125" style="23" bestFit="1" customWidth="1"/>
    <col min="11754" max="11756" width="13.42578125" style="23" customWidth="1"/>
    <col min="11757" max="11757" width="19.140625" style="23" customWidth="1"/>
    <col min="11758" max="11758" width="13.42578125" style="23" customWidth="1"/>
    <col min="11759" max="11759" width="19.85546875" style="23" customWidth="1"/>
    <col min="11760" max="11760" width="16" style="23" customWidth="1"/>
    <col min="11761" max="11761" width="24.28515625" style="23" customWidth="1"/>
    <col min="11762" max="11767" width="10.85546875" style="23" customWidth="1"/>
    <col min="11768" max="11768" width="16.28515625" style="23" bestFit="1" customWidth="1"/>
    <col min="11769" max="11769" width="12.140625" style="23" bestFit="1" customWidth="1"/>
    <col min="11770" max="11772" width="10.85546875" style="23" customWidth="1"/>
    <col min="11773" max="11773" width="9.28515625" style="23" bestFit="1" customWidth="1"/>
    <col min="11774" max="12003" width="9.140625" style="23"/>
    <col min="12004" max="12005" width="54" style="23" customWidth="1"/>
    <col min="12006" max="12006" width="16.7109375" style="23" customWidth="1"/>
    <col min="12007" max="12007" width="11.85546875" style="23" bestFit="1" customWidth="1"/>
    <col min="12008" max="12008" width="9.85546875" style="23" bestFit="1" customWidth="1"/>
    <col min="12009" max="12009" width="10.5703125" style="23" bestFit="1" customWidth="1"/>
    <col min="12010" max="12012" width="13.42578125" style="23" customWidth="1"/>
    <col min="12013" max="12013" width="19.140625" style="23" customWidth="1"/>
    <col min="12014" max="12014" width="13.42578125" style="23" customWidth="1"/>
    <col min="12015" max="12015" width="19.85546875" style="23" customWidth="1"/>
    <col min="12016" max="12016" width="16" style="23" customWidth="1"/>
    <col min="12017" max="12017" width="24.28515625" style="23" customWidth="1"/>
    <col min="12018" max="12023" width="10.85546875" style="23" customWidth="1"/>
    <col min="12024" max="12024" width="16.28515625" style="23" bestFit="1" customWidth="1"/>
    <col min="12025" max="12025" width="12.140625" style="23" bestFit="1" customWidth="1"/>
    <col min="12026" max="12028" width="10.85546875" style="23" customWidth="1"/>
    <col min="12029" max="12029" width="9.28515625" style="23" bestFit="1" customWidth="1"/>
    <col min="12030" max="12259" width="9.140625" style="23"/>
    <col min="12260" max="12261" width="54" style="23" customWidth="1"/>
    <col min="12262" max="12262" width="16.7109375" style="23" customWidth="1"/>
    <col min="12263" max="12263" width="11.85546875" style="23" bestFit="1" customWidth="1"/>
    <col min="12264" max="12264" width="9.85546875" style="23" bestFit="1" customWidth="1"/>
    <col min="12265" max="12265" width="10.5703125" style="23" bestFit="1" customWidth="1"/>
    <col min="12266" max="12268" width="13.42578125" style="23" customWidth="1"/>
    <col min="12269" max="12269" width="19.140625" style="23" customWidth="1"/>
    <col min="12270" max="12270" width="13.42578125" style="23" customWidth="1"/>
    <col min="12271" max="12271" width="19.85546875" style="23" customWidth="1"/>
    <col min="12272" max="12272" width="16" style="23" customWidth="1"/>
    <col min="12273" max="12273" width="24.28515625" style="23" customWidth="1"/>
    <col min="12274" max="12279" width="10.85546875" style="23" customWidth="1"/>
    <col min="12280" max="12280" width="16.28515625" style="23" bestFit="1" customWidth="1"/>
    <col min="12281" max="12281" width="12.140625" style="23" bestFit="1" customWidth="1"/>
    <col min="12282" max="12284" width="10.85546875" style="23" customWidth="1"/>
    <col min="12285" max="12285" width="9.28515625" style="23" bestFit="1" customWidth="1"/>
    <col min="12286" max="12515" width="9.140625" style="23"/>
    <col min="12516" max="12517" width="54" style="23" customWidth="1"/>
    <col min="12518" max="12518" width="16.7109375" style="23" customWidth="1"/>
    <col min="12519" max="12519" width="11.85546875" style="23" bestFit="1" customWidth="1"/>
    <col min="12520" max="12520" width="9.85546875" style="23" bestFit="1" customWidth="1"/>
    <col min="12521" max="12521" width="10.5703125" style="23" bestFit="1" customWidth="1"/>
    <col min="12522" max="12524" width="13.42578125" style="23" customWidth="1"/>
    <col min="12525" max="12525" width="19.140625" style="23" customWidth="1"/>
    <col min="12526" max="12526" width="13.42578125" style="23" customWidth="1"/>
    <col min="12527" max="12527" width="19.85546875" style="23" customWidth="1"/>
    <col min="12528" max="12528" width="16" style="23" customWidth="1"/>
    <col min="12529" max="12529" width="24.28515625" style="23" customWidth="1"/>
    <col min="12530" max="12535" width="10.85546875" style="23" customWidth="1"/>
    <col min="12536" max="12536" width="16.28515625" style="23" bestFit="1" customWidth="1"/>
    <col min="12537" max="12537" width="12.140625" style="23" bestFit="1" customWidth="1"/>
    <col min="12538" max="12540" width="10.85546875" style="23" customWidth="1"/>
    <col min="12541" max="12541" width="9.28515625" style="23" bestFit="1" customWidth="1"/>
    <col min="12542" max="12771" width="9.140625" style="23"/>
    <col min="12772" max="12773" width="54" style="23" customWidth="1"/>
    <col min="12774" max="12774" width="16.7109375" style="23" customWidth="1"/>
    <col min="12775" max="12775" width="11.85546875" style="23" bestFit="1" customWidth="1"/>
    <col min="12776" max="12776" width="9.85546875" style="23" bestFit="1" customWidth="1"/>
    <col min="12777" max="12777" width="10.5703125" style="23" bestFit="1" customWidth="1"/>
    <col min="12778" max="12780" width="13.42578125" style="23" customWidth="1"/>
    <col min="12781" max="12781" width="19.140625" style="23" customWidth="1"/>
    <col min="12782" max="12782" width="13.42578125" style="23" customWidth="1"/>
    <col min="12783" max="12783" width="19.85546875" style="23" customWidth="1"/>
    <col min="12784" max="12784" width="16" style="23" customWidth="1"/>
    <col min="12785" max="12785" width="24.28515625" style="23" customWidth="1"/>
    <col min="12786" max="12791" width="10.85546875" style="23" customWidth="1"/>
    <col min="12792" max="12792" width="16.28515625" style="23" bestFit="1" customWidth="1"/>
    <col min="12793" max="12793" width="12.140625" style="23" bestFit="1" customWidth="1"/>
    <col min="12794" max="12796" width="10.85546875" style="23" customWidth="1"/>
    <col min="12797" max="12797" width="9.28515625" style="23" bestFit="1" customWidth="1"/>
    <col min="12798" max="13027" width="9.140625" style="23"/>
    <col min="13028" max="13029" width="54" style="23" customWidth="1"/>
    <col min="13030" max="13030" width="16.7109375" style="23" customWidth="1"/>
    <col min="13031" max="13031" width="11.85546875" style="23" bestFit="1" customWidth="1"/>
    <col min="13032" max="13032" width="9.85546875" style="23" bestFit="1" customWidth="1"/>
    <col min="13033" max="13033" width="10.5703125" style="23" bestFit="1" customWidth="1"/>
    <col min="13034" max="13036" width="13.42578125" style="23" customWidth="1"/>
    <col min="13037" max="13037" width="19.140625" style="23" customWidth="1"/>
    <col min="13038" max="13038" width="13.42578125" style="23" customWidth="1"/>
    <col min="13039" max="13039" width="19.85546875" style="23" customWidth="1"/>
    <col min="13040" max="13040" width="16" style="23" customWidth="1"/>
    <col min="13041" max="13041" width="24.28515625" style="23" customWidth="1"/>
    <col min="13042" max="13047" width="10.85546875" style="23" customWidth="1"/>
    <col min="13048" max="13048" width="16.28515625" style="23" bestFit="1" customWidth="1"/>
    <col min="13049" max="13049" width="12.140625" style="23" bestFit="1" customWidth="1"/>
    <col min="13050" max="13052" width="10.85546875" style="23" customWidth="1"/>
    <col min="13053" max="13053" width="9.28515625" style="23" bestFit="1" customWidth="1"/>
    <col min="13054" max="13283" width="9.140625" style="23"/>
    <col min="13284" max="13285" width="54" style="23" customWidth="1"/>
    <col min="13286" max="13286" width="16.7109375" style="23" customWidth="1"/>
    <col min="13287" max="13287" width="11.85546875" style="23" bestFit="1" customWidth="1"/>
    <col min="13288" max="13288" width="9.85546875" style="23" bestFit="1" customWidth="1"/>
    <col min="13289" max="13289" width="10.5703125" style="23" bestFit="1" customWidth="1"/>
    <col min="13290" max="13292" width="13.42578125" style="23" customWidth="1"/>
    <col min="13293" max="13293" width="19.140625" style="23" customWidth="1"/>
    <col min="13294" max="13294" width="13.42578125" style="23" customWidth="1"/>
    <col min="13295" max="13295" width="19.85546875" style="23" customWidth="1"/>
    <col min="13296" max="13296" width="16" style="23" customWidth="1"/>
    <col min="13297" max="13297" width="24.28515625" style="23" customWidth="1"/>
    <col min="13298" max="13303" width="10.85546875" style="23" customWidth="1"/>
    <col min="13304" max="13304" width="16.28515625" style="23" bestFit="1" customWidth="1"/>
    <col min="13305" max="13305" width="12.140625" style="23" bestFit="1" customWidth="1"/>
    <col min="13306" max="13308" width="10.85546875" style="23" customWidth="1"/>
    <col min="13309" max="13309" width="9.28515625" style="23" bestFit="1" customWidth="1"/>
    <col min="13310" max="13539" width="9.140625" style="23"/>
    <col min="13540" max="13541" width="54" style="23" customWidth="1"/>
    <col min="13542" max="13542" width="16.7109375" style="23" customWidth="1"/>
    <col min="13543" max="13543" width="11.85546875" style="23" bestFit="1" customWidth="1"/>
    <col min="13544" max="13544" width="9.85546875" style="23" bestFit="1" customWidth="1"/>
    <col min="13545" max="13545" width="10.5703125" style="23" bestFit="1" customWidth="1"/>
    <col min="13546" max="13548" width="13.42578125" style="23" customWidth="1"/>
    <col min="13549" max="13549" width="19.140625" style="23" customWidth="1"/>
    <col min="13550" max="13550" width="13.42578125" style="23" customWidth="1"/>
    <col min="13551" max="13551" width="19.85546875" style="23" customWidth="1"/>
    <col min="13552" max="13552" width="16" style="23" customWidth="1"/>
    <col min="13553" max="13553" width="24.28515625" style="23" customWidth="1"/>
    <col min="13554" max="13559" width="10.85546875" style="23" customWidth="1"/>
    <col min="13560" max="13560" width="16.28515625" style="23" bestFit="1" customWidth="1"/>
    <col min="13561" max="13561" width="12.140625" style="23" bestFit="1" customWidth="1"/>
    <col min="13562" max="13564" width="10.85546875" style="23" customWidth="1"/>
    <col min="13565" max="13565" width="9.28515625" style="23" bestFit="1" customWidth="1"/>
    <col min="13566" max="13795" width="9.140625" style="23"/>
    <col min="13796" max="13797" width="54" style="23" customWidth="1"/>
    <col min="13798" max="13798" width="16.7109375" style="23" customWidth="1"/>
    <col min="13799" max="13799" width="11.85546875" style="23" bestFit="1" customWidth="1"/>
    <col min="13800" max="13800" width="9.85546875" style="23" bestFit="1" customWidth="1"/>
    <col min="13801" max="13801" width="10.5703125" style="23" bestFit="1" customWidth="1"/>
    <col min="13802" max="13804" width="13.42578125" style="23" customWidth="1"/>
    <col min="13805" max="13805" width="19.140625" style="23" customWidth="1"/>
    <col min="13806" max="13806" width="13.42578125" style="23" customWidth="1"/>
    <col min="13807" max="13807" width="19.85546875" style="23" customWidth="1"/>
    <col min="13808" max="13808" width="16" style="23" customWidth="1"/>
    <col min="13809" max="13809" width="24.28515625" style="23" customWidth="1"/>
    <col min="13810" max="13815" width="10.85546875" style="23" customWidth="1"/>
    <col min="13816" max="13816" width="16.28515625" style="23" bestFit="1" customWidth="1"/>
    <col min="13817" max="13817" width="12.140625" style="23" bestFit="1" customWidth="1"/>
    <col min="13818" max="13820" width="10.85546875" style="23" customWidth="1"/>
    <col min="13821" max="13821" width="9.28515625" style="23" bestFit="1" customWidth="1"/>
    <col min="13822" max="14051" width="9.140625" style="23"/>
    <col min="14052" max="14053" width="54" style="23" customWidth="1"/>
    <col min="14054" max="14054" width="16.7109375" style="23" customWidth="1"/>
    <col min="14055" max="14055" width="11.85546875" style="23" bestFit="1" customWidth="1"/>
    <col min="14056" max="14056" width="9.85546875" style="23" bestFit="1" customWidth="1"/>
    <col min="14057" max="14057" width="10.5703125" style="23" bestFit="1" customWidth="1"/>
    <col min="14058" max="14060" width="13.42578125" style="23" customWidth="1"/>
    <col min="14061" max="14061" width="19.140625" style="23" customWidth="1"/>
    <col min="14062" max="14062" width="13.42578125" style="23" customWidth="1"/>
    <col min="14063" max="14063" width="19.85546875" style="23" customWidth="1"/>
    <col min="14064" max="14064" width="16" style="23" customWidth="1"/>
    <col min="14065" max="14065" width="24.28515625" style="23" customWidth="1"/>
    <col min="14066" max="14071" width="10.85546875" style="23" customWidth="1"/>
    <col min="14072" max="14072" width="16.28515625" style="23" bestFit="1" customWidth="1"/>
    <col min="14073" max="14073" width="12.140625" style="23" bestFit="1" customWidth="1"/>
    <col min="14074" max="14076" width="10.85546875" style="23" customWidth="1"/>
    <col min="14077" max="14077" width="9.28515625" style="23" bestFit="1" customWidth="1"/>
    <col min="14078" max="14307" width="9.140625" style="23"/>
    <col min="14308" max="14309" width="54" style="23" customWidth="1"/>
    <col min="14310" max="14310" width="16.7109375" style="23" customWidth="1"/>
    <col min="14311" max="14311" width="11.85546875" style="23" bestFit="1" customWidth="1"/>
    <col min="14312" max="14312" width="9.85546875" style="23" bestFit="1" customWidth="1"/>
    <col min="14313" max="14313" width="10.5703125" style="23" bestFit="1" customWidth="1"/>
    <col min="14314" max="14316" width="13.42578125" style="23" customWidth="1"/>
    <col min="14317" max="14317" width="19.140625" style="23" customWidth="1"/>
    <col min="14318" max="14318" width="13.42578125" style="23" customWidth="1"/>
    <col min="14319" max="14319" width="19.85546875" style="23" customWidth="1"/>
    <col min="14320" max="14320" width="16" style="23" customWidth="1"/>
    <col min="14321" max="14321" width="24.28515625" style="23" customWidth="1"/>
    <col min="14322" max="14327" width="10.85546875" style="23" customWidth="1"/>
    <col min="14328" max="14328" width="16.28515625" style="23" bestFit="1" customWidth="1"/>
    <col min="14329" max="14329" width="12.140625" style="23" bestFit="1" customWidth="1"/>
    <col min="14330" max="14332" width="10.85546875" style="23" customWidth="1"/>
    <col min="14333" max="14333" width="9.28515625" style="23" bestFit="1" customWidth="1"/>
    <col min="14334" max="14563" width="9.140625" style="23"/>
    <col min="14564" max="14565" width="54" style="23" customWidth="1"/>
    <col min="14566" max="14566" width="16.7109375" style="23" customWidth="1"/>
    <col min="14567" max="14567" width="11.85546875" style="23" bestFit="1" customWidth="1"/>
    <col min="14568" max="14568" width="9.85546875" style="23" bestFit="1" customWidth="1"/>
    <col min="14569" max="14569" width="10.5703125" style="23" bestFit="1" customWidth="1"/>
    <col min="14570" max="14572" width="13.42578125" style="23" customWidth="1"/>
    <col min="14573" max="14573" width="19.140625" style="23" customWidth="1"/>
    <col min="14574" max="14574" width="13.42578125" style="23" customWidth="1"/>
    <col min="14575" max="14575" width="19.85546875" style="23" customWidth="1"/>
    <col min="14576" max="14576" width="16" style="23" customWidth="1"/>
    <col min="14577" max="14577" width="24.28515625" style="23" customWidth="1"/>
    <col min="14578" max="14583" width="10.85546875" style="23" customWidth="1"/>
    <col min="14584" max="14584" width="16.28515625" style="23" bestFit="1" customWidth="1"/>
    <col min="14585" max="14585" width="12.140625" style="23" bestFit="1" customWidth="1"/>
    <col min="14586" max="14588" width="10.85546875" style="23" customWidth="1"/>
    <col min="14589" max="14589" width="9.28515625" style="23" bestFit="1" customWidth="1"/>
    <col min="14590" max="14819" width="9.140625" style="23"/>
    <col min="14820" max="14821" width="54" style="23" customWidth="1"/>
    <col min="14822" max="14822" width="16.7109375" style="23" customWidth="1"/>
    <col min="14823" max="14823" width="11.85546875" style="23" bestFit="1" customWidth="1"/>
    <col min="14824" max="14824" width="9.85546875" style="23" bestFit="1" customWidth="1"/>
    <col min="14825" max="14825" width="10.5703125" style="23" bestFit="1" customWidth="1"/>
    <col min="14826" max="14828" width="13.42578125" style="23" customWidth="1"/>
    <col min="14829" max="14829" width="19.140625" style="23" customWidth="1"/>
    <col min="14830" max="14830" width="13.42578125" style="23" customWidth="1"/>
    <col min="14831" max="14831" width="19.85546875" style="23" customWidth="1"/>
    <col min="14832" max="14832" width="16" style="23" customWidth="1"/>
    <col min="14833" max="14833" width="24.28515625" style="23" customWidth="1"/>
    <col min="14834" max="14839" width="10.85546875" style="23" customWidth="1"/>
    <col min="14840" max="14840" width="16.28515625" style="23" bestFit="1" customWidth="1"/>
    <col min="14841" max="14841" width="12.140625" style="23" bestFit="1" customWidth="1"/>
    <col min="14842" max="14844" width="10.85546875" style="23" customWidth="1"/>
    <col min="14845" max="14845" width="9.28515625" style="23" bestFit="1" customWidth="1"/>
    <col min="14846" max="15075" width="9.140625" style="23"/>
    <col min="15076" max="15077" width="54" style="23" customWidth="1"/>
    <col min="15078" max="15078" width="16.7109375" style="23" customWidth="1"/>
    <col min="15079" max="15079" width="11.85546875" style="23" bestFit="1" customWidth="1"/>
    <col min="15080" max="15080" width="9.85546875" style="23" bestFit="1" customWidth="1"/>
    <col min="15081" max="15081" width="10.5703125" style="23" bestFit="1" customWidth="1"/>
    <col min="15082" max="15084" width="13.42578125" style="23" customWidth="1"/>
    <col min="15085" max="15085" width="19.140625" style="23" customWidth="1"/>
    <col min="15086" max="15086" width="13.42578125" style="23" customWidth="1"/>
    <col min="15087" max="15087" width="19.85546875" style="23" customWidth="1"/>
    <col min="15088" max="15088" width="16" style="23" customWidth="1"/>
    <col min="15089" max="15089" width="24.28515625" style="23" customWidth="1"/>
    <col min="15090" max="15095" width="10.85546875" style="23" customWidth="1"/>
    <col min="15096" max="15096" width="16.28515625" style="23" bestFit="1" customWidth="1"/>
    <col min="15097" max="15097" width="12.140625" style="23" bestFit="1" customWidth="1"/>
    <col min="15098" max="15100" width="10.85546875" style="23" customWidth="1"/>
    <col min="15101" max="15101" width="9.28515625" style="23" bestFit="1" customWidth="1"/>
    <col min="15102" max="15331" width="9.140625" style="23"/>
    <col min="15332" max="15333" width="54" style="23" customWidth="1"/>
    <col min="15334" max="15334" width="16.7109375" style="23" customWidth="1"/>
    <col min="15335" max="15335" width="11.85546875" style="23" bestFit="1" customWidth="1"/>
    <col min="15336" max="15336" width="9.85546875" style="23" bestFit="1" customWidth="1"/>
    <col min="15337" max="15337" width="10.5703125" style="23" bestFit="1" customWidth="1"/>
    <col min="15338" max="15340" width="13.42578125" style="23" customWidth="1"/>
    <col min="15341" max="15341" width="19.140625" style="23" customWidth="1"/>
    <col min="15342" max="15342" width="13.42578125" style="23" customWidth="1"/>
    <col min="15343" max="15343" width="19.85546875" style="23" customWidth="1"/>
    <col min="15344" max="15344" width="16" style="23" customWidth="1"/>
    <col min="15345" max="15345" width="24.28515625" style="23" customWidth="1"/>
    <col min="15346" max="15351" width="10.85546875" style="23" customWidth="1"/>
    <col min="15352" max="15352" width="16.28515625" style="23" bestFit="1" customWidth="1"/>
    <col min="15353" max="15353" width="12.140625" style="23" bestFit="1" customWidth="1"/>
    <col min="15354" max="15356" width="10.85546875" style="23" customWidth="1"/>
    <col min="15357" max="15357" width="9.28515625" style="23" bestFit="1" customWidth="1"/>
    <col min="15358" max="15587" width="9.140625" style="23"/>
    <col min="15588" max="15589" width="54" style="23" customWidth="1"/>
    <col min="15590" max="15590" width="16.7109375" style="23" customWidth="1"/>
    <col min="15591" max="15591" width="11.85546875" style="23" bestFit="1" customWidth="1"/>
    <col min="15592" max="15592" width="9.85546875" style="23" bestFit="1" customWidth="1"/>
    <col min="15593" max="15593" width="10.5703125" style="23" bestFit="1" customWidth="1"/>
    <col min="15594" max="15596" width="13.42578125" style="23" customWidth="1"/>
    <col min="15597" max="15597" width="19.140625" style="23" customWidth="1"/>
    <col min="15598" max="15598" width="13.42578125" style="23" customWidth="1"/>
    <col min="15599" max="15599" width="19.85546875" style="23" customWidth="1"/>
    <col min="15600" max="15600" width="16" style="23" customWidth="1"/>
    <col min="15601" max="15601" width="24.28515625" style="23" customWidth="1"/>
    <col min="15602" max="15607" width="10.85546875" style="23" customWidth="1"/>
    <col min="15608" max="15608" width="16.28515625" style="23" bestFit="1" customWidth="1"/>
    <col min="15609" max="15609" width="12.140625" style="23" bestFit="1" customWidth="1"/>
    <col min="15610" max="15612" width="10.85546875" style="23" customWidth="1"/>
    <col min="15613" max="15613" width="9.28515625" style="23" bestFit="1" customWidth="1"/>
    <col min="15614" max="15843" width="9.140625" style="23"/>
    <col min="15844" max="15845" width="54" style="23" customWidth="1"/>
    <col min="15846" max="15846" width="16.7109375" style="23" customWidth="1"/>
    <col min="15847" max="15847" width="11.85546875" style="23" bestFit="1" customWidth="1"/>
    <col min="15848" max="15848" width="9.85546875" style="23" bestFit="1" customWidth="1"/>
    <col min="15849" max="15849" width="10.5703125" style="23" bestFit="1" customWidth="1"/>
    <col min="15850" max="15852" width="13.42578125" style="23" customWidth="1"/>
    <col min="15853" max="15853" width="19.140625" style="23" customWidth="1"/>
    <col min="15854" max="15854" width="13.42578125" style="23" customWidth="1"/>
    <col min="15855" max="15855" width="19.85546875" style="23" customWidth="1"/>
    <col min="15856" max="15856" width="16" style="23" customWidth="1"/>
    <col min="15857" max="15857" width="24.28515625" style="23" customWidth="1"/>
    <col min="15858" max="15863" width="10.85546875" style="23" customWidth="1"/>
    <col min="15864" max="15864" width="16.28515625" style="23" bestFit="1" customWidth="1"/>
    <col min="15865" max="15865" width="12.140625" style="23" bestFit="1" customWidth="1"/>
    <col min="15866" max="15868" width="10.85546875" style="23" customWidth="1"/>
    <col min="15869" max="15869" width="9.28515625" style="23" bestFit="1" customWidth="1"/>
    <col min="15870" max="16099" width="9.140625" style="23"/>
    <col min="16100" max="16101" width="54" style="23" customWidth="1"/>
    <col min="16102" max="16102" width="16.7109375" style="23" customWidth="1"/>
    <col min="16103" max="16103" width="11.85546875" style="23" bestFit="1" customWidth="1"/>
    <col min="16104" max="16104" width="9.85546875" style="23" bestFit="1" customWidth="1"/>
    <col min="16105" max="16105" width="10.5703125" style="23" bestFit="1" customWidth="1"/>
    <col min="16106" max="16108" width="13.42578125" style="23" customWidth="1"/>
    <col min="16109" max="16109" width="19.140625" style="23" customWidth="1"/>
    <col min="16110" max="16110" width="13.42578125" style="23" customWidth="1"/>
    <col min="16111" max="16111" width="19.85546875" style="23" customWidth="1"/>
    <col min="16112" max="16112" width="16" style="23" customWidth="1"/>
    <col min="16113" max="16113" width="24.28515625" style="23" customWidth="1"/>
    <col min="16114" max="16119" width="10.85546875" style="23" customWidth="1"/>
    <col min="16120" max="16120" width="16.28515625" style="23" bestFit="1" customWidth="1"/>
    <col min="16121" max="16121" width="12.140625" style="23" bestFit="1" customWidth="1"/>
    <col min="16122" max="16124" width="10.85546875" style="23" customWidth="1"/>
    <col min="16125" max="16125" width="9.28515625" style="23" bestFit="1" customWidth="1"/>
    <col min="16126" max="16384" width="9.140625" style="23"/>
  </cols>
  <sheetData>
    <row r="1" spans="1:13" ht="91.5" customHeight="1" x14ac:dyDescent="0.2">
      <c r="A1" s="313" t="s">
        <v>361</v>
      </c>
      <c r="B1" s="314"/>
      <c r="C1" s="314"/>
      <c r="D1" s="314"/>
      <c r="E1" s="315"/>
      <c r="F1" s="312" t="s">
        <v>0</v>
      </c>
      <c r="G1" s="312"/>
      <c r="H1" s="303" t="s">
        <v>1</v>
      </c>
      <c r="I1" s="303"/>
      <c r="J1" s="303" t="s">
        <v>2</v>
      </c>
      <c r="K1" s="303"/>
      <c r="L1" s="304" t="s">
        <v>16</v>
      </c>
      <c r="M1" s="301" t="s">
        <v>3</v>
      </c>
    </row>
    <row r="2" spans="1:13" ht="36.75" customHeight="1" thickBot="1" x14ac:dyDescent="0.25">
      <c r="A2" s="24" t="s">
        <v>39</v>
      </c>
      <c r="B2" s="25" t="s">
        <v>40</v>
      </c>
      <c r="C2" s="316" t="s">
        <v>4</v>
      </c>
      <c r="D2" s="317"/>
      <c r="E2" s="318"/>
      <c r="F2" s="26" t="s">
        <v>5</v>
      </c>
      <c r="G2" s="27" t="s">
        <v>6</v>
      </c>
      <c r="H2" s="28" t="s">
        <v>14</v>
      </c>
      <c r="I2" s="25" t="s">
        <v>7</v>
      </c>
      <c r="J2" s="28" t="s">
        <v>15</v>
      </c>
      <c r="K2" s="25" t="s">
        <v>8</v>
      </c>
      <c r="L2" s="305"/>
      <c r="M2" s="302"/>
    </row>
    <row r="3" spans="1:13" ht="37.5" customHeight="1" thickTop="1" thickBot="1" x14ac:dyDescent="0.25">
      <c r="A3" s="29"/>
      <c r="B3" s="30" t="s">
        <v>362</v>
      </c>
      <c r="C3" s="272" t="s">
        <v>366</v>
      </c>
      <c r="D3" s="273"/>
      <c r="E3" s="273"/>
      <c r="F3" s="31"/>
      <c r="G3" s="32"/>
      <c r="H3" s="33"/>
      <c r="I3" s="34">
        <f>+I4+I8+I12+I17+I21</f>
        <v>0</v>
      </c>
      <c r="J3" s="33"/>
      <c r="K3" s="34">
        <f>+K4+K8+K12+K17+K21</f>
        <v>0</v>
      </c>
      <c r="L3" s="35"/>
      <c r="M3" s="34">
        <f>+M4+M8+M12+M17+M21</f>
        <v>0</v>
      </c>
    </row>
    <row r="4" spans="1:13" ht="30" customHeight="1" thickTop="1" x14ac:dyDescent="0.2">
      <c r="A4" s="69"/>
      <c r="B4" s="70" t="s">
        <v>41</v>
      </c>
      <c r="C4" s="274" t="s">
        <v>367</v>
      </c>
      <c r="D4" s="275"/>
      <c r="E4" s="275"/>
      <c r="F4" s="72"/>
      <c r="G4" s="73"/>
      <c r="H4" s="74"/>
      <c r="I4" s="75">
        <f>SUM(I5:I7)</f>
        <v>0</v>
      </c>
      <c r="J4" s="74"/>
      <c r="K4" s="75">
        <f>SUM(K5:K7)</f>
        <v>0</v>
      </c>
      <c r="L4" s="74"/>
      <c r="M4" s="75">
        <f>SUM(M5:M7)</f>
        <v>0</v>
      </c>
    </row>
    <row r="5" spans="1:13" ht="30" customHeight="1" x14ac:dyDescent="0.2">
      <c r="A5" s="36" t="s">
        <v>43</v>
      </c>
      <c r="B5" s="37" t="s">
        <v>363</v>
      </c>
      <c r="C5" s="276" t="s">
        <v>368</v>
      </c>
      <c r="D5" s="277"/>
      <c r="E5" s="278"/>
      <c r="F5" s="41" t="s">
        <v>30</v>
      </c>
      <c r="G5" s="42">
        <v>5986</v>
      </c>
      <c r="H5" s="1"/>
      <c r="I5" s="43">
        <f t="shared" ref="I5:I7" si="0">+H5*G5</f>
        <v>0</v>
      </c>
      <c r="J5" s="1"/>
      <c r="K5" s="43">
        <f t="shared" ref="K5:K7" si="1">+J5*G5</f>
        <v>0</v>
      </c>
      <c r="L5" s="44">
        <f t="shared" ref="L5:L7" si="2">+H5+J5</f>
        <v>0</v>
      </c>
      <c r="M5" s="43">
        <f t="shared" ref="M5:M7" si="3">L5*G5</f>
        <v>0</v>
      </c>
    </row>
    <row r="6" spans="1:13" ht="30" customHeight="1" x14ac:dyDescent="0.2">
      <c r="A6" s="36" t="s">
        <v>371</v>
      </c>
      <c r="B6" s="37" t="s">
        <v>364</v>
      </c>
      <c r="C6" s="276" t="s">
        <v>369</v>
      </c>
      <c r="D6" s="277"/>
      <c r="E6" s="278"/>
      <c r="F6" s="41" t="s">
        <v>30</v>
      </c>
      <c r="G6" s="42">
        <v>605</v>
      </c>
      <c r="H6" s="1"/>
      <c r="I6" s="43">
        <f t="shared" si="0"/>
        <v>0</v>
      </c>
      <c r="J6" s="1"/>
      <c r="K6" s="43">
        <f t="shared" si="1"/>
        <v>0</v>
      </c>
      <c r="L6" s="44">
        <f t="shared" si="2"/>
        <v>0</v>
      </c>
      <c r="M6" s="43">
        <f t="shared" si="3"/>
        <v>0</v>
      </c>
    </row>
    <row r="7" spans="1:13" ht="30" customHeight="1" x14ac:dyDescent="0.2">
      <c r="A7" s="36" t="s">
        <v>372</v>
      </c>
      <c r="B7" s="37" t="s">
        <v>365</v>
      </c>
      <c r="C7" s="276" t="s">
        <v>370</v>
      </c>
      <c r="D7" s="277"/>
      <c r="E7" s="278"/>
      <c r="F7" s="41" t="s">
        <v>77</v>
      </c>
      <c r="G7" s="42">
        <v>36</v>
      </c>
      <c r="H7" s="1"/>
      <c r="I7" s="43">
        <f t="shared" si="0"/>
        <v>0</v>
      </c>
      <c r="J7" s="1"/>
      <c r="K7" s="43">
        <f t="shared" si="1"/>
        <v>0</v>
      </c>
      <c r="L7" s="44">
        <f t="shared" si="2"/>
        <v>0</v>
      </c>
      <c r="M7" s="43">
        <f t="shared" si="3"/>
        <v>0</v>
      </c>
    </row>
    <row r="8" spans="1:13" ht="30" customHeight="1" x14ac:dyDescent="0.2">
      <c r="A8" s="76"/>
      <c r="B8" s="37" t="s">
        <v>42</v>
      </c>
      <c r="C8" s="270" t="s">
        <v>373</v>
      </c>
      <c r="D8" s="271"/>
      <c r="E8" s="271"/>
      <c r="F8" s="72"/>
      <c r="G8" s="73"/>
      <c r="H8" s="78"/>
      <c r="I8" s="79">
        <f>SUM(I9:I11)</f>
        <v>0</v>
      </c>
      <c r="J8" s="78"/>
      <c r="K8" s="79">
        <f>SUM(K9:K11)</f>
        <v>0</v>
      </c>
      <c r="L8" s="78"/>
      <c r="M8" s="79">
        <f>SUM(M9:M11)</f>
        <v>0</v>
      </c>
    </row>
    <row r="9" spans="1:13" ht="30" customHeight="1" x14ac:dyDescent="0.2">
      <c r="A9" s="36" t="s">
        <v>380</v>
      </c>
      <c r="B9" s="37" t="s">
        <v>374</v>
      </c>
      <c r="C9" s="295" t="s">
        <v>375</v>
      </c>
      <c r="D9" s="296"/>
      <c r="E9" s="297"/>
      <c r="F9" s="41" t="s">
        <v>77</v>
      </c>
      <c r="G9" s="42">
        <v>694</v>
      </c>
      <c r="H9" s="1"/>
      <c r="I9" s="43">
        <f t="shared" ref="I9:I11" si="4">+H9*G9</f>
        <v>0</v>
      </c>
      <c r="J9" s="1"/>
      <c r="K9" s="43">
        <f t="shared" ref="K9:K11" si="5">+J9*G9</f>
        <v>0</v>
      </c>
      <c r="L9" s="44">
        <f t="shared" ref="L9:L11" si="6">+H9+J9</f>
        <v>0</v>
      </c>
      <c r="M9" s="43">
        <f t="shared" ref="M9:M11" si="7">L9*G9</f>
        <v>0</v>
      </c>
    </row>
    <row r="10" spans="1:13" ht="30" customHeight="1" x14ac:dyDescent="0.2">
      <c r="A10" s="36" t="s">
        <v>380</v>
      </c>
      <c r="B10" s="37" t="s">
        <v>376</v>
      </c>
      <c r="C10" s="295" t="s">
        <v>377</v>
      </c>
      <c r="D10" s="296"/>
      <c r="E10" s="297"/>
      <c r="F10" s="41" t="s">
        <v>77</v>
      </c>
      <c r="G10" s="42">
        <v>240</v>
      </c>
      <c r="H10" s="1"/>
      <c r="I10" s="43">
        <f t="shared" si="4"/>
        <v>0</v>
      </c>
      <c r="J10" s="1"/>
      <c r="K10" s="43">
        <f t="shared" si="5"/>
        <v>0</v>
      </c>
      <c r="L10" s="44">
        <f t="shared" si="6"/>
        <v>0</v>
      </c>
      <c r="M10" s="43">
        <f t="shared" si="7"/>
        <v>0</v>
      </c>
    </row>
    <row r="11" spans="1:13" ht="30" customHeight="1" x14ac:dyDescent="0.2">
      <c r="A11" s="36" t="s">
        <v>380</v>
      </c>
      <c r="B11" s="37" t="s">
        <v>378</v>
      </c>
      <c r="C11" s="295" t="s">
        <v>379</v>
      </c>
      <c r="D11" s="296"/>
      <c r="E11" s="297"/>
      <c r="F11" s="41" t="s">
        <v>77</v>
      </c>
      <c r="G11" s="42">
        <v>275</v>
      </c>
      <c r="H11" s="1"/>
      <c r="I11" s="43">
        <f t="shared" si="4"/>
        <v>0</v>
      </c>
      <c r="J11" s="1"/>
      <c r="K11" s="43">
        <f t="shared" si="5"/>
        <v>0</v>
      </c>
      <c r="L11" s="44">
        <f t="shared" si="6"/>
        <v>0</v>
      </c>
      <c r="M11" s="43">
        <f t="shared" si="7"/>
        <v>0</v>
      </c>
    </row>
    <row r="12" spans="1:13" ht="30" customHeight="1" x14ac:dyDescent="0.2">
      <c r="A12" s="76"/>
      <c r="B12" s="37" t="s">
        <v>381</v>
      </c>
      <c r="C12" s="270" t="s">
        <v>382</v>
      </c>
      <c r="D12" s="271"/>
      <c r="E12" s="271"/>
      <c r="F12" s="72"/>
      <c r="G12" s="73"/>
      <c r="H12" s="78"/>
      <c r="I12" s="79">
        <f>SUM(I13:I16)</f>
        <v>0</v>
      </c>
      <c r="J12" s="78"/>
      <c r="K12" s="79">
        <f>SUM(K13:K16)</f>
        <v>0</v>
      </c>
      <c r="L12" s="78"/>
      <c r="M12" s="79">
        <f>SUM(M13:M16)</f>
        <v>0</v>
      </c>
    </row>
    <row r="13" spans="1:13" ht="30" customHeight="1" x14ac:dyDescent="0.2">
      <c r="A13" s="85" t="s">
        <v>383</v>
      </c>
      <c r="B13" s="37" t="s">
        <v>384</v>
      </c>
      <c r="C13" s="289" t="s">
        <v>385</v>
      </c>
      <c r="D13" s="290"/>
      <c r="E13" s="291"/>
      <c r="F13" s="41" t="s">
        <v>77</v>
      </c>
      <c r="G13" s="42">
        <v>879</v>
      </c>
      <c r="H13" s="1"/>
      <c r="I13" s="43">
        <f t="shared" ref="I13:I16" si="8">+H13*G13</f>
        <v>0</v>
      </c>
      <c r="J13" s="1"/>
      <c r="K13" s="43">
        <f t="shared" ref="K13:K16" si="9">+J13*G13</f>
        <v>0</v>
      </c>
      <c r="L13" s="44">
        <f t="shared" ref="L13:L16" si="10">+H13+J13</f>
        <v>0</v>
      </c>
      <c r="M13" s="43">
        <f t="shared" ref="M13:M16" si="11">L13*G13</f>
        <v>0</v>
      </c>
    </row>
    <row r="14" spans="1:13" ht="30" customHeight="1" x14ac:dyDescent="0.2">
      <c r="A14" s="85" t="s">
        <v>383</v>
      </c>
      <c r="B14" s="37" t="s">
        <v>386</v>
      </c>
      <c r="C14" s="289" t="s">
        <v>387</v>
      </c>
      <c r="D14" s="290"/>
      <c r="E14" s="291"/>
      <c r="F14" s="41" t="s">
        <v>392</v>
      </c>
      <c r="G14" s="42">
        <v>12</v>
      </c>
      <c r="H14" s="1"/>
      <c r="I14" s="43">
        <f t="shared" ref="I14:I15" si="12">+H14*G14</f>
        <v>0</v>
      </c>
      <c r="J14" s="1"/>
      <c r="K14" s="43">
        <f t="shared" ref="K14:K15" si="13">+J14*G14</f>
        <v>0</v>
      </c>
      <c r="L14" s="44">
        <f t="shared" ref="L14:L15" si="14">+H14+J14</f>
        <v>0</v>
      </c>
      <c r="M14" s="43">
        <f t="shared" ref="M14:M15" si="15">L14*G14</f>
        <v>0</v>
      </c>
    </row>
    <row r="15" spans="1:13" ht="30" customHeight="1" x14ac:dyDescent="0.2">
      <c r="A15" s="85" t="s">
        <v>383</v>
      </c>
      <c r="B15" s="37" t="s">
        <v>388</v>
      </c>
      <c r="C15" s="289" t="s">
        <v>389</v>
      </c>
      <c r="D15" s="290"/>
      <c r="E15" s="291"/>
      <c r="F15" s="41" t="s">
        <v>392</v>
      </c>
      <c r="G15" s="42">
        <v>2</v>
      </c>
      <c r="H15" s="1"/>
      <c r="I15" s="43">
        <f t="shared" si="12"/>
        <v>0</v>
      </c>
      <c r="J15" s="1"/>
      <c r="K15" s="43">
        <f t="shared" si="13"/>
        <v>0</v>
      </c>
      <c r="L15" s="44">
        <f t="shared" si="14"/>
        <v>0</v>
      </c>
      <c r="M15" s="43">
        <f t="shared" si="15"/>
        <v>0</v>
      </c>
    </row>
    <row r="16" spans="1:13" ht="42.75" customHeight="1" x14ac:dyDescent="0.2">
      <c r="A16" s="85" t="s">
        <v>383</v>
      </c>
      <c r="B16" s="37" t="s">
        <v>390</v>
      </c>
      <c r="C16" s="289" t="s">
        <v>391</v>
      </c>
      <c r="D16" s="290"/>
      <c r="E16" s="291"/>
      <c r="F16" s="41" t="s">
        <v>393</v>
      </c>
      <c r="G16" s="42">
        <v>1</v>
      </c>
      <c r="H16" s="1"/>
      <c r="I16" s="43">
        <f t="shared" si="8"/>
        <v>0</v>
      </c>
      <c r="J16" s="1"/>
      <c r="K16" s="43">
        <f t="shared" si="9"/>
        <v>0</v>
      </c>
      <c r="L16" s="44">
        <f t="shared" si="10"/>
        <v>0</v>
      </c>
      <c r="M16" s="43">
        <f t="shared" si="11"/>
        <v>0</v>
      </c>
    </row>
    <row r="17" spans="1:13" ht="30" customHeight="1" x14ac:dyDescent="0.2">
      <c r="A17" s="76"/>
      <c r="B17" s="37" t="s">
        <v>394</v>
      </c>
      <c r="C17" s="270" t="s">
        <v>395</v>
      </c>
      <c r="D17" s="271"/>
      <c r="E17" s="271"/>
      <c r="F17" s="72"/>
      <c r="G17" s="73"/>
      <c r="H17" s="78"/>
      <c r="I17" s="79">
        <f>SUM(I18:I20)</f>
        <v>0</v>
      </c>
      <c r="J17" s="78"/>
      <c r="K17" s="79">
        <f>SUM(K18:K20)</f>
        <v>0</v>
      </c>
      <c r="L17" s="78"/>
      <c r="M17" s="79">
        <f>SUM(M18:M20)</f>
        <v>0</v>
      </c>
    </row>
    <row r="18" spans="1:13" ht="43.5" customHeight="1" x14ac:dyDescent="0.2">
      <c r="A18" s="85" t="s">
        <v>396</v>
      </c>
      <c r="B18" s="37" t="s">
        <v>397</v>
      </c>
      <c r="C18" s="295" t="s">
        <v>2335</v>
      </c>
      <c r="D18" s="296"/>
      <c r="E18" s="297"/>
      <c r="F18" s="41" t="s">
        <v>77</v>
      </c>
      <c r="G18" s="42">
        <v>27</v>
      </c>
      <c r="H18" s="1"/>
      <c r="I18" s="43">
        <f t="shared" ref="I18:I20" si="16">+H18*G18</f>
        <v>0</v>
      </c>
      <c r="J18" s="1"/>
      <c r="K18" s="43">
        <f t="shared" ref="K18:K20" si="17">+J18*G18</f>
        <v>0</v>
      </c>
      <c r="L18" s="44">
        <f t="shared" ref="L18:L20" si="18">+H18+J18</f>
        <v>0</v>
      </c>
      <c r="M18" s="43">
        <f t="shared" ref="M18:M20" si="19">L18*G18</f>
        <v>0</v>
      </c>
    </row>
    <row r="19" spans="1:13" ht="44.25" customHeight="1" x14ac:dyDescent="0.2">
      <c r="A19" s="85" t="s">
        <v>396</v>
      </c>
      <c r="B19" s="37" t="s">
        <v>398</v>
      </c>
      <c r="C19" s="295" t="s">
        <v>399</v>
      </c>
      <c r="D19" s="296"/>
      <c r="E19" s="297"/>
      <c r="F19" s="41" t="s">
        <v>30</v>
      </c>
      <c r="G19" s="42">
        <v>4</v>
      </c>
      <c r="H19" s="1"/>
      <c r="I19" s="43">
        <f t="shared" si="16"/>
        <v>0</v>
      </c>
      <c r="J19" s="1"/>
      <c r="K19" s="43">
        <f t="shared" si="17"/>
        <v>0</v>
      </c>
      <c r="L19" s="44">
        <f t="shared" si="18"/>
        <v>0</v>
      </c>
      <c r="M19" s="43">
        <f t="shared" si="19"/>
        <v>0</v>
      </c>
    </row>
    <row r="20" spans="1:13" ht="30" customHeight="1" x14ac:dyDescent="0.2">
      <c r="A20" s="85" t="s">
        <v>400</v>
      </c>
      <c r="B20" s="37" t="s">
        <v>401</v>
      </c>
      <c r="C20" s="295" t="s">
        <v>402</v>
      </c>
      <c r="D20" s="296"/>
      <c r="E20" s="297"/>
      <c r="F20" s="41" t="s">
        <v>77</v>
      </c>
      <c r="G20" s="42">
        <v>275</v>
      </c>
      <c r="H20" s="1"/>
      <c r="I20" s="43">
        <f t="shared" si="16"/>
        <v>0</v>
      </c>
      <c r="J20" s="1"/>
      <c r="K20" s="43">
        <f t="shared" si="17"/>
        <v>0</v>
      </c>
      <c r="L20" s="44">
        <f t="shared" si="18"/>
        <v>0</v>
      </c>
      <c r="M20" s="43">
        <f t="shared" si="19"/>
        <v>0</v>
      </c>
    </row>
    <row r="21" spans="1:13" ht="30" customHeight="1" x14ac:dyDescent="0.2">
      <c r="A21" s="76"/>
      <c r="B21" s="37" t="s">
        <v>413</v>
      </c>
      <c r="C21" s="270" t="s">
        <v>414</v>
      </c>
      <c r="D21" s="271"/>
      <c r="E21" s="271"/>
      <c r="F21" s="72"/>
      <c r="G21" s="73"/>
      <c r="H21" s="78"/>
      <c r="I21" s="79">
        <f>SUM(I22)</f>
        <v>0</v>
      </c>
      <c r="J21" s="78"/>
      <c r="K21" s="79">
        <f>SUM(K22)</f>
        <v>0</v>
      </c>
      <c r="L21" s="78"/>
      <c r="M21" s="79">
        <f>SUM(M22)</f>
        <v>0</v>
      </c>
    </row>
    <row r="22" spans="1:13" ht="30" customHeight="1" thickBot="1" x14ac:dyDescent="0.25">
      <c r="A22" s="85" t="s">
        <v>162</v>
      </c>
      <c r="B22" s="37" t="s">
        <v>415</v>
      </c>
      <c r="C22" s="325" t="s">
        <v>416</v>
      </c>
      <c r="D22" s="326"/>
      <c r="E22" s="327"/>
      <c r="F22" s="41" t="s">
        <v>30</v>
      </c>
      <c r="G22" s="42">
        <v>374</v>
      </c>
      <c r="H22" s="1"/>
      <c r="I22" s="43">
        <f t="shared" ref="I22" si="20">+H22*G22</f>
        <v>0</v>
      </c>
      <c r="J22" s="1"/>
      <c r="K22" s="43">
        <f t="shared" ref="K22" si="21">+J22*G22</f>
        <v>0</v>
      </c>
      <c r="L22" s="44">
        <f t="shared" ref="L22" si="22">+H22+J22</f>
        <v>0</v>
      </c>
      <c r="M22" s="43">
        <f t="shared" ref="M22" si="23">L22*G22</f>
        <v>0</v>
      </c>
    </row>
    <row r="23" spans="1:13" ht="37.5" customHeight="1" thickTop="1" thickBot="1" x14ac:dyDescent="0.25">
      <c r="A23" s="65"/>
      <c r="B23" s="30" t="s">
        <v>403</v>
      </c>
      <c r="C23" s="272" t="s">
        <v>404</v>
      </c>
      <c r="D23" s="273"/>
      <c r="E23" s="273"/>
      <c r="F23" s="31"/>
      <c r="G23" s="32"/>
      <c r="H23" s="33"/>
      <c r="I23" s="34">
        <f>SUM(I24:I26)</f>
        <v>0</v>
      </c>
      <c r="J23" s="33"/>
      <c r="K23" s="34">
        <f>SUM(K24:K26)</f>
        <v>0</v>
      </c>
      <c r="L23" s="35"/>
      <c r="M23" s="34">
        <f>SUM(M24:M26)</f>
        <v>0</v>
      </c>
    </row>
    <row r="24" spans="1:13" ht="30" customHeight="1" thickTop="1" x14ac:dyDescent="0.2">
      <c r="A24" s="86" t="s">
        <v>43</v>
      </c>
      <c r="B24" s="66" t="s">
        <v>44</v>
      </c>
      <c r="C24" s="319" t="s">
        <v>405</v>
      </c>
      <c r="D24" s="320"/>
      <c r="E24" s="321"/>
      <c r="F24" s="56" t="s">
        <v>30</v>
      </c>
      <c r="G24" s="57">
        <v>5873</v>
      </c>
      <c r="H24" s="3"/>
      <c r="I24" s="58">
        <f t="shared" ref="I24:I26" si="24">+H24*G24</f>
        <v>0</v>
      </c>
      <c r="J24" s="3"/>
      <c r="K24" s="58">
        <f t="shared" ref="K24:K26" si="25">+J24*G24</f>
        <v>0</v>
      </c>
      <c r="L24" s="59">
        <f t="shared" ref="L24:L26" si="26">+H24+J24</f>
        <v>0</v>
      </c>
      <c r="M24" s="58">
        <f t="shared" ref="M24:M26" si="27">L24*G24</f>
        <v>0</v>
      </c>
    </row>
    <row r="25" spans="1:13" ht="30" customHeight="1" x14ac:dyDescent="0.2">
      <c r="A25" s="86" t="s">
        <v>43</v>
      </c>
      <c r="B25" s="67" t="s">
        <v>45</v>
      </c>
      <c r="C25" s="276" t="s">
        <v>406</v>
      </c>
      <c r="D25" s="277"/>
      <c r="E25" s="278"/>
      <c r="F25" s="41" t="s">
        <v>30</v>
      </c>
      <c r="G25" s="42">
        <v>710</v>
      </c>
      <c r="H25" s="1"/>
      <c r="I25" s="43">
        <f t="shared" si="24"/>
        <v>0</v>
      </c>
      <c r="J25" s="1"/>
      <c r="K25" s="43">
        <f t="shared" si="25"/>
        <v>0</v>
      </c>
      <c r="L25" s="44">
        <f t="shared" si="26"/>
        <v>0</v>
      </c>
      <c r="M25" s="43">
        <f t="shared" si="27"/>
        <v>0</v>
      </c>
    </row>
    <row r="26" spans="1:13" ht="30" customHeight="1" thickBot="1" x14ac:dyDescent="0.25">
      <c r="A26" s="86" t="s">
        <v>43</v>
      </c>
      <c r="B26" s="67" t="s">
        <v>46</v>
      </c>
      <c r="C26" s="298" t="s">
        <v>407</v>
      </c>
      <c r="D26" s="299"/>
      <c r="E26" s="300"/>
      <c r="F26" s="41" t="s">
        <v>30</v>
      </c>
      <c r="G26" s="42">
        <v>6583</v>
      </c>
      <c r="H26" s="1"/>
      <c r="I26" s="43">
        <f t="shared" si="24"/>
        <v>0</v>
      </c>
      <c r="J26" s="1"/>
      <c r="K26" s="43">
        <f t="shared" si="25"/>
        <v>0</v>
      </c>
      <c r="L26" s="44">
        <f t="shared" si="26"/>
        <v>0</v>
      </c>
      <c r="M26" s="43">
        <f t="shared" si="27"/>
        <v>0</v>
      </c>
    </row>
    <row r="27" spans="1:13" ht="37.5" customHeight="1" thickTop="1" thickBot="1" x14ac:dyDescent="0.25">
      <c r="A27" s="65"/>
      <c r="B27" s="30" t="s">
        <v>408</v>
      </c>
      <c r="C27" s="272" t="s">
        <v>409</v>
      </c>
      <c r="D27" s="273"/>
      <c r="E27" s="273"/>
      <c r="F27" s="31"/>
      <c r="G27" s="32"/>
      <c r="H27" s="33"/>
      <c r="I27" s="34">
        <f>SUM(I28:I29)</f>
        <v>0</v>
      </c>
      <c r="J27" s="33"/>
      <c r="K27" s="34">
        <f>SUM(K28:K29)</f>
        <v>0</v>
      </c>
      <c r="L27" s="35"/>
      <c r="M27" s="34">
        <f>SUM(M28:M29)</f>
        <v>0</v>
      </c>
    </row>
    <row r="28" spans="1:13" ht="30" customHeight="1" thickTop="1" x14ac:dyDescent="0.2">
      <c r="A28" s="86" t="s">
        <v>43</v>
      </c>
      <c r="B28" s="66" t="s">
        <v>51</v>
      </c>
      <c r="C28" s="280" t="s">
        <v>410</v>
      </c>
      <c r="D28" s="281"/>
      <c r="E28" s="282"/>
      <c r="F28" s="56"/>
      <c r="G28" s="57"/>
      <c r="H28" s="3"/>
      <c r="I28" s="58">
        <f t="shared" ref="I28:I29" si="28">+H28*G28</f>
        <v>0</v>
      </c>
      <c r="J28" s="3"/>
      <c r="K28" s="58">
        <f t="shared" ref="K28:K29" si="29">+J28*G28</f>
        <v>0</v>
      </c>
      <c r="L28" s="59">
        <f t="shared" ref="L28:L29" si="30">+H28+J28</f>
        <v>0</v>
      </c>
      <c r="M28" s="58">
        <f t="shared" ref="M28:M29" si="31">L28*G28</f>
        <v>0</v>
      </c>
    </row>
    <row r="29" spans="1:13" ht="30" customHeight="1" thickBot="1" x14ac:dyDescent="0.25">
      <c r="A29" s="86" t="s">
        <v>56</v>
      </c>
      <c r="B29" s="67" t="s">
        <v>52</v>
      </c>
      <c r="C29" s="322" t="s">
        <v>411</v>
      </c>
      <c r="D29" s="323"/>
      <c r="E29" s="324"/>
      <c r="F29" s="41"/>
      <c r="G29" s="42"/>
      <c r="H29" s="1"/>
      <c r="I29" s="43">
        <f t="shared" si="28"/>
        <v>0</v>
      </c>
      <c r="J29" s="1"/>
      <c r="K29" s="43">
        <f t="shared" si="29"/>
        <v>0</v>
      </c>
      <c r="L29" s="44">
        <f t="shared" si="30"/>
        <v>0</v>
      </c>
      <c r="M29" s="43">
        <f t="shared" si="31"/>
        <v>0</v>
      </c>
    </row>
    <row r="30" spans="1:13" ht="37.5" customHeight="1" thickTop="1" thickBot="1" x14ac:dyDescent="0.25">
      <c r="A30" s="65"/>
      <c r="B30" s="30" t="s">
        <v>412</v>
      </c>
      <c r="C30" s="272" t="s">
        <v>1393</v>
      </c>
      <c r="D30" s="273"/>
      <c r="E30" s="273"/>
      <c r="F30" s="31"/>
      <c r="G30" s="32"/>
      <c r="H30" s="33"/>
      <c r="I30" s="34">
        <f>SUM(I31:I31)</f>
        <v>0</v>
      </c>
      <c r="J30" s="33"/>
      <c r="K30" s="34">
        <f>SUM(K31:K31)</f>
        <v>0</v>
      </c>
      <c r="L30" s="35"/>
      <c r="M30" s="34">
        <f>SUM(M31:M31)</f>
        <v>0</v>
      </c>
    </row>
    <row r="31" spans="1:13" ht="125.25" customHeight="1" thickTop="1" thickBot="1" x14ac:dyDescent="0.25">
      <c r="A31" s="86"/>
      <c r="B31" s="66" t="s">
        <v>59</v>
      </c>
      <c r="C31" s="280" t="s">
        <v>2336</v>
      </c>
      <c r="D31" s="281"/>
      <c r="E31" s="282"/>
      <c r="F31" s="56" t="s">
        <v>18</v>
      </c>
      <c r="G31" s="57">
        <v>1</v>
      </c>
      <c r="H31" s="3"/>
      <c r="I31" s="58">
        <f t="shared" ref="I31" si="32">+H31*G31</f>
        <v>0</v>
      </c>
      <c r="J31" s="3"/>
      <c r="K31" s="58">
        <f t="shared" ref="K31" si="33">+J31*G31</f>
        <v>0</v>
      </c>
      <c r="L31" s="59">
        <f t="shared" ref="L31" si="34">+H31+J31</f>
        <v>0</v>
      </c>
      <c r="M31" s="58">
        <f t="shared" ref="M31" si="35">L31*G31</f>
        <v>0</v>
      </c>
    </row>
    <row r="32" spans="1:13" ht="37.5" customHeight="1" thickTop="1" thickBot="1" x14ac:dyDescent="0.25">
      <c r="A32" s="29"/>
      <c r="B32" s="30">
        <v>5</v>
      </c>
      <c r="C32" s="272" t="s">
        <v>2337</v>
      </c>
      <c r="D32" s="273"/>
      <c r="E32" s="273"/>
      <c r="F32" s="31"/>
      <c r="G32" s="32"/>
      <c r="H32" s="33"/>
      <c r="I32" s="34">
        <f>+I33+I37+I42</f>
        <v>0</v>
      </c>
      <c r="J32" s="33"/>
      <c r="K32" s="34">
        <f>+K33+K37+K42</f>
        <v>0</v>
      </c>
      <c r="L32" s="35"/>
      <c r="M32" s="34">
        <f>+M33+M37+M42</f>
        <v>0</v>
      </c>
    </row>
    <row r="33" spans="1:13" ht="30" customHeight="1" thickTop="1" x14ac:dyDescent="0.2">
      <c r="A33" s="69"/>
      <c r="B33" s="70" t="s">
        <v>93</v>
      </c>
      <c r="C33" s="274" t="s">
        <v>2338</v>
      </c>
      <c r="D33" s="275"/>
      <c r="E33" s="275"/>
      <c r="F33" s="72"/>
      <c r="G33" s="73"/>
      <c r="H33" s="74"/>
      <c r="I33" s="75">
        <f>SUM(I34:I36)</f>
        <v>0</v>
      </c>
      <c r="J33" s="74"/>
      <c r="K33" s="75">
        <f>SUM(K34:K36)</f>
        <v>0</v>
      </c>
      <c r="L33" s="74"/>
      <c r="M33" s="75">
        <f>SUM(M34:M36)</f>
        <v>0</v>
      </c>
    </row>
    <row r="34" spans="1:13" ht="30" customHeight="1" x14ac:dyDescent="0.2">
      <c r="A34" s="36" t="s">
        <v>2339</v>
      </c>
      <c r="B34" s="37" t="s">
        <v>96</v>
      </c>
      <c r="C34" s="276" t="s">
        <v>2340</v>
      </c>
      <c r="D34" s="277"/>
      <c r="E34" s="278"/>
      <c r="F34" s="41" t="s">
        <v>392</v>
      </c>
      <c r="G34" s="42">
        <v>12</v>
      </c>
      <c r="H34" s="1"/>
      <c r="I34" s="43">
        <f t="shared" ref="I34" si="36">+H34*G34</f>
        <v>0</v>
      </c>
      <c r="J34" s="1"/>
      <c r="K34" s="43">
        <f t="shared" ref="K34" si="37">+J34*G34</f>
        <v>0</v>
      </c>
      <c r="L34" s="44">
        <f t="shared" ref="L34" si="38">+H34+J34</f>
        <v>0</v>
      </c>
      <c r="M34" s="43">
        <f t="shared" ref="M34" si="39">L34*G34</f>
        <v>0</v>
      </c>
    </row>
    <row r="35" spans="1:13" ht="30" customHeight="1" x14ac:dyDescent="0.2">
      <c r="A35" s="36" t="s">
        <v>2339</v>
      </c>
      <c r="B35" s="37" t="s">
        <v>1154</v>
      </c>
      <c r="C35" s="276" t="s">
        <v>2341</v>
      </c>
      <c r="D35" s="277"/>
      <c r="E35" s="278"/>
      <c r="F35" s="41" t="s">
        <v>392</v>
      </c>
      <c r="G35" s="42">
        <v>2</v>
      </c>
      <c r="H35" s="1"/>
      <c r="I35" s="43">
        <f t="shared" ref="I35:I36" si="40">+H35*G35</f>
        <v>0</v>
      </c>
      <c r="J35" s="1"/>
      <c r="K35" s="43">
        <f t="shared" ref="K35:K36" si="41">+J35*G35</f>
        <v>0</v>
      </c>
      <c r="L35" s="44">
        <f t="shared" ref="L35:L36" si="42">+H35+J35</f>
        <v>0</v>
      </c>
      <c r="M35" s="43">
        <f t="shared" ref="M35:M36" si="43">L35*G35</f>
        <v>0</v>
      </c>
    </row>
    <row r="36" spans="1:13" ht="30" customHeight="1" x14ac:dyDescent="0.2">
      <c r="A36" s="36" t="s">
        <v>2339</v>
      </c>
      <c r="B36" s="87" t="s">
        <v>1155</v>
      </c>
      <c r="C36" s="283" t="s">
        <v>2342</v>
      </c>
      <c r="D36" s="284"/>
      <c r="E36" s="285"/>
      <c r="F36" s="41" t="s">
        <v>392</v>
      </c>
      <c r="G36" s="42">
        <v>4</v>
      </c>
      <c r="H36" s="1"/>
      <c r="I36" s="43">
        <f t="shared" si="40"/>
        <v>0</v>
      </c>
      <c r="J36" s="1"/>
      <c r="K36" s="43">
        <f t="shared" si="41"/>
        <v>0</v>
      </c>
      <c r="L36" s="44">
        <f t="shared" si="42"/>
        <v>0</v>
      </c>
      <c r="M36" s="43">
        <f t="shared" si="43"/>
        <v>0</v>
      </c>
    </row>
    <row r="37" spans="1:13" ht="30" customHeight="1" x14ac:dyDescent="0.2">
      <c r="A37" s="76"/>
      <c r="B37" s="37" t="s">
        <v>98</v>
      </c>
      <c r="C37" s="270" t="s">
        <v>2343</v>
      </c>
      <c r="D37" s="271"/>
      <c r="E37" s="271"/>
      <c r="F37" s="72"/>
      <c r="G37" s="73"/>
      <c r="H37" s="74"/>
      <c r="I37" s="75">
        <f>SUM(I38:I41)</f>
        <v>0</v>
      </c>
      <c r="J37" s="74"/>
      <c r="K37" s="75">
        <f>SUM(K38:K41)</f>
        <v>0</v>
      </c>
      <c r="L37" s="74"/>
      <c r="M37" s="75">
        <f>SUM(M38:M41)</f>
        <v>0</v>
      </c>
    </row>
    <row r="38" spans="1:13" ht="30" customHeight="1" x14ac:dyDescent="0.2">
      <c r="A38" s="36" t="s">
        <v>2339</v>
      </c>
      <c r="B38" s="37" t="s">
        <v>99</v>
      </c>
      <c r="C38" s="276" t="s">
        <v>2344</v>
      </c>
      <c r="D38" s="277"/>
      <c r="E38" s="278"/>
      <c r="F38" s="41" t="s">
        <v>392</v>
      </c>
      <c r="G38" s="42">
        <v>324</v>
      </c>
      <c r="H38" s="1"/>
      <c r="I38" s="43">
        <f t="shared" ref="I38:I39" si="44">+H38*G38</f>
        <v>0</v>
      </c>
      <c r="J38" s="1"/>
      <c r="K38" s="43">
        <f t="shared" ref="K38:K39" si="45">+J38*G38</f>
        <v>0</v>
      </c>
      <c r="L38" s="44">
        <f t="shared" ref="L38:L39" si="46">+H38+J38</f>
        <v>0</v>
      </c>
      <c r="M38" s="43">
        <f t="shared" ref="M38:M39" si="47">L38*G38</f>
        <v>0</v>
      </c>
    </row>
    <row r="39" spans="1:13" ht="30" customHeight="1" x14ac:dyDescent="0.2">
      <c r="A39" s="36" t="s">
        <v>2339</v>
      </c>
      <c r="B39" s="37" t="s">
        <v>1161</v>
      </c>
      <c r="C39" s="276" t="s">
        <v>2345</v>
      </c>
      <c r="D39" s="277"/>
      <c r="E39" s="278"/>
      <c r="F39" s="41" t="s">
        <v>392</v>
      </c>
      <c r="G39" s="42">
        <v>360</v>
      </c>
      <c r="H39" s="1"/>
      <c r="I39" s="43">
        <f t="shared" si="44"/>
        <v>0</v>
      </c>
      <c r="J39" s="1"/>
      <c r="K39" s="43">
        <f t="shared" si="45"/>
        <v>0</v>
      </c>
      <c r="L39" s="44">
        <f t="shared" si="46"/>
        <v>0</v>
      </c>
      <c r="M39" s="43">
        <f t="shared" si="47"/>
        <v>0</v>
      </c>
    </row>
    <row r="40" spans="1:13" ht="30" customHeight="1" x14ac:dyDescent="0.2">
      <c r="A40" s="36" t="s">
        <v>2339</v>
      </c>
      <c r="B40" s="37" t="s">
        <v>1162</v>
      </c>
      <c r="C40" s="276" t="s">
        <v>2346</v>
      </c>
      <c r="D40" s="277"/>
      <c r="E40" s="278"/>
      <c r="F40" s="41" t="s">
        <v>392</v>
      </c>
      <c r="G40" s="42">
        <v>410</v>
      </c>
      <c r="H40" s="1"/>
      <c r="I40" s="43">
        <f t="shared" ref="I40:I41" si="48">+H40*G40</f>
        <v>0</v>
      </c>
      <c r="J40" s="1"/>
      <c r="K40" s="43">
        <f t="shared" ref="K40:K41" si="49">+J40*G40</f>
        <v>0</v>
      </c>
      <c r="L40" s="44">
        <f t="shared" ref="L40:L41" si="50">+H40+J40</f>
        <v>0</v>
      </c>
      <c r="M40" s="43">
        <f t="shared" ref="M40:M41" si="51">L40*G40</f>
        <v>0</v>
      </c>
    </row>
    <row r="41" spans="1:13" ht="30" customHeight="1" x14ac:dyDescent="0.2">
      <c r="A41" s="36" t="s">
        <v>2339</v>
      </c>
      <c r="B41" s="87" t="s">
        <v>1163</v>
      </c>
      <c r="C41" s="283" t="s">
        <v>2347</v>
      </c>
      <c r="D41" s="284"/>
      <c r="E41" s="285"/>
      <c r="F41" s="41" t="s">
        <v>30</v>
      </c>
      <c r="G41" s="42">
        <v>849</v>
      </c>
      <c r="H41" s="1"/>
      <c r="I41" s="43">
        <f t="shared" si="48"/>
        <v>0</v>
      </c>
      <c r="J41" s="1"/>
      <c r="K41" s="43">
        <f t="shared" si="49"/>
        <v>0</v>
      </c>
      <c r="L41" s="44">
        <f t="shared" si="50"/>
        <v>0</v>
      </c>
      <c r="M41" s="43">
        <f t="shared" si="51"/>
        <v>0</v>
      </c>
    </row>
    <row r="42" spans="1:13" ht="30" customHeight="1" x14ac:dyDescent="0.2">
      <c r="A42" s="76"/>
      <c r="B42" s="37" t="s">
        <v>102</v>
      </c>
      <c r="C42" s="270" t="s">
        <v>2348</v>
      </c>
      <c r="D42" s="271"/>
      <c r="E42" s="271"/>
      <c r="F42" s="72"/>
      <c r="G42" s="73"/>
      <c r="H42" s="74"/>
      <c r="I42" s="75">
        <f>SUM(I43:I44)</f>
        <v>0</v>
      </c>
      <c r="J42" s="74"/>
      <c r="K42" s="75">
        <f>SUM(K43:K44)</f>
        <v>0</v>
      </c>
      <c r="L42" s="74"/>
      <c r="M42" s="75">
        <f>SUM(M43:M44)</f>
        <v>0</v>
      </c>
    </row>
    <row r="43" spans="1:13" ht="30" customHeight="1" x14ac:dyDescent="0.2">
      <c r="A43" s="36"/>
      <c r="B43" s="37" t="s">
        <v>105</v>
      </c>
      <c r="C43" s="276" t="s">
        <v>2349</v>
      </c>
      <c r="D43" s="277"/>
      <c r="E43" s="278"/>
      <c r="F43" s="41" t="s">
        <v>223</v>
      </c>
      <c r="G43" s="42">
        <v>600</v>
      </c>
      <c r="H43" s="1"/>
      <c r="I43" s="43">
        <f t="shared" ref="I43:I44" si="52">+H43*G43</f>
        <v>0</v>
      </c>
      <c r="J43" s="1"/>
      <c r="K43" s="43">
        <f t="shared" ref="K43:K44" si="53">+J43*G43</f>
        <v>0</v>
      </c>
      <c r="L43" s="44">
        <f t="shared" ref="L43:L44" si="54">+H43+J43</f>
        <v>0</v>
      </c>
      <c r="M43" s="43">
        <f t="shared" ref="M43:M44" si="55">L43*G43</f>
        <v>0</v>
      </c>
    </row>
    <row r="44" spans="1:13" ht="30" customHeight="1" x14ac:dyDescent="0.2">
      <c r="A44" s="36"/>
      <c r="B44" s="37" t="s">
        <v>106</v>
      </c>
      <c r="C44" s="276" t="s">
        <v>2350</v>
      </c>
      <c r="D44" s="277"/>
      <c r="E44" s="278"/>
      <c r="F44" s="41" t="s">
        <v>223</v>
      </c>
      <c r="G44" s="42">
        <v>9</v>
      </c>
      <c r="H44" s="1"/>
      <c r="I44" s="43">
        <f t="shared" si="52"/>
        <v>0</v>
      </c>
      <c r="J44" s="1"/>
      <c r="K44" s="43">
        <f t="shared" si="53"/>
        <v>0</v>
      </c>
      <c r="L44" s="44">
        <f t="shared" si="54"/>
        <v>0</v>
      </c>
      <c r="M44" s="43">
        <f t="shared" si="55"/>
        <v>0</v>
      </c>
    </row>
    <row r="45" spans="1:13" ht="14.25" x14ac:dyDescent="0.2">
      <c r="A45" s="45"/>
      <c r="B45" s="45"/>
      <c r="C45" s="46"/>
      <c r="D45" s="46"/>
      <c r="E45" s="47"/>
      <c r="F45" s="48"/>
      <c r="G45" s="49"/>
      <c r="H45" s="50"/>
      <c r="I45" s="50"/>
      <c r="J45" s="50"/>
      <c r="K45" s="50"/>
      <c r="L45" s="50"/>
      <c r="M45" s="51"/>
    </row>
    <row r="46" spans="1:13" ht="30" customHeight="1" x14ac:dyDescent="0.2">
      <c r="F46" s="264">
        <v>1</v>
      </c>
      <c r="G46" s="264" t="str">
        <f>+C3</f>
        <v>SERT PEYZAJ İŞLERİ</v>
      </c>
      <c r="H46" s="264"/>
      <c r="I46" s="264"/>
      <c r="J46" s="266" t="s">
        <v>1</v>
      </c>
      <c r="K46" s="266"/>
      <c r="L46" s="267">
        <f>+I3</f>
        <v>0</v>
      </c>
      <c r="M46" s="267"/>
    </row>
    <row r="47" spans="1:13" ht="30" customHeight="1" x14ac:dyDescent="0.2">
      <c r="F47" s="264"/>
      <c r="G47" s="264"/>
      <c r="H47" s="264"/>
      <c r="I47" s="264"/>
      <c r="J47" s="266" t="s">
        <v>2</v>
      </c>
      <c r="K47" s="266"/>
      <c r="L47" s="267">
        <f>+K3</f>
        <v>0</v>
      </c>
      <c r="M47" s="267"/>
    </row>
    <row r="48" spans="1:13" ht="38.25" customHeight="1" thickBot="1" x14ac:dyDescent="0.25">
      <c r="F48" s="265"/>
      <c r="G48" s="265"/>
      <c r="H48" s="265"/>
      <c r="I48" s="265"/>
      <c r="J48" s="268" t="s">
        <v>13</v>
      </c>
      <c r="K48" s="268"/>
      <c r="L48" s="269">
        <f>+L46+L47</f>
        <v>0</v>
      </c>
      <c r="M48" s="269"/>
    </row>
    <row r="49" spans="6:13" ht="30" customHeight="1" thickTop="1" x14ac:dyDescent="0.2">
      <c r="F49" s="264">
        <v>2</v>
      </c>
      <c r="G49" s="264" t="str">
        <f>+C23</f>
        <v>DIŞ SAHA KAPLAMA ALTI İMALATLAR</v>
      </c>
      <c r="H49" s="264"/>
      <c r="I49" s="264"/>
      <c r="J49" s="266" t="s">
        <v>1</v>
      </c>
      <c r="K49" s="266"/>
      <c r="L49" s="267">
        <f>+I23</f>
        <v>0</v>
      </c>
      <c r="M49" s="267"/>
    </row>
    <row r="50" spans="6:13" ht="30" customHeight="1" x14ac:dyDescent="0.2">
      <c r="F50" s="264"/>
      <c r="G50" s="264"/>
      <c r="H50" s="264"/>
      <c r="I50" s="264"/>
      <c r="J50" s="266" t="s">
        <v>2</v>
      </c>
      <c r="K50" s="266"/>
      <c r="L50" s="267">
        <f>+K23</f>
        <v>0</v>
      </c>
      <c r="M50" s="267"/>
    </row>
    <row r="51" spans="6:13" ht="38.25" customHeight="1" thickBot="1" x14ac:dyDescent="0.25">
      <c r="F51" s="265"/>
      <c r="G51" s="265"/>
      <c r="H51" s="265"/>
      <c r="I51" s="265"/>
      <c r="J51" s="268" t="s">
        <v>13</v>
      </c>
      <c r="K51" s="268"/>
      <c r="L51" s="269">
        <f>+L49+L50</f>
        <v>0</v>
      </c>
      <c r="M51" s="269"/>
    </row>
    <row r="52" spans="6:13" ht="30" customHeight="1" thickTop="1" x14ac:dyDescent="0.2">
      <c r="F52" s="264">
        <v>3</v>
      </c>
      <c r="G52" s="264" t="str">
        <f>+C27</f>
        <v>ÇEVRE DUVARI İŞLERİ</v>
      </c>
      <c r="H52" s="264"/>
      <c r="I52" s="264"/>
      <c r="J52" s="266" t="s">
        <v>1</v>
      </c>
      <c r="K52" s="266"/>
      <c r="L52" s="267">
        <f>+I27</f>
        <v>0</v>
      </c>
      <c r="M52" s="267"/>
    </row>
    <row r="53" spans="6:13" ht="30" customHeight="1" x14ac:dyDescent="0.2">
      <c r="F53" s="264"/>
      <c r="G53" s="264"/>
      <c r="H53" s="264"/>
      <c r="I53" s="264"/>
      <c r="J53" s="266" t="s">
        <v>2</v>
      </c>
      <c r="K53" s="266"/>
      <c r="L53" s="267">
        <f>+K27</f>
        <v>0</v>
      </c>
      <c r="M53" s="267"/>
    </row>
    <row r="54" spans="6:13" ht="38.25" customHeight="1" thickBot="1" x14ac:dyDescent="0.25">
      <c r="F54" s="265"/>
      <c r="G54" s="265"/>
      <c r="H54" s="265"/>
      <c r="I54" s="265"/>
      <c r="J54" s="268" t="s">
        <v>13</v>
      </c>
      <c r="K54" s="268"/>
      <c r="L54" s="269">
        <f>+L52+L53</f>
        <v>0</v>
      </c>
      <c r="M54" s="269"/>
    </row>
    <row r="55" spans="6:13" ht="30" customHeight="1" thickTop="1" x14ac:dyDescent="0.2">
      <c r="F55" s="264">
        <v>4</v>
      </c>
      <c r="G55" s="264" t="s">
        <v>1394</v>
      </c>
      <c r="H55" s="264"/>
      <c r="I55" s="264"/>
      <c r="J55" s="266" t="s">
        <v>1</v>
      </c>
      <c r="K55" s="266"/>
      <c r="L55" s="267">
        <f>+I30</f>
        <v>0</v>
      </c>
      <c r="M55" s="267"/>
    </row>
    <row r="56" spans="6:13" ht="30" customHeight="1" x14ac:dyDescent="0.2">
      <c r="F56" s="264"/>
      <c r="G56" s="264"/>
      <c r="H56" s="264"/>
      <c r="I56" s="264"/>
      <c r="J56" s="266" t="s">
        <v>2</v>
      </c>
      <c r="K56" s="266"/>
      <c r="L56" s="267">
        <f>+K30</f>
        <v>0</v>
      </c>
      <c r="M56" s="267"/>
    </row>
    <row r="57" spans="6:13" ht="38.25" customHeight="1" thickBot="1" x14ac:dyDescent="0.25">
      <c r="F57" s="265"/>
      <c r="G57" s="265"/>
      <c r="H57" s="265"/>
      <c r="I57" s="265"/>
      <c r="J57" s="268" t="s">
        <v>13</v>
      </c>
      <c r="K57" s="268"/>
      <c r="L57" s="269">
        <f>+L55+L56</f>
        <v>0</v>
      </c>
      <c r="M57" s="269"/>
    </row>
    <row r="58" spans="6:13" ht="30" customHeight="1" thickTop="1" x14ac:dyDescent="0.2">
      <c r="F58" s="264">
        <v>5</v>
      </c>
      <c r="G58" s="264" t="str">
        <f>+C32</f>
        <v>BİTKİLENDİRME İŞLERİ</v>
      </c>
      <c r="H58" s="264"/>
      <c r="I58" s="264"/>
      <c r="J58" s="266" t="s">
        <v>1</v>
      </c>
      <c r="K58" s="266"/>
      <c r="L58" s="267">
        <f>+I32</f>
        <v>0</v>
      </c>
      <c r="M58" s="267"/>
    </row>
    <row r="59" spans="6:13" ht="30" customHeight="1" x14ac:dyDescent="0.2">
      <c r="F59" s="264"/>
      <c r="G59" s="264"/>
      <c r="H59" s="264"/>
      <c r="I59" s="264"/>
      <c r="J59" s="266" t="s">
        <v>2</v>
      </c>
      <c r="K59" s="266"/>
      <c r="L59" s="267">
        <f>+K32</f>
        <v>0</v>
      </c>
      <c r="M59" s="267"/>
    </row>
    <row r="60" spans="6:13" ht="38.25" customHeight="1" thickBot="1" x14ac:dyDescent="0.25">
      <c r="F60" s="265"/>
      <c r="G60" s="265"/>
      <c r="H60" s="265"/>
      <c r="I60" s="265"/>
      <c r="J60" s="268" t="s">
        <v>13</v>
      </c>
      <c r="K60" s="268"/>
      <c r="L60" s="269">
        <f>+L58+L59</f>
        <v>0</v>
      </c>
      <c r="M60" s="269"/>
    </row>
    <row r="61" spans="6:13" ht="30" customHeight="1" thickTop="1" x14ac:dyDescent="0.2">
      <c r="F61" s="255" t="s">
        <v>1392</v>
      </c>
      <c r="G61" s="256"/>
      <c r="H61" s="256"/>
      <c r="I61" s="257"/>
      <c r="J61" s="251" t="s">
        <v>1</v>
      </c>
      <c r="K61" s="251"/>
      <c r="L61" s="252">
        <f>+L46+L49+L52+L55+L58</f>
        <v>0</v>
      </c>
      <c r="M61" s="252"/>
    </row>
    <row r="62" spans="6:13" ht="30" customHeight="1" x14ac:dyDescent="0.2">
      <c r="F62" s="258"/>
      <c r="G62" s="259"/>
      <c r="H62" s="259"/>
      <c r="I62" s="260"/>
      <c r="J62" s="251" t="s">
        <v>2</v>
      </c>
      <c r="K62" s="251"/>
      <c r="L62" s="252">
        <f>+L47+L50+L53+L56+L59</f>
        <v>0</v>
      </c>
      <c r="M62" s="252"/>
    </row>
    <row r="63" spans="6:13" ht="38.25" customHeight="1" thickBot="1" x14ac:dyDescent="0.25">
      <c r="F63" s="261"/>
      <c r="G63" s="262"/>
      <c r="H63" s="262"/>
      <c r="I63" s="263"/>
      <c r="J63" s="253" t="s">
        <v>13</v>
      </c>
      <c r="K63" s="253"/>
      <c r="L63" s="254">
        <f>+L61+L62</f>
        <v>0</v>
      </c>
      <c r="M63" s="254"/>
    </row>
    <row r="64" spans="6:13" ht="13.5" thickTop="1" x14ac:dyDescent="0.2"/>
  </sheetData>
  <sheetProtection algorithmName="SHA-512" hashValue="8rNHNqrTbIS2hncwJ6kKDE1EAZ+Nz8I42P7g+fZ7DZjvdSW41yYj/SpxeNjSYbGM3fgVcTQ7yv8ge3EIZVu78Q==" saltValue="UhGBLADnSY5uAm+F3EHGPQ==" spinCount="100000" sheet="1" selectLockedCells="1"/>
  <mergeCells count="96">
    <mergeCell ref="J58:K58"/>
    <mergeCell ref="L58:M58"/>
    <mergeCell ref="J59:K59"/>
    <mergeCell ref="L59:M59"/>
    <mergeCell ref="J60:K60"/>
    <mergeCell ref="L60:M60"/>
    <mergeCell ref="C42:E42"/>
    <mergeCell ref="C43:E43"/>
    <mergeCell ref="C44:E44"/>
    <mergeCell ref="F58:F60"/>
    <mergeCell ref="G58:I60"/>
    <mergeCell ref="F46:F48"/>
    <mergeCell ref="F49:F51"/>
    <mergeCell ref="G49:I51"/>
    <mergeCell ref="C37:E37"/>
    <mergeCell ref="C38:E38"/>
    <mergeCell ref="C39:E39"/>
    <mergeCell ref="C41:E41"/>
    <mergeCell ref="C40:E40"/>
    <mergeCell ref="C9:E9"/>
    <mergeCell ref="H1:I1"/>
    <mergeCell ref="J1:K1"/>
    <mergeCell ref="L1:L2"/>
    <mergeCell ref="M1:M2"/>
    <mergeCell ref="C2:E2"/>
    <mergeCell ref="A1:E1"/>
    <mergeCell ref="F1:G1"/>
    <mergeCell ref="C8:E8"/>
    <mergeCell ref="C3:E3"/>
    <mergeCell ref="C4:E4"/>
    <mergeCell ref="C5:E5"/>
    <mergeCell ref="C6:E6"/>
    <mergeCell ref="C7:E7"/>
    <mergeCell ref="C10:E10"/>
    <mergeCell ref="C14:E14"/>
    <mergeCell ref="C15:E15"/>
    <mergeCell ref="C20:E20"/>
    <mergeCell ref="C23:E23"/>
    <mergeCell ref="C21:E21"/>
    <mergeCell ref="C22:E22"/>
    <mergeCell ref="C17:E17"/>
    <mergeCell ref="C18:E18"/>
    <mergeCell ref="C19:E19"/>
    <mergeCell ref="C11:E11"/>
    <mergeCell ref="C12:E12"/>
    <mergeCell ref="C13:E13"/>
    <mergeCell ref="C16:E16"/>
    <mergeCell ref="C24:E24"/>
    <mergeCell ref="C25:E25"/>
    <mergeCell ref="C26:E26"/>
    <mergeCell ref="C30:E30"/>
    <mergeCell ref="C31:E31"/>
    <mergeCell ref="C27:E27"/>
    <mergeCell ref="C28:E28"/>
    <mergeCell ref="C29:E29"/>
    <mergeCell ref="L47:M47"/>
    <mergeCell ref="J48:K48"/>
    <mergeCell ref="L48:M48"/>
    <mergeCell ref="G46:I48"/>
    <mergeCell ref="J46:K46"/>
    <mergeCell ref="L46:M46"/>
    <mergeCell ref="J47:K47"/>
    <mergeCell ref="C32:E32"/>
    <mergeCell ref="C33:E33"/>
    <mergeCell ref="C34:E34"/>
    <mergeCell ref="C35:E35"/>
    <mergeCell ref="C36:E36"/>
    <mergeCell ref="J51:K51"/>
    <mergeCell ref="L51:M51"/>
    <mergeCell ref="J49:K49"/>
    <mergeCell ref="L49:M49"/>
    <mergeCell ref="J50:K50"/>
    <mergeCell ref="L50:M50"/>
    <mergeCell ref="L53:M53"/>
    <mergeCell ref="J54:K54"/>
    <mergeCell ref="L54:M54"/>
    <mergeCell ref="F55:F57"/>
    <mergeCell ref="G55:I57"/>
    <mergeCell ref="J55:K55"/>
    <mergeCell ref="L55:M55"/>
    <mergeCell ref="J56:K56"/>
    <mergeCell ref="L56:M56"/>
    <mergeCell ref="J57:K57"/>
    <mergeCell ref="F52:F54"/>
    <mergeCell ref="G52:I54"/>
    <mergeCell ref="J52:K52"/>
    <mergeCell ref="L52:M52"/>
    <mergeCell ref="J53:K53"/>
    <mergeCell ref="L57:M57"/>
    <mergeCell ref="F61:I63"/>
    <mergeCell ref="J61:K61"/>
    <mergeCell ref="L61:M61"/>
    <mergeCell ref="J62:K62"/>
    <mergeCell ref="L62:M62"/>
    <mergeCell ref="J63:K63"/>
    <mergeCell ref="L63:M63"/>
  </mergeCells>
  <phoneticPr fontId="14" type="noConversion"/>
  <pageMargins left="0.70866141732283472" right="0.70866141732283472" top="0.74803149606299213" bottom="0.74803149606299213" header="0.31496062992125984" footer="0.31496062992125984"/>
  <pageSetup paperSize="8" scale="4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9D7DD-AEA7-45C3-9295-CF5E247621CD}">
  <dimension ref="A1:M657"/>
  <sheetViews>
    <sheetView tabSelected="1" view="pageBreakPreview" topLeftCell="B633" zoomScale="85" zoomScaleNormal="70" zoomScaleSheetLayoutView="85" workbookViewId="0">
      <selection activeCell="J474" sqref="J474"/>
    </sheetView>
  </sheetViews>
  <sheetFormatPr defaultRowHeight="12.75" x14ac:dyDescent="0.25"/>
  <cols>
    <col min="1" max="1" width="14.85546875" style="88" customWidth="1"/>
    <col min="2" max="2" width="9.7109375" style="88" customWidth="1"/>
    <col min="3" max="3" width="45.85546875" style="88" customWidth="1"/>
    <col min="4" max="4" width="20.140625" style="88" customWidth="1"/>
    <col min="5" max="5" width="28.140625" style="88" customWidth="1"/>
    <col min="6" max="6" width="11.85546875" style="88" bestFit="1" customWidth="1"/>
    <col min="7" max="7" width="14.28515625" style="52" bestFit="1" customWidth="1"/>
    <col min="8" max="8" width="18.5703125" style="52" customWidth="1"/>
    <col min="9" max="9" width="24.28515625" style="52" customWidth="1" collapsed="1"/>
    <col min="10" max="10" width="18.5703125" style="52" customWidth="1"/>
    <col min="11" max="11" width="24.28515625" style="52" customWidth="1" collapsed="1"/>
    <col min="12" max="12" width="18.5703125" style="52" customWidth="1"/>
    <col min="13" max="13" width="24.28515625" style="52" customWidth="1"/>
    <col min="14" max="227" width="9.140625" style="88"/>
    <col min="228" max="229" width="54" style="88" customWidth="1"/>
    <col min="230" max="230" width="16.7109375" style="88" customWidth="1"/>
    <col min="231" max="231" width="11.85546875" style="88" bestFit="1" customWidth="1"/>
    <col min="232" max="232" width="9.85546875" style="88" bestFit="1" customWidth="1"/>
    <col min="233" max="233" width="10.5703125" style="88" bestFit="1" customWidth="1"/>
    <col min="234" max="236" width="13.42578125" style="88" customWidth="1"/>
    <col min="237" max="237" width="19.140625" style="88" customWidth="1"/>
    <col min="238" max="238" width="13.42578125" style="88" customWidth="1"/>
    <col min="239" max="239" width="19.85546875" style="88" customWidth="1"/>
    <col min="240" max="240" width="16" style="88" customWidth="1"/>
    <col min="241" max="241" width="24.28515625" style="88" customWidth="1"/>
    <col min="242" max="247" width="10.85546875" style="88" customWidth="1"/>
    <col min="248" max="248" width="16.28515625" style="88" bestFit="1" customWidth="1"/>
    <col min="249" max="249" width="12.140625" style="88" bestFit="1" customWidth="1"/>
    <col min="250" max="252" width="10.85546875" style="88" customWidth="1"/>
    <col min="253" max="253" width="9.28515625" style="88" bestFit="1" customWidth="1"/>
    <col min="254" max="483" width="9.140625" style="88"/>
    <col min="484" max="485" width="54" style="88" customWidth="1"/>
    <col min="486" max="486" width="16.7109375" style="88" customWidth="1"/>
    <col min="487" max="487" width="11.85546875" style="88" bestFit="1" customWidth="1"/>
    <col min="488" max="488" width="9.85546875" style="88" bestFit="1" customWidth="1"/>
    <col min="489" max="489" width="10.5703125" style="88" bestFit="1" customWidth="1"/>
    <col min="490" max="492" width="13.42578125" style="88" customWidth="1"/>
    <col min="493" max="493" width="19.140625" style="88" customWidth="1"/>
    <col min="494" max="494" width="13.42578125" style="88" customWidth="1"/>
    <col min="495" max="495" width="19.85546875" style="88" customWidth="1"/>
    <col min="496" max="496" width="16" style="88" customWidth="1"/>
    <col min="497" max="497" width="24.28515625" style="88" customWidth="1"/>
    <col min="498" max="503" width="10.85546875" style="88" customWidth="1"/>
    <col min="504" max="504" width="16.28515625" style="88" bestFit="1" customWidth="1"/>
    <col min="505" max="505" width="12.140625" style="88" bestFit="1" customWidth="1"/>
    <col min="506" max="508" width="10.85546875" style="88" customWidth="1"/>
    <col min="509" max="509" width="9.28515625" style="88" bestFit="1" customWidth="1"/>
    <col min="510" max="739" width="9.140625" style="88"/>
    <col min="740" max="741" width="54" style="88" customWidth="1"/>
    <col min="742" max="742" width="16.7109375" style="88" customWidth="1"/>
    <col min="743" max="743" width="11.85546875" style="88" bestFit="1" customWidth="1"/>
    <col min="744" max="744" width="9.85546875" style="88" bestFit="1" customWidth="1"/>
    <col min="745" max="745" width="10.5703125" style="88" bestFit="1" customWidth="1"/>
    <col min="746" max="748" width="13.42578125" style="88" customWidth="1"/>
    <col min="749" max="749" width="19.140625" style="88" customWidth="1"/>
    <col min="750" max="750" width="13.42578125" style="88" customWidth="1"/>
    <col min="751" max="751" width="19.85546875" style="88" customWidth="1"/>
    <col min="752" max="752" width="16" style="88" customWidth="1"/>
    <col min="753" max="753" width="24.28515625" style="88" customWidth="1"/>
    <col min="754" max="759" width="10.85546875" style="88" customWidth="1"/>
    <col min="760" max="760" width="16.28515625" style="88" bestFit="1" customWidth="1"/>
    <col min="761" max="761" width="12.140625" style="88" bestFit="1" customWidth="1"/>
    <col min="762" max="764" width="10.85546875" style="88" customWidth="1"/>
    <col min="765" max="765" width="9.28515625" style="88" bestFit="1" customWidth="1"/>
    <col min="766" max="995" width="9.140625" style="88"/>
    <col min="996" max="997" width="54" style="88" customWidth="1"/>
    <col min="998" max="998" width="16.7109375" style="88" customWidth="1"/>
    <col min="999" max="999" width="11.85546875" style="88" bestFit="1" customWidth="1"/>
    <col min="1000" max="1000" width="9.85546875" style="88" bestFit="1" customWidth="1"/>
    <col min="1001" max="1001" width="10.5703125" style="88" bestFit="1" customWidth="1"/>
    <col min="1002" max="1004" width="13.42578125" style="88" customWidth="1"/>
    <col min="1005" max="1005" width="19.140625" style="88" customWidth="1"/>
    <col min="1006" max="1006" width="13.42578125" style="88" customWidth="1"/>
    <col min="1007" max="1007" width="19.85546875" style="88" customWidth="1"/>
    <col min="1008" max="1008" width="16" style="88" customWidth="1"/>
    <col min="1009" max="1009" width="24.28515625" style="88" customWidth="1"/>
    <col min="1010" max="1015" width="10.85546875" style="88" customWidth="1"/>
    <col min="1016" max="1016" width="16.28515625" style="88" bestFit="1" customWidth="1"/>
    <col min="1017" max="1017" width="12.140625" style="88" bestFit="1" customWidth="1"/>
    <col min="1018" max="1020" width="10.85546875" style="88" customWidth="1"/>
    <col min="1021" max="1021" width="9.28515625" style="88" bestFit="1" customWidth="1"/>
    <col min="1022" max="1251" width="9.140625" style="88"/>
    <col min="1252" max="1253" width="54" style="88" customWidth="1"/>
    <col min="1254" max="1254" width="16.7109375" style="88" customWidth="1"/>
    <col min="1255" max="1255" width="11.85546875" style="88" bestFit="1" customWidth="1"/>
    <col min="1256" max="1256" width="9.85546875" style="88" bestFit="1" customWidth="1"/>
    <col min="1257" max="1257" width="10.5703125" style="88" bestFit="1" customWidth="1"/>
    <col min="1258" max="1260" width="13.42578125" style="88" customWidth="1"/>
    <col min="1261" max="1261" width="19.140625" style="88" customWidth="1"/>
    <col min="1262" max="1262" width="13.42578125" style="88" customWidth="1"/>
    <col min="1263" max="1263" width="19.85546875" style="88" customWidth="1"/>
    <col min="1264" max="1264" width="16" style="88" customWidth="1"/>
    <col min="1265" max="1265" width="24.28515625" style="88" customWidth="1"/>
    <col min="1266" max="1271" width="10.85546875" style="88" customWidth="1"/>
    <col min="1272" max="1272" width="16.28515625" style="88" bestFit="1" customWidth="1"/>
    <col min="1273" max="1273" width="12.140625" style="88" bestFit="1" customWidth="1"/>
    <col min="1274" max="1276" width="10.85546875" style="88" customWidth="1"/>
    <col min="1277" max="1277" width="9.28515625" style="88" bestFit="1" customWidth="1"/>
    <col min="1278" max="1507" width="9.140625" style="88"/>
    <col min="1508" max="1509" width="54" style="88" customWidth="1"/>
    <col min="1510" max="1510" width="16.7109375" style="88" customWidth="1"/>
    <col min="1511" max="1511" width="11.85546875" style="88" bestFit="1" customWidth="1"/>
    <col min="1512" max="1512" width="9.85546875" style="88" bestFit="1" customWidth="1"/>
    <col min="1513" max="1513" width="10.5703125" style="88" bestFit="1" customWidth="1"/>
    <col min="1514" max="1516" width="13.42578125" style="88" customWidth="1"/>
    <col min="1517" max="1517" width="19.140625" style="88" customWidth="1"/>
    <col min="1518" max="1518" width="13.42578125" style="88" customWidth="1"/>
    <col min="1519" max="1519" width="19.85546875" style="88" customWidth="1"/>
    <col min="1520" max="1520" width="16" style="88" customWidth="1"/>
    <col min="1521" max="1521" width="24.28515625" style="88" customWidth="1"/>
    <col min="1522" max="1527" width="10.85546875" style="88" customWidth="1"/>
    <col min="1528" max="1528" width="16.28515625" style="88" bestFit="1" customWidth="1"/>
    <col min="1529" max="1529" width="12.140625" style="88" bestFit="1" customWidth="1"/>
    <col min="1530" max="1532" width="10.85546875" style="88" customWidth="1"/>
    <col min="1533" max="1533" width="9.28515625" style="88" bestFit="1" customWidth="1"/>
    <col min="1534" max="1763" width="9.140625" style="88"/>
    <col min="1764" max="1765" width="54" style="88" customWidth="1"/>
    <col min="1766" max="1766" width="16.7109375" style="88" customWidth="1"/>
    <col min="1767" max="1767" width="11.85546875" style="88" bestFit="1" customWidth="1"/>
    <col min="1768" max="1768" width="9.85546875" style="88" bestFit="1" customWidth="1"/>
    <col min="1769" max="1769" width="10.5703125" style="88" bestFit="1" customWidth="1"/>
    <col min="1770" max="1772" width="13.42578125" style="88" customWidth="1"/>
    <col min="1773" max="1773" width="19.140625" style="88" customWidth="1"/>
    <col min="1774" max="1774" width="13.42578125" style="88" customWidth="1"/>
    <col min="1775" max="1775" width="19.85546875" style="88" customWidth="1"/>
    <col min="1776" max="1776" width="16" style="88" customWidth="1"/>
    <col min="1777" max="1777" width="24.28515625" style="88" customWidth="1"/>
    <col min="1778" max="1783" width="10.85546875" style="88" customWidth="1"/>
    <col min="1784" max="1784" width="16.28515625" style="88" bestFit="1" customWidth="1"/>
    <col min="1785" max="1785" width="12.140625" style="88" bestFit="1" customWidth="1"/>
    <col min="1786" max="1788" width="10.85546875" style="88" customWidth="1"/>
    <col min="1789" max="1789" width="9.28515625" style="88" bestFit="1" customWidth="1"/>
    <col min="1790" max="2019" width="9.140625" style="88"/>
    <col min="2020" max="2021" width="54" style="88" customWidth="1"/>
    <col min="2022" max="2022" width="16.7109375" style="88" customWidth="1"/>
    <col min="2023" max="2023" width="11.85546875" style="88" bestFit="1" customWidth="1"/>
    <col min="2024" max="2024" width="9.85546875" style="88" bestFit="1" customWidth="1"/>
    <col min="2025" max="2025" width="10.5703125" style="88" bestFit="1" customWidth="1"/>
    <col min="2026" max="2028" width="13.42578125" style="88" customWidth="1"/>
    <col min="2029" max="2029" width="19.140625" style="88" customWidth="1"/>
    <col min="2030" max="2030" width="13.42578125" style="88" customWidth="1"/>
    <col min="2031" max="2031" width="19.85546875" style="88" customWidth="1"/>
    <col min="2032" max="2032" width="16" style="88" customWidth="1"/>
    <col min="2033" max="2033" width="24.28515625" style="88" customWidth="1"/>
    <col min="2034" max="2039" width="10.85546875" style="88" customWidth="1"/>
    <col min="2040" max="2040" width="16.28515625" style="88" bestFit="1" customWidth="1"/>
    <col min="2041" max="2041" width="12.140625" style="88" bestFit="1" customWidth="1"/>
    <col min="2042" max="2044" width="10.85546875" style="88" customWidth="1"/>
    <col min="2045" max="2045" width="9.28515625" style="88" bestFit="1" customWidth="1"/>
    <col min="2046" max="2275" width="9.140625" style="88"/>
    <col min="2276" max="2277" width="54" style="88" customWidth="1"/>
    <col min="2278" max="2278" width="16.7109375" style="88" customWidth="1"/>
    <col min="2279" max="2279" width="11.85546875" style="88" bestFit="1" customWidth="1"/>
    <col min="2280" max="2280" width="9.85546875" style="88" bestFit="1" customWidth="1"/>
    <col min="2281" max="2281" width="10.5703125" style="88" bestFit="1" customWidth="1"/>
    <col min="2282" max="2284" width="13.42578125" style="88" customWidth="1"/>
    <col min="2285" max="2285" width="19.140625" style="88" customWidth="1"/>
    <col min="2286" max="2286" width="13.42578125" style="88" customWidth="1"/>
    <col min="2287" max="2287" width="19.85546875" style="88" customWidth="1"/>
    <col min="2288" max="2288" width="16" style="88" customWidth="1"/>
    <col min="2289" max="2289" width="24.28515625" style="88" customWidth="1"/>
    <col min="2290" max="2295" width="10.85546875" style="88" customWidth="1"/>
    <col min="2296" max="2296" width="16.28515625" style="88" bestFit="1" customWidth="1"/>
    <col min="2297" max="2297" width="12.140625" style="88" bestFit="1" customWidth="1"/>
    <col min="2298" max="2300" width="10.85546875" style="88" customWidth="1"/>
    <col min="2301" max="2301" width="9.28515625" style="88" bestFit="1" customWidth="1"/>
    <col min="2302" max="2531" width="9.140625" style="88"/>
    <col min="2532" max="2533" width="54" style="88" customWidth="1"/>
    <col min="2534" max="2534" width="16.7109375" style="88" customWidth="1"/>
    <col min="2535" max="2535" width="11.85546875" style="88" bestFit="1" customWidth="1"/>
    <col min="2536" max="2536" width="9.85546875" style="88" bestFit="1" customWidth="1"/>
    <col min="2537" max="2537" width="10.5703125" style="88" bestFit="1" customWidth="1"/>
    <col min="2538" max="2540" width="13.42578125" style="88" customWidth="1"/>
    <col min="2541" max="2541" width="19.140625" style="88" customWidth="1"/>
    <col min="2542" max="2542" width="13.42578125" style="88" customWidth="1"/>
    <col min="2543" max="2543" width="19.85546875" style="88" customWidth="1"/>
    <col min="2544" max="2544" width="16" style="88" customWidth="1"/>
    <col min="2545" max="2545" width="24.28515625" style="88" customWidth="1"/>
    <col min="2546" max="2551" width="10.85546875" style="88" customWidth="1"/>
    <col min="2552" max="2552" width="16.28515625" style="88" bestFit="1" customWidth="1"/>
    <col min="2553" max="2553" width="12.140625" style="88" bestFit="1" customWidth="1"/>
    <col min="2554" max="2556" width="10.85546875" style="88" customWidth="1"/>
    <col min="2557" max="2557" width="9.28515625" style="88" bestFit="1" customWidth="1"/>
    <col min="2558" max="2787" width="9.140625" style="88"/>
    <col min="2788" max="2789" width="54" style="88" customWidth="1"/>
    <col min="2790" max="2790" width="16.7109375" style="88" customWidth="1"/>
    <col min="2791" max="2791" width="11.85546875" style="88" bestFit="1" customWidth="1"/>
    <col min="2792" max="2792" width="9.85546875" style="88" bestFit="1" customWidth="1"/>
    <col min="2793" max="2793" width="10.5703125" style="88" bestFit="1" customWidth="1"/>
    <col min="2794" max="2796" width="13.42578125" style="88" customWidth="1"/>
    <col min="2797" max="2797" width="19.140625" style="88" customWidth="1"/>
    <col min="2798" max="2798" width="13.42578125" style="88" customWidth="1"/>
    <col min="2799" max="2799" width="19.85546875" style="88" customWidth="1"/>
    <col min="2800" max="2800" width="16" style="88" customWidth="1"/>
    <col min="2801" max="2801" width="24.28515625" style="88" customWidth="1"/>
    <col min="2802" max="2807" width="10.85546875" style="88" customWidth="1"/>
    <col min="2808" max="2808" width="16.28515625" style="88" bestFit="1" customWidth="1"/>
    <col min="2809" max="2809" width="12.140625" style="88" bestFit="1" customWidth="1"/>
    <col min="2810" max="2812" width="10.85546875" style="88" customWidth="1"/>
    <col min="2813" max="2813" width="9.28515625" style="88" bestFit="1" customWidth="1"/>
    <col min="2814" max="3043" width="9.140625" style="88"/>
    <col min="3044" max="3045" width="54" style="88" customWidth="1"/>
    <col min="3046" max="3046" width="16.7109375" style="88" customWidth="1"/>
    <col min="3047" max="3047" width="11.85546875" style="88" bestFit="1" customWidth="1"/>
    <col min="3048" max="3048" width="9.85546875" style="88" bestFit="1" customWidth="1"/>
    <col min="3049" max="3049" width="10.5703125" style="88" bestFit="1" customWidth="1"/>
    <col min="3050" max="3052" width="13.42578125" style="88" customWidth="1"/>
    <col min="3053" max="3053" width="19.140625" style="88" customWidth="1"/>
    <col min="3054" max="3054" width="13.42578125" style="88" customWidth="1"/>
    <col min="3055" max="3055" width="19.85546875" style="88" customWidth="1"/>
    <col min="3056" max="3056" width="16" style="88" customWidth="1"/>
    <col min="3057" max="3057" width="24.28515625" style="88" customWidth="1"/>
    <col min="3058" max="3063" width="10.85546875" style="88" customWidth="1"/>
    <col min="3064" max="3064" width="16.28515625" style="88" bestFit="1" customWidth="1"/>
    <col min="3065" max="3065" width="12.140625" style="88" bestFit="1" customWidth="1"/>
    <col min="3066" max="3068" width="10.85546875" style="88" customWidth="1"/>
    <col min="3069" max="3069" width="9.28515625" style="88" bestFit="1" customWidth="1"/>
    <col min="3070" max="3299" width="9.140625" style="88"/>
    <col min="3300" max="3301" width="54" style="88" customWidth="1"/>
    <col min="3302" max="3302" width="16.7109375" style="88" customWidth="1"/>
    <col min="3303" max="3303" width="11.85546875" style="88" bestFit="1" customWidth="1"/>
    <col min="3304" max="3304" width="9.85546875" style="88" bestFit="1" customWidth="1"/>
    <col min="3305" max="3305" width="10.5703125" style="88" bestFit="1" customWidth="1"/>
    <col min="3306" max="3308" width="13.42578125" style="88" customWidth="1"/>
    <col min="3309" max="3309" width="19.140625" style="88" customWidth="1"/>
    <col min="3310" max="3310" width="13.42578125" style="88" customWidth="1"/>
    <col min="3311" max="3311" width="19.85546875" style="88" customWidth="1"/>
    <col min="3312" max="3312" width="16" style="88" customWidth="1"/>
    <col min="3313" max="3313" width="24.28515625" style="88" customWidth="1"/>
    <col min="3314" max="3319" width="10.85546875" style="88" customWidth="1"/>
    <col min="3320" max="3320" width="16.28515625" style="88" bestFit="1" customWidth="1"/>
    <col min="3321" max="3321" width="12.140625" style="88" bestFit="1" customWidth="1"/>
    <col min="3322" max="3324" width="10.85546875" style="88" customWidth="1"/>
    <col min="3325" max="3325" width="9.28515625" style="88" bestFit="1" customWidth="1"/>
    <col min="3326" max="3555" width="9.140625" style="88"/>
    <col min="3556" max="3557" width="54" style="88" customWidth="1"/>
    <col min="3558" max="3558" width="16.7109375" style="88" customWidth="1"/>
    <col min="3559" max="3559" width="11.85546875" style="88" bestFit="1" customWidth="1"/>
    <col min="3560" max="3560" width="9.85546875" style="88" bestFit="1" customWidth="1"/>
    <col min="3561" max="3561" width="10.5703125" style="88" bestFit="1" customWidth="1"/>
    <col min="3562" max="3564" width="13.42578125" style="88" customWidth="1"/>
    <col min="3565" max="3565" width="19.140625" style="88" customWidth="1"/>
    <col min="3566" max="3566" width="13.42578125" style="88" customWidth="1"/>
    <col min="3567" max="3567" width="19.85546875" style="88" customWidth="1"/>
    <col min="3568" max="3568" width="16" style="88" customWidth="1"/>
    <col min="3569" max="3569" width="24.28515625" style="88" customWidth="1"/>
    <col min="3570" max="3575" width="10.85546875" style="88" customWidth="1"/>
    <col min="3576" max="3576" width="16.28515625" style="88" bestFit="1" customWidth="1"/>
    <col min="3577" max="3577" width="12.140625" style="88" bestFit="1" customWidth="1"/>
    <col min="3578" max="3580" width="10.85546875" style="88" customWidth="1"/>
    <col min="3581" max="3581" width="9.28515625" style="88" bestFit="1" customWidth="1"/>
    <col min="3582" max="3811" width="9.140625" style="88"/>
    <col min="3812" max="3813" width="54" style="88" customWidth="1"/>
    <col min="3814" max="3814" width="16.7109375" style="88" customWidth="1"/>
    <col min="3815" max="3815" width="11.85546875" style="88" bestFit="1" customWidth="1"/>
    <col min="3816" max="3816" width="9.85546875" style="88" bestFit="1" customWidth="1"/>
    <col min="3817" max="3817" width="10.5703125" style="88" bestFit="1" customWidth="1"/>
    <col min="3818" max="3820" width="13.42578125" style="88" customWidth="1"/>
    <col min="3821" max="3821" width="19.140625" style="88" customWidth="1"/>
    <col min="3822" max="3822" width="13.42578125" style="88" customWidth="1"/>
    <col min="3823" max="3823" width="19.85546875" style="88" customWidth="1"/>
    <col min="3824" max="3824" width="16" style="88" customWidth="1"/>
    <col min="3825" max="3825" width="24.28515625" style="88" customWidth="1"/>
    <col min="3826" max="3831" width="10.85546875" style="88" customWidth="1"/>
    <col min="3832" max="3832" width="16.28515625" style="88" bestFit="1" customWidth="1"/>
    <col min="3833" max="3833" width="12.140625" style="88" bestFit="1" customWidth="1"/>
    <col min="3834" max="3836" width="10.85546875" style="88" customWidth="1"/>
    <col min="3837" max="3837" width="9.28515625" style="88" bestFit="1" customWidth="1"/>
    <col min="3838" max="4067" width="9.140625" style="88"/>
    <col min="4068" max="4069" width="54" style="88" customWidth="1"/>
    <col min="4070" max="4070" width="16.7109375" style="88" customWidth="1"/>
    <col min="4071" max="4071" width="11.85546875" style="88" bestFit="1" customWidth="1"/>
    <col min="4072" max="4072" width="9.85546875" style="88" bestFit="1" customWidth="1"/>
    <col min="4073" max="4073" width="10.5703125" style="88" bestFit="1" customWidth="1"/>
    <col min="4074" max="4076" width="13.42578125" style="88" customWidth="1"/>
    <col min="4077" max="4077" width="19.140625" style="88" customWidth="1"/>
    <col min="4078" max="4078" width="13.42578125" style="88" customWidth="1"/>
    <col min="4079" max="4079" width="19.85546875" style="88" customWidth="1"/>
    <col min="4080" max="4080" width="16" style="88" customWidth="1"/>
    <col min="4081" max="4081" width="24.28515625" style="88" customWidth="1"/>
    <col min="4082" max="4087" width="10.85546875" style="88" customWidth="1"/>
    <col min="4088" max="4088" width="16.28515625" style="88" bestFit="1" customWidth="1"/>
    <col min="4089" max="4089" width="12.140625" style="88" bestFit="1" customWidth="1"/>
    <col min="4090" max="4092" width="10.85546875" style="88" customWidth="1"/>
    <col min="4093" max="4093" width="9.28515625" style="88" bestFit="1" customWidth="1"/>
    <col min="4094" max="4323" width="9.140625" style="88"/>
    <col min="4324" max="4325" width="54" style="88" customWidth="1"/>
    <col min="4326" max="4326" width="16.7109375" style="88" customWidth="1"/>
    <col min="4327" max="4327" width="11.85546875" style="88" bestFit="1" customWidth="1"/>
    <col min="4328" max="4328" width="9.85546875" style="88" bestFit="1" customWidth="1"/>
    <col min="4329" max="4329" width="10.5703125" style="88" bestFit="1" customWidth="1"/>
    <col min="4330" max="4332" width="13.42578125" style="88" customWidth="1"/>
    <col min="4333" max="4333" width="19.140625" style="88" customWidth="1"/>
    <col min="4334" max="4334" width="13.42578125" style="88" customWidth="1"/>
    <col min="4335" max="4335" width="19.85546875" style="88" customWidth="1"/>
    <col min="4336" max="4336" width="16" style="88" customWidth="1"/>
    <col min="4337" max="4337" width="24.28515625" style="88" customWidth="1"/>
    <col min="4338" max="4343" width="10.85546875" style="88" customWidth="1"/>
    <col min="4344" max="4344" width="16.28515625" style="88" bestFit="1" customWidth="1"/>
    <col min="4345" max="4345" width="12.140625" style="88" bestFit="1" customWidth="1"/>
    <col min="4346" max="4348" width="10.85546875" style="88" customWidth="1"/>
    <col min="4349" max="4349" width="9.28515625" style="88" bestFit="1" customWidth="1"/>
    <col min="4350" max="4579" width="9.140625" style="88"/>
    <col min="4580" max="4581" width="54" style="88" customWidth="1"/>
    <col min="4582" max="4582" width="16.7109375" style="88" customWidth="1"/>
    <col min="4583" max="4583" width="11.85546875" style="88" bestFit="1" customWidth="1"/>
    <col min="4584" max="4584" width="9.85546875" style="88" bestFit="1" customWidth="1"/>
    <col min="4585" max="4585" width="10.5703125" style="88" bestFit="1" customWidth="1"/>
    <col min="4586" max="4588" width="13.42578125" style="88" customWidth="1"/>
    <col min="4589" max="4589" width="19.140625" style="88" customWidth="1"/>
    <col min="4590" max="4590" width="13.42578125" style="88" customWidth="1"/>
    <col min="4591" max="4591" width="19.85546875" style="88" customWidth="1"/>
    <col min="4592" max="4592" width="16" style="88" customWidth="1"/>
    <col min="4593" max="4593" width="24.28515625" style="88" customWidth="1"/>
    <col min="4594" max="4599" width="10.85546875" style="88" customWidth="1"/>
    <col min="4600" max="4600" width="16.28515625" style="88" bestFit="1" customWidth="1"/>
    <col min="4601" max="4601" width="12.140625" style="88" bestFit="1" customWidth="1"/>
    <col min="4602" max="4604" width="10.85546875" style="88" customWidth="1"/>
    <col min="4605" max="4605" width="9.28515625" style="88" bestFit="1" customWidth="1"/>
    <col min="4606" max="4835" width="9.140625" style="88"/>
    <col min="4836" max="4837" width="54" style="88" customWidth="1"/>
    <col min="4838" max="4838" width="16.7109375" style="88" customWidth="1"/>
    <col min="4839" max="4839" width="11.85546875" style="88" bestFit="1" customWidth="1"/>
    <col min="4840" max="4840" width="9.85546875" style="88" bestFit="1" customWidth="1"/>
    <col min="4841" max="4841" width="10.5703125" style="88" bestFit="1" customWidth="1"/>
    <col min="4842" max="4844" width="13.42578125" style="88" customWidth="1"/>
    <col min="4845" max="4845" width="19.140625" style="88" customWidth="1"/>
    <col min="4846" max="4846" width="13.42578125" style="88" customWidth="1"/>
    <col min="4847" max="4847" width="19.85546875" style="88" customWidth="1"/>
    <col min="4848" max="4848" width="16" style="88" customWidth="1"/>
    <col min="4849" max="4849" width="24.28515625" style="88" customWidth="1"/>
    <col min="4850" max="4855" width="10.85546875" style="88" customWidth="1"/>
    <col min="4856" max="4856" width="16.28515625" style="88" bestFit="1" customWidth="1"/>
    <col min="4857" max="4857" width="12.140625" style="88" bestFit="1" customWidth="1"/>
    <col min="4858" max="4860" width="10.85546875" style="88" customWidth="1"/>
    <col min="4861" max="4861" width="9.28515625" style="88" bestFit="1" customWidth="1"/>
    <col min="4862" max="5091" width="9.140625" style="88"/>
    <col min="5092" max="5093" width="54" style="88" customWidth="1"/>
    <col min="5094" max="5094" width="16.7109375" style="88" customWidth="1"/>
    <col min="5095" max="5095" width="11.85546875" style="88" bestFit="1" customWidth="1"/>
    <col min="5096" max="5096" width="9.85546875" style="88" bestFit="1" customWidth="1"/>
    <col min="5097" max="5097" width="10.5703125" style="88" bestFit="1" customWidth="1"/>
    <col min="5098" max="5100" width="13.42578125" style="88" customWidth="1"/>
    <col min="5101" max="5101" width="19.140625" style="88" customWidth="1"/>
    <col min="5102" max="5102" width="13.42578125" style="88" customWidth="1"/>
    <col min="5103" max="5103" width="19.85546875" style="88" customWidth="1"/>
    <col min="5104" max="5104" width="16" style="88" customWidth="1"/>
    <col min="5105" max="5105" width="24.28515625" style="88" customWidth="1"/>
    <col min="5106" max="5111" width="10.85546875" style="88" customWidth="1"/>
    <col min="5112" max="5112" width="16.28515625" style="88" bestFit="1" customWidth="1"/>
    <col min="5113" max="5113" width="12.140625" style="88" bestFit="1" customWidth="1"/>
    <col min="5114" max="5116" width="10.85546875" style="88" customWidth="1"/>
    <col min="5117" max="5117" width="9.28515625" style="88" bestFit="1" customWidth="1"/>
    <col min="5118" max="5347" width="9.140625" style="88"/>
    <col min="5348" max="5349" width="54" style="88" customWidth="1"/>
    <col min="5350" max="5350" width="16.7109375" style="88" customWidth="1"/>
    <col min="5351" max="5351" width="11.85546875" style="88" bestFit="1" customWidth="1"/>
    <col min="5352" max="5352" width="9.85546875" style="88" bestFit="1" customWidth="1"/>
    <col min="5353" max="5353" width="10.5703125" style="88" bestFit="1" customWidth="1"/>
    <col min="5354" max="5356" width="13.42578125" style="88" customWidth="1"/>
    <col min="5357" max="5357" width="19.140625" style="88" customWidth="1"/>
    <col min="5358" max="5358" width="13.42578125" style="88" customWidth="1"/>
    <col min="5359" max="5359" width="19.85546875" style="88" customWidth="1"/>
    <col min="5360" max="5360" width="16" style="88" customWidth="1"/>
    <col min="5361" max="5361" width="24.28515625" style="88" customWidth="1"/>
    <col min="5362" max="5367" width="10.85546875" style="88" customWidth="1"/>
    <col min="5368" max="5368" width="16.28515625" style="88" bestFit="1" customWidth="1"/>
    <col min="5369" max="5369" width="12.140625" style="88" bestFit="1" customWidth="1"/>
    <col min="5370" max="5372" width="10.85546875" style="88" customWidth="1"/>
    <col min="5373" max="5373" width="9.28515625" style="88" bestFit="1" customWidth="1"/>
    <col min="5374" max="5603" width="9.140625" style="88"/>
    <col min="5604" max="5605" width="54" style="88" customWidth="1"/>
    <col min="5606" max="5606" width="16.7109375" style="88" customWidth="1"/>
    <col min="5607" max="5607" width="11.85546875" style="88" bestFit="1" customWidth="1"/>
    <col min="5608" max="5608" width="9.85546875" style="88" bestFit="1" customWidth="1"/>
    <col min="5609" max="5609" width="10.5703125" style="88" bestFit="1" customWidth="1"/>
    <col min="5610" max="5612" width="13.42578125" style="88" customWidth="1"/>
    <col min="5613" max="5613" width="19.140625" style="88" customWidth="1"/>
    <col min="5614" max="5614" width="13.42578125" style="88" customWidth="1"/>
    <col min="5615" max="5615" width="19.85546875" style="88" customWidth="1"/>
    <col min="5616" max="5616" width="16" style="88" customWidth="1"/>
    <col min="5617" max="5617" width="24.28515625" style="88" customWidth="1"/>
    <col min="5618" max="5623" width="10.85546875" style="88" customWidth="1"/>
    <col min="5624" max="5624" width="16.28515625" style="88" bestFit="1" customWidth="1"/>
    <col min="5625" max="5625" width="12.140625" style="88" bestFit="1" customWidth="1"/>
    <col min="5626" max="5628" width="10.85546875" style="88" customWidth="1"/>
    <col min="5629" max="5629" width="9.28515625" style="88" bestFit="1" customWidth="1"/>
    <col min="5630" max="5859" width="9.140625" style="88"/>
    <col min="5860" max="5861" width="54" style="88" customWidth="1"/>
    <col min="5862" max="5862" width="16.7109375" style="88" customWidth="1"/>
    <col min="5863" max="5863" width="11.85546875" style="88" bestFit="1" customWidth="1"/>
    <col min="5864" max="5864" width="9.85546875" style="88" bestFit="1" customWidth="1"/>
    <col min="5865" max="5865" width="10.5703125" style="88" bestFit="1" customWidth="1"/>
    <col min="5866" max="5868" width="13.42578125" style="88" customWidth="1"/>
    <col min="5869" max="5869" width="19.140625" style="88" customWidth="1"/>
    <col min="5870" max="5870" width="13.42578125" style="88" customWidth="1"/>
    <col min="5871" max="5871" width="19.85546875" style="88" customWidth="1"/>
    <col min="5872" max="5872" width="16" style="88" customWidth="1"/>
    <col min="5873" max="5873" width="24.28515625" style="88" customWidth="1"/>
    <col min="5874" max="5879" width="10.85546875" style="88" customWidth="1"/>
    <col min="5880" max="5880" width="16.28515625" style="88" bestFit="1" customWidth="1"/>
    <col min="5881" max="5881" width="12.140625" style="88" bestFit="1" customWidth="1"/>
    <col min="5882" max="5884" width="10.85546875" style="88" customWidth="1"/>
    <col min="5885" max="5885" width="9.28515625" style="88" bestFit="1" customWidth="1"/>
    <col min="5886" max="6115" width="9.140625" style="88"/>
    <col min="6116" max="6117" width="54" style="88" customWidth="1"/>
    <col min="6118" max="6118" width="16.7109375" style="88" customWidth="1"/>
    <col min="6119" max="6119" width="11.85546875" style="88" bestFit="1" customWidth="1"/>
    <col min="6120" max="6120" width="9.85546875" style="88" bestFit="1" customWidth="1"/>
    <col min="6121" max="6121" width="10.5703125" style="88" bestFit="1" customWidth="1"/>
    <col min="6122" max="6124" width="13.42578125" style="88" customWidth="1"/>
    <col min="6125" max="6125" width="19.140625" style="88" customWidth="1"/>
    <col min="6126" max="6126" width="13.42578125" style="88" customWidth="1"/>
    <col min="6127" max="6127" width="19.85546875" style="88" customWidth="1"/>
    <col min="6128" max="6128" width="16" style="88" customWidth="1"/>
    <col min="6129" max="6129" width="24.28515625" style="88" customWidth="1"/>
    <col min="6130" max="6135" width="10.85546875" style="88" customWidth="1"/>
    <col min="6136" max="6136" width="16.28515625" style="88" bestFit="1" customWidth="1"/>
    <col min="6137" max="6137" width="12.140625" style="88" bestFit="1" customWidth="1"/>
    <col min="6138" max="6140" width="10.85546875" style="88" customWidth="1"/>
    <col min="6141" max="6141" width="9.28515625" style="88" bestFit="1" customWidth="1"/>
    <col min="6142" max="6371" width="9.140625" style="88"/>
    <col min="6372" max="6373" width="54" style="88" customWidth="1"/>
    <col min="6374" max="6374" width="16.7109375" style="88" customWidth="1"/>
    <col min="6375" max="6375" width="11.85546875" style="88" bestFit="1" customWidth="1"/>
    <col min="6376" max="6376" width="9.85546875" style="88" bestFit="1" customWidth="1"/>
    <col min="6377" max="6377" width="10.5703125" style="88" bestFit="1" customWidth="1"/>
    <col min="6378" max="6380" width="13.42578125" style="88" customWidth="1"/>
    <col min="6381" max="6381" width="19.140625" style="88" customWidth="1"/>
    <col min="6382" max="6382" width="13.42578125" style="88" customWidth="1"/>
    <col min="6383" max="6383" width="19.85546875" style="88" customWidth="1"/>
    <col min="6384" max="6384" width="16" style="88" customWidth="1"/>
    <col min="6385" max="6385" width="24.28515625" style="88" customWidth="1"/>
    <col min="6386" max="6391" width="10.85546875" style="88" customWidth="1"/>
    <col min="6392" max="6392" width="16.28515625" style="88" bestFit="1" customWidth="1"/>
    <col min="6393" max="6393" width="12.140625" style="88" bestFit="1" customWidth="1"/>
    <col min="6394" max="6396" width="10.85546875" style="88" customWidth="1"/>
    <col min="6397" max="6397" width="9.28515625" style="88" bestFit="1" customWidth="1"/>
    <col min="6398" max="6627" width="9.140625" style="88"/>
    <col min="6628" max="6629" width="54" style="88" customWidth="1"/>
    <col min="6630" max="6630" width="16.7109375" style="88" customWidth="1"/>
    <col min="6631" max="6631" width="11.85546875" style="88" bestFit="1" customWidth="1"/>
    <col min="6632" max="6632" width="9.85546875" style="88" bestFit="1" customWidth="1"/>
    <col min="6633" max="6633" width="10.5703125" style="88" bestFit="1" customWidth="1"/>
    <col min="6634" max="6636" width="13.42578125" style="88" customWidth="1"/>
    <col min="6637" max="6637" width="19.140625" style="88" customWidth="1"/>
    <col min="6638" max="6638" width="13.42578125" style="88" customWidth="1"/>
    <col min="6639" max="6639" width="19.85546875" style="88" customWidth="1"/>
    <col min="6640" max="6640" width="16" style="88" customWidth="1"/>
    <col min="6641" max="6641" width="24.28515625" style="88" customWidth="1"/>
    <col min="6642" max="6647" width="10.85546875" style="88" customWidth="1"/>
    <col min="6648" max="6648" width="16.28515625" style="88" bestFit="1" customWidth="1"/>
    <col min="6649" max="6649" width="12.140625" style="88" bestFit="1" customWidth="1"/>
    <col min="6650" max="6652" width="10.85546875" style="88" customWidth="1"/>
    <col min="6653" max="6653" width="9.28515625" style="88" bestFit="1" customWidth="1"/>
    <col min="6654" max="6883" width="9.140625" style="88"/>
    <col min="6884" max="6885" width="54" style="88" customWidth="1"/>
    <col min="6886" max="6886" width="16.7109375" style="88" customWidth="1"/>
    <col min="6887" max="6887" width="11.85546875" style="88" bestFit="1" customWidth="1"/>
    <col min="6888" max="6888" width="9.85546875" style="88" bestFit="1" customWidth="1"/>
    <col min="6889" max="6889" width="10.5703125" style="88" bestFit="1" customWidth="1"/>
    <col min="6890" max="6892" width="13.42578125" style="88" customWidth="1"/>
    <col min="6893" max="6893" width="19.140625" style="88" customWidth="1"/>
    <col min="6894" max="6894" width="13.42578125" style="88" customWidth="1"/>
    <col min="6895" max="6895" width="19.85546875" style="88" customWidth="1"/>
    <col min="6896" max="6896" width="16" style="88" customWidth="1"/>
    <col min="6897" max="6897" width="24.28515625" style="88" customWidth="1"/>
    <col min="6898" max="6903" width="10.85546875" style="88" customWidth="1"/>
    <col min="6904" max="6904" width="16.28515625" style="88" bestFit="1" customWidth="1"/>
    <col min="6905" max="6905" width="12.140625" style="88" bestFit="1" customWidth="1"/>
    <col min="6906" max="6908" width="10.85546875" style="88" customWidth="1"/>
    <col min="6909" max="6909" width="9.28515625" style="88" bestFit="1" customWidth="1"/>
    <col min="6910" max="7139" width="9.140625" style="88"/>
    <col min="7140" max="7141" width="54" style="88" customWidth="1"/>
    <col min="7142" max="7142" width="16.7109375" style="88" customWidth="1"/>
    <col min="7143" max="7143" width="11.85546875" style="88" bestFit="1" customWidth="1"/>
    <col min="7144" max="7144" width="9.85546875" style="88" bestFit="1" customWidth="1"/>
    <col min="7145" max="7145" width="10.5703125" style="88" bestFit="1" customWidth="1"/>
    <col min="7146" max="7148" width="13.42578125" style="88" customWidth="1"/>
    <col min="7149" max="7149" width="19.140625" style="88" customWidth="1"/>
    <col min="7150" max="7150" width="13.42578125" style="88" customWidth="1"/>
    <col min="7151" max="7151" width="19.85546875" style="88" customWidth="1"/>
    <col min="7152" max="7152" width="16" style="88" customWidth="1"/>
    <col min="7153" max="7153" width="24.28515625" style="88" customWidth="1"/>
    <col min="7154" max="7159" width="10.85546875" style="88" customWidth="1"/>
    <col min="7160" max="7160" width="16.28515625" style="88" bestFit="1" customWidth="1"/>
    <col min="7161" max="7161" width="12.140625" style="88" bestFit="1" customWidth="1"/>
    <col min="7162" max="7164" width="10.85546875" style="88" customWidth="1"/>
    <col min="7165" max="7165" width="9.28515625" style="88" bestFit="1" customWidth="1"/>
    <col min="7166" max="7395" width="9.140625" style="88"/>
    <col min="7396" max="7397" width="54" style="88" customWidth="1"/>
    <col min="7398" max="7398" width="16.7109375" style="88" customWidth="1"/>
    <col min="7399" max="7399" width="11.85546875" style="88" bestFit="1" customWidth="1"/>
    <col min="7400" max="7400" width="9.85546875" style="88" bestFit="1" customWidth="1"/>
    <col min="7401" max="7401" width="10.5703125" style="88" bestFit="1" customWidth="1"/>
    <col min="7402" max="7404" width="13.42578125" style="88" customWidth="1"/>
    <col min="7405" max="7405" width="19.140625" style="88" customWidth="1"/>
    <col min="7406" max="7406" width="13.42578125" style="88" customWidth="1"/>
    <col min="7407" max="7407" width="19.85546875" style="88" customWidth="1"/>
    <col min="7408" max="7408" width="16" style="88" customWidth="1"/>
    <col min="7409" max="7409" width="24.28515625" style="88" customWidth="1"/>
    <col min="7410" max="7415" width="10.85546875" style="88" customWidth="1"/>
    <col min="7416" max="7416" width="16.28515625" style="88" bestFit="1" customWidth="1"/>
    <col min="7417" max="7417" width="12.140625" style="88" bestFit="1" customWidth="1"/>
    <col min="7418" max="7420" width="10.85546875" style="88" customWidth="1"/>
    <col min="7421" max="7421" width="9.28515625" style="88" bestFit="1" customWidth="1"/>
    <col min="7422" max="7651" width="9.140625" style="88"/>
    <col min="7652" max="7653" width="54" style="88" customWidth="1"/>
    <col min="7654" max="7654" width="16.7109375" style="88" customWidth="1"/>
    <col min="7655" max="7655" width="11.85546875" style="88" bestFit="1" customWidth="1"/>
    <col min="7656" max="7656" width="9.85546875" style="88" bestFit="1" customWidth="1"/>
    <col min="7657" max="7657" width="10.5703125" style="88" bestFit="1" customWidth="1"/>
    <col min="7658" max="7660" width="13.42578125" style="88" customWidth="1"/>
    <col min="7661" max="7661" width="19.140625" style="88" customWidth="1"/>
    <col min="7662" max="7662" width="13.42578125" style="88" customWidth="1"/>
    <col min="7663" max="7663" width="19.85546875" style="88" customWidth="1"/>
    <col min="7664" max="7664" width="16" style="88" customWidth="1"/>
    <col min="7665" max="7665" width="24.28515625" style="88" customWidth="1"/>
    <col min="7666" max="7671" width="10.85546875" style="88" customWidth="1"/>
    <col min="7672" max="7672" width="16.28515625" style="88" bestFit="1" customWidth="1"/>
    <col min="7673" max="7673" width="12.140625" style="88" bestFit="1" customWidth="1"/>
    <col min="7674" max="7676" width="10.85546875" style="88" customWidth="1"/>
    <col min="7677" max="7677" width="9.28515625" style="88" bestFit="1" customWidth="1"/>
    <col min="7678" max="7907" width="9.140625" style="88"/>
    <col min="7908" max="7909" width="54" style="88" customWidth="1"/>
    <col min="7910" max="7910" width="16.7109375" style="88" customWidth="1"/>
    <col min="7911" max="7911" width="11.85546875" style="88" bestFit="1" customWidth="1"/>
    <col min="7912" max="7912" width="9.85546875" style="88" bestFit="1" customWidth="1"/>
    <col min="7913" max="7913" width="10.5703125" style="88" bestFit="1" customWidth="1"/>
    <col min="7914" max="7916" width="13.42578125" style="88" customWidth="1"/>
    <col min="7917" max="7917" width="19.140625" style="88" customWidth="1"/>
    <col min="7918" max="7918" width="13.42578125" style="88" customWidth="1"/>
    <col min="7919" max="7919" width="19.85546875" style="88" customWidth="1"/>
    <col min="7920" max="7920" width="16" style="88" customWidth="1"/>
    <col min="7921" max="7921" width="24.28515625" style="88" customWidth="1"/>
    <col min="7922" max="7927" width="10.85546875" style="88" customWidth="1"/>
    <col min="7928" max="7928" width="16.28515625" style="88" bestFit="1" customWidth="1"/>
    <col min="7929" max="7929" width="12.140625" style="88" bestFit="1" customWidth="1"/>
    <col min="7930" max="7932" width="10.85546875" style="88" customWidth="1"/>
    <col min="7933" max="7933" width="9.28515625" style="88" bestFit="1" customWidth="1"/>
    <col min="7934" max="8163" width="9.140625" style="88"/>
    <col min="8164" max="8165" width="54" style="88" customWidth="1"/>
    <col min="8166" max="8166" width="16.7109375" style="88" customWidth="1"/>
    <col min="8167" max="8167" width="11.85546875" style="88" bestFit="1" customWidth="1"/>
    <col min="8168" max="8168" width="9.85546875" style="88" bestFit="1" customWidth="1"/>
    <col min="8169" max="8169" width="10.5703125" style="88" bestFit="1" customWidth="1"/>
    <col min="8170" max="8172" width="13.42578125" style="88" customWidth="1"/>
    <col min="8173" max="8173" width="19.140625" style="88" customWidth="1"/>
    <col min="8174" max="8174" width="13.42578125" style="88" customWidth="1"/>
    <col min="8175" max="8175" width="19.85546875" style="88" customWidth="1"/>
    <col min="8176" max="8176" width="16" style="88" customWidth="1"/>
    <col min="8177" max="8177" width="24.28515625" style="88" customWidth="1"/>
    <col min="8178" max="8183" width="10.85546875" style="88" customWidth="1"/>
    <col min="8184" max="8184" width="16.28515625" style="88" bestFit="1" customWidth="1"/>
    <col min="8185" max="8185" width="12.140625" style="88" bestFit="1" customWidth="1"/>
    <col min="8186" max="8188" width="10.85546875" style="88" customWidth="1"/>
    <col min="8189" max="8189" width="9.28515625" style="88" bestFit="1" customWidth="1"/>
    <col min="8190" max="8419" width="9.140625" style="88"/>
    <col min="8420" max="8421" width="54" style="88" customWidth="1"/>
    <col min="8422" max="8422" width="16.7109375" style="88" customWidth="1"/>
    <col min="8423" max="8423" width="11.85546875" style="88" bestFit="1" customWidth="1"/>
    <col min="8424" max="8424" width="9.85546875" style="88" bestFit="1" customWidth="1"/>
    <col min="8425" max="8425" width="10.5703125" style="88" bestFit="1" customWidth="1"/>
    <col min="8426" max="8428" width="13.42578125" style="88" customWidth="1"/>
    <col min="8429" max="8429" width="19.140625" style="88" customWidth="1"/>
    <col min="8430" max="8430" width="13.42578125" style="88" customWidth="1"/>
    <col min="8431" max="8431" width="19.85546875" style="88" customWidth="1"/>
    <col min="8432" max="8432" width="16" style="88" customWidth="1"/>
    <col min="8433" max="8433" width="24.28515625" style="88" customWidth="1"/>
    <col min="8434" max="8439" width="10.85546875" style="88" customWidth="1"/>
    <col min="8440" max="8440" width="16.28515625" style="88" bestFit="1" customWidth="1"/>
    <col min="8441" max="8441" width="12.140625" style="88" bestFit="1" customWidth="1"/>
    <col min="8442" max="8444" width="10.85546875" style="88" customWidth="1"/>
    <col min="8445" max="8445" width="9.28515625" style="88" bestFit="1" customWidth="1"/>
    <col min="8446" max="8675" width="9.140625" style="88"/>
    <col min="8676" max="8677" width="54" style="88" customWidth="1"/>
    <col min="8678" max="8678" width="16.7109375" style="88" customWidth="1"/>
    <col min="8679" max="8679" width="11.85546875" style="88" bestFit="1" customWidth="1"/>
    <col min="8680" max="8680" width="9.85546875" style="88" bestFit="1" customWidth="1"/>
    <col min="8681" max="8681" width="10.5703125" style="88" bestFit="1" customWidth="1"/>
    <col min="8682" max="8684" width="13.42578125" style="88" customWidth="1"/>
    <col min="8685" max="8685" width="19.140625" style="88" customWidth="1"/>
    <col min="8686" max="8686" width="13.42578125" style="88" customWidth="1"/>
    <col min="8687" max="8687" width="19.85546875" style="88" customWidth="1"/>
    <col min="8688" max="8688" width="16" style="88" customWidth="1"/>
    <col min="8689" max="8689" width="24.28515625" style="88" customWidth="1"/>
    <col min="8690" max="8695" width="10.85546875" style="88" customWidth="1"/>
    <col min="8696" max="8696" width="16.28515625" style="88" bestFit="1" customWidth="1"/>
    <col min="8697" max="8697" width="12.140625" style="88" bestFit="1" customWidth="1"/>
    <col min="8698" max="8700" width="10.85546875" style="88" customWidth="1"/>
    <col min="8701" max="8701" width="9.28515625" style="88" bestFit="1" customWidth="1"/>
    <col min="8702" max="8931" width="9.140625" style="88"/>
    <col min="8932" max="8933" width="54" style="88" customWidth="1"/>
    <col min="8934" max="8934" width="16.7109375" style="88" customWidth="1"/>
    <col min="8935" max="8935" width="11.85546875" style="88" bestFit="1" customWidth="1"/>
    <col min="8936" max="8936" width="9.85546875" style="88" bestFit="1" customWidth="1"/>
    <col min="8937" max="8937" width="10.5703125" style="88" bestFit="1" customWidth="1"/>
    <col min="8938" max="8940" width="13.42578125" style="88" customWidth="1"/>
    <col min="8941" max="8941" width="19.140625" style="88" customWidth="1"/>
    <col min="8942" max="8942" width="13.42578125" style="88" customWidth="1"/>
    <col min="8943" max="8943" width="19.85546875" style="88" customWidth="1"/>
    <col min="8944" max="8944" width="16" style="88" customWidth="1"/>
    <col min="8945" max="8945" width="24.28515625" style="88" customWidth="1"/>
    <col min="8946" max="8951" width="10.85546875" style="88" customWidth="1"/>
    <col min="8952" max="8952" width="16.28515625" style="88" bestFit="1" customWidth="1"/>
    <col min="8953" max="8953" width="12.140625" style="88" bestFit="1" customWidth="1"/>
    <col min="8954" max="8956" width="10.85546875" style="88" customWidth="1"/>
    <col min="8957" max="8957" width="9.28515625" style="88" bestFit="1" customWidth="1"/>
    <col min="8958" max="9187" width="9.140625" style="88"/>
    <col min="9188" max="9189" width="54" style="88" customWidth="1"/>
    <col min="9190" max="9190" width="16.7109375" style="88" customWidth="1"/>
    <col min="9191" max="9191" width="11.85546875" style="88" bestFit="1" customWidth="1"/>
    <col min="9192" max="9192" width="9.85546875" style="88" bestFit="1" customWidth="1"/>
    <col min="9193" max="9193" width="10.5703125" style="88" bestFit="1" customWidth="1"/>
    <col min="9194" max="9196" width="13.42578125" style="88" customWidth="1"/>
    <col min="9197" max="9197" width="19.140625" style="88" customWidth="1"/>
    <col min="9198" max="9198" width="13.42578125" style="88" customWidth="1"/>
    <col min="9199" max="9199" width="19.85546875" style="88" customWidth="1"/>
    <col min="9200" max="9200" width="16" style="88" customWidth="1"/>
    <col min="9201" max="9201" width="24.28515625" style="88" customWidth="1"/>
    <col min="9202" max="9207" width="10.85546875" style="88" customWidth="1"/>
    <col min="9208" max="9208" width="16.28515625" style="88" bestFit="1" customWidth="1"/>
    <col min="9209" max="9209" width="12.140625" style="88" bestFit="1" customWidth="1"/>
    <col min="9210" max="9212" width="10.85546875" style="88" customWidth="1"/>
    <col min="9213" max="9213" width="9.28515625" style="88" bestFit="1" customWidth="1"/>
    <col min="9214" max="9443" width="9.140625" style="88"/>
    <col min="9444" max="9445" width="54" style="88" customWidth="1"/>
    <col min="9446" max="9446" width="16.7109375" style="88" customWidth="1"/>
    <col min="9447" max="9447" width="11.85546875" style="88" bestFit="1" customWidth="1"/>
    <col min="9448" max="9448" width="9.85546875" style="88" bestFit="1" customWidth="1"/>
    <col min="9449" max="9449" width="10.5703125" style="88" bestFit="1" customWidth="1"/>
    <col min="9450" max="9452" width="13.42578125" style="88" customWidth="1"/>
    <col min="9453" max="9453" width="19.140625" style="88" customWidth="1"/>
    <col min="9454" max="9454" width="13.42578125" style="88" customWidth="1"/>
    <col min="9455" max="9455" width="19.85546875" style="88" customWidth="1"/>
    <col min="9456" max="9456" width="16" style="88" customWidth="1"/>
    <col min="9457" max="9457" width="24.28515625" style="88" customWidth="1"/>
    <col min="9458" max="9463" width="10.85546875" style="88" customWidth="1"/>
    <col min="9464" max="9464" width="16.28515625" style="88" bestFit="1" customWidth="1"/>
    <col min="9465" max="9465" width="12.140625" style="88" bestFit="1" customWidth="1"/>
    <col min="9466" max="9468" width="10.85546875" style="88" customWidth="1"/>
    <col min="9469" max="9469" width="9.28515625" style="88" bestFit="1" customWidth="1"/>
    <col min="9470" max="9699" width="9.140625" style="88"/>
    <col min="9700" max="9701" width="54" style="88" customWidth="1"/>
    <col min="9702" max="9702" width="16.7109375" style="88" customWidth="1"/>
    <col min="9703" max="9703" width="11.85546875" style="88" bestFit="1" customWidth="1"/>
    <col min="9704" max="9704" width="9.85546875" style="88" bestFit="1" customWidth="1"/>
    <col min="9705" max="9705" width="10.5703125" style="88" bestFit="1" customWidth="1"/>
    <col min="9706" max="9708" width="13.42578125" style="88" customWidth="1"/>
    <col min="9709" max="9709" width="19.140625" style="88" customWidth="1"/>
    <col min="9710" max="9710" width="13.42578125" style="88" customWidth="1"/>
    <col min="9711" max="9711" width="19.85546875" style="88" customWidth="1"/>
    <col min="9712" max="9712" width="16" style="88" customWidth="1"/>
    <col min="9713" max="9713" width="24.28515625" style="88" customWidth="1"/>
    <col min="9714" max="9719" width="10.85546875" style="88" customWidth="1"/>
    <col min="9720" max="9720" width="16.28515625" style="88" bestFit="1" customWidth="1"/>
    <col min="9721" max="9721" width="12.140625" style="88" bestFit="1" customWidth="1"/>
    <col min="9722" max="9724" width="10.85546875" style="88" customWidth="1"/>
    <col min="9725" max="9725" width="9.28515625" style="88" bestFit="1" customWidth="1"/>
    <col min="9726" max="9955" width="9.140625" style="88"/>
    <col min="9956" max="9957" width="54" style="88" customWidth="1"/>
    <col min="9958" max="9958" width="16.7109375" style="88" customWidth="1"/>
    <col min="9959" max="9959" width="11.85546875" style="88" bestFit="1" customWidth="1"/>
    <col min="9960" max="9960" width="9.85546875" style="88" bestFit="1" customWidth="1"/>
    <col min="9961" max="9961" width="10.5703125" style="88" bestFit="1" customWidth="1"/>
    <col min="9962" max="9964" width="13.42578125" style="88" customWidth="1"/>
    <col min="9965" max="9965" width="19.140625" style="88" customWidth="1"/>
    <col min="9966" max="9966" width="13.42578125" style="88" customWidth="1"/>
    <col min="9967" max="9967" width="19.85546875" style="88" customWidth="1"/>
    <col min="9968" max="9968" width="16" style="88" customWidth="1"/>
    <col min="9969" max="9969" width="24.28515625" style="88" customWidth="1"/>
    <col min="9970" max="9975" width="10.85546875" style="88" customWidth="1"/>
    <col min="9976" max="9976" width="16.28515625" style="88" bestFit="1" customWidth="1"/>
    <col min="9977" max="9977" width="12.140625" style="88" bestFit="1" customWidth="1"/>
    <col min="9978" max="9980" width="10.85546875" style="88" customWidth="1"/>
    <col min="9981" max="9981" width="9.28515625" style="88" bestFit="1" customWidth="1"/>
    <col min="9982" max="10211" width="9.140625" style="88"/>
    <col min="10212" max="10213" width="54" style="88" customWidth="1"/>
    <col min="10214" max="10214" width="16.7109375" style="88" customWidth="1"/>
    <col min="10215" max="10215" width="11.85546875" style="88" bestFit="1" customWidth="1"/>
    <col min="10216" max="10216" width="9.85546875" style="88" bestFit="1" customWidth="1"/>
    <col min="10217" max="10217" width="10.5703125" style="88" bestFit="1" customWidth="1"/>
    <col min="10218" max="10220" width="13.42578125" style="88" customWidth="1"/>
    <col min="10221" max="10221" width="19.140625" style="88" customWidth="1"/>
    <col min="10222" max="10222" width="13.42578125" style="88" customWidth="1"/>
    <col min="10223" max="10223" width="19.85546875" style="88" customWidth="1"/>
    <col min="10224" max="10224" width="16" style="88" customWidth="1"/>
    <col min="10225" max="10225" width="24.28515625" style="88" customWidth="1"/>
    <col min="10226" max="10231" width="10.85546875" style="88" customWidth="1"/>
    <col min="10232" max="10232" width="16.28515625" style="88" bestFit="1" customWidth="1"/>
    <col min="10233" max="10233" width="12.140625" style="88" bestFit="1" customWidth="1"/>
    <col min="10234" max="10236" width="10.85546875" style="88" customWidth="1"/>
    <col min="10237" max="10237" width="9.28515625" style="88" bestFit="1" customWidth="1"/>
    <col min="10238" max="10467" width="9.140625" style="88"/>
    <col min="10468" max="10469" width="54" style="88" customWidth="1"/>
    <col min="10470" max="10470" width="16.7109375" style="88" customWidth="1"/>
    <col min="10471" max="10471" width="11.85546875" style="88" bestFit="1" customWidth="1"/>
    <col min="10472" max="10472" width="9.85546875" style="88" bestFit="1" customWidth="1"/>
    <col min="10473" max="10473" width="10.5703125" style="88" bestFit="1" customWidth="1"/>
    <col min="10474" max="10476" width="13.42578125" style="88" customWidth="1"/>
    <col min="10477" max="10477" width="19.140625" style="88" customWidth="1"/>
    <col min="10478" max="10478" width="13.42578125" style="88" customWidth="1"/>
    <col min="10479" max="10479" width="19.85546875" style="88" customWidth="1"/>
    <col min="10480" max="10480" width="16" style="88" customWidth="1"/>
    <col min="10481" max="10481" width="24.28515625" style="88" customWidth="1"/>
    <col min="10482" max="10487" width="10.85546875" style="88" customWidth="1"/>
    <col min="10488" max="10488" width="16.28515625" style="88" bestFit="1" customWidth="1"/>
    <col min="10489" max="10489" width="12.140625" style="88" bestFit="1" customWidth="1"/>
    <col min="10490" max="10492" width="10.85546875" style="88" customWidth="1"/>
    <col min="10493" max="10493" width="9.28515625" style="88" bestFit="1" customWidth="1"/>
    <col min="10494" max="10723" width="9.140625" style="88"/>
    <col min="10724" max="10725" width="54" style="88" customWidth="1"/>
    <col min="10726" max="10726" width="16.7109375" style="88" customWidth="1"/>
    <col min="10727" max="10727" width="11.85546875" style="88" bestFit="1" customWidth="1"/>
    <col min="10728" max="10728" width="9.85546875" style="88" bestFit="1" customWidth="1"/>
    <col min="10729" max="10729" width="10.5703125" style="88" bestFit="1" customWidth="1"/>
    <col min="10730" max="10732" width="13.42578125" style="88" customWidth="1"/>
    <col min="10733" max="10733" width="19.140625" style="88" customWidth="1"/>
    <col min="10734" max="10734" width="13.42578125" style="88" customWidth="1"/>
    <col min="10735" max="10735" width="19.85546875" style="88" customWidth="1"/>
    <col min="10736" max="10736" width="16" style="88" customWidth="1"/>
    <col min="10737" max="10737" width="24.28515625" style="88" customWidth="1"/>
    <col min="10738" max="10743" width="10.85546875" style="88" customWidth="1"/>
    <col min="10744" max="10744" width="16.28515625" style="88" bestFit="1" customWidth="1"/>
    <col min="10745" max="10745" width="12.140625" style="88" bestFit="1" customWidth="1"/>
    <col min="10746" max="10748" width="10.85546875" style="88" customWidth="1"/>
    <col min="10749" max="10749" width="9.28515625" style="88" bestFit="1" customWidth="1"/>
    <col min="10750" max="10979" width="9.140625" style="88"/>
    <col min="10980" max="10981" width="54" style="88" customWidth="1"/>
    <col min="10982" max="10982" width="16.7109375" style="88" customWidth="1"/>
    <col min="10983" max="10983" width="11.85546875" style="88" bestFit="1" customWidth="1"/>
    <col min="10984" max="10984" width="9.85546875" style="88" bestFit="1" customWidth="1"/>
    <col min="10985" max="10985" width="10.5703125" style="88" bestFit="1" customWidth="1"/>
    <col min="10986" max="10988" width="13.42578125" style="88" customWidth="1"/>
    <col min="10989" max="10989" width="19.140625" style="88" customWidth="1"/>
    <col min="10990" max="10990" width="13.42578125" style="88" customWidth="1"/>
    <col min="10991" max="10991" width="19.85546875" style="88" customWidth="1"/>
    <col min="10992" max="10992" width="16" style="88" customWidth="1"/>
    <col min="10993" max="10993" width="24.28515625" style="88" customWidth="1"/>
    <col min="10994" max="10999" width="10.85546875" style="88" customWidth="1"/>
    <col min="11000" max="11000" width="16.28515625" style="88" bestFit="1" customWidth="1"/>
    <col min="11001" max="11001" width="12.140625" style="88" bestFit="1" customWidth="1"/>
    <col min="11002" max="11004" width="10.85546875" style="88" customWidth="1"/>
    <col min="11005" max="11005" width="9.28515625" style="88" bestFit="1" customWidth="1"/>
    <col min="11006" max="11235" width="9.140625" style="88"/>
    <col min="11236" max="11237" width="54" style="88" customWidth="1"/>
    <col min="11238" max="11238" width="16.7109375" style="88" customWidth="1"/>
    <col min="11239" max="11239" width="11.85546875" style="88" bestFit="1" customWidth="1"/>
    <col min="11240" max="11240" width="9.85546875" style="88" bestFit="1" customWidth="1"/>
    <col min="11241" max="11241" width="10.5703125" style="88" bestFit="1" customWidth="1"/>
    <col min="11242" max="11244" width="13.42578125" style="88" customWidth="1"/>
    <col min="11245" max="11245" width="19.140625" style="88" customWidth="1"/>
    <col min="11246" max="11246" width="13.42578125" style="88" customWidth="1"/>
    <col min="11247" max="11247" width="19.85546875" style="88" customWidth="1"/>
    <col min="11248" max="11248" width="16" style="88" customWidth="1"/>
    <col min="11249" max="11249" width="24.28515625" style="88" customWidth="1"/>
    <col min="11250" max="11255" width="10.85546875" style="88" customWidth="1"/>
    <col min="11256" max="11256" width="16.28515625" style="88" bestFit="1" customWidth="1"/>
    <col min="11257" max="11257" width="12.140625" style="88" bestFit="1" customWidth="1"/>
    <col min="11258" max="11260" width="10.85546875" style="88" customWidth="1"/>
    <col min="11261" max="11261" width="9.28515625" style="88" bestFit="1" customWidth="1"/>
    <col min="11262" max="11491" width="9.140625" style="88"/>
    <col min="11492" max="11493" width="54" style="88" customWidth="1"/>
    <col min="11494" max="11494" width="16.7109375" style="88" customWidth="1"/>
    <col min="11495" max="11495" width="11.85546875" style="88" bestFit="1" customWidth="1"/>
    <col min="11496" max="11496" width="9.85546875" style="88" bestFit="1" customWidth="1"/>
    <col min="11497" max="11497" width="10.5703125" style="88" bestFit="1" customWidth="1"/>
    <col min="11498" max="11500" width="13.42578125" style="88" customWidth="1"/>
    <col min="11501" max="11501" width="19.140625" style="88" customWidth="1"/>
    <col min="11502" max="11502" width="13.42578125" style="88" customWidth="1"/>
    <col min="11503" max="11503" width="19.85546875" style="88" customWidth="1"/>
    <col min="11504" max="11504" width="16" style="88" customWidth="1"/>
    <col min="11505" max="11505" width="24.28515625" style="88" customWidth="1"/>
    <col min="11506" max="11511" width="10.85546875" style="88" customWidth="1"/>
    <col min="11512" max="11512" width="16.28515625" style="88" bestFit="1" customWidth="1"/>
    <col min="11513" max="11513" width="12.140625" style="88" bestFit="1" customWidth="1"/>
    <col min="11514" max="11516" width="10.85546875" style="88" customWidth="1"/>
    <col min="11517" max="11517" width="9.28515625" style="88" bestFit="1" customWidth="1"/>
    <col min="11518" max="11747" width="9.140625" style="88"/>
    <col min="11748" max="11749" width="54" style="88" customWidth="1"/>
    <col min="11750" max="11750" width="16.7109375" style="88" customWidth="1"/>
    <col min="11751" max="11751" width="11.85546875" style="88" bestFit="1" customWidth="1"/>
    <col min="11752" max="11752" width="9.85546875" style="88" bestFit="1" customWidth="1"/>
    <col min="11753" max="11753" width="10.5703125" style="88" bestFit="1" customWidth="1"/>
    <col min="11754" max="11756" width="13.42578125" style="88" customWidth="1"/>
    <col min="11757" max="11757" width="19.140625" style="88" customWidth="1"/>
    <col min="11758" max="11758" width="13.42578125" style="88" customWidth="1"/>
    <col min="11759" max="11759" width="19.85546875" style="88" customWidth="1"/>
    <col min="11760" max="11760" width="16" style="88" customWidth="1"/>
    <col min="11761" max="11761" width="24.28515625" style="88" customWidth="1"/>
    <col min="11762" max="11767" width="10.85546875" style="88" customWidth="1"/>
    <col min="11768" max="11768" width="16.28515625" style="88" bestFit="1" customWidth="1"/>
    <col min="11769" max="11769" width="12.140625" style="88" bestFit="1" customWidth="1"/>
    <col min="11770" max="11772" width="10.85546875" style="88" customWidth="1"/>
    <col min="11773" max="11773" width="9.28515625" style="88" bestFit="1" customWidth="1"/>
    <col min="11774" max="12003" width="9.140625" style="88"/>
    <col min="12004" max="12005" width="54" style="88" customWidth="1"/>
    <col min="12006" max="12006" width="16.7109375" style="88" customWidth="1"/>
    <col min="12007" max="12007" width="11.85546875" style="88" bestFit="1" customWidth="1"/>
    <col min="12008" max="12008" width="9.85546875" style="88" bestFit="1" customWidth="1"/>
    <col min="12009" max="12009" width="10.5703125" style="88" bestFit="1" customWidth="1"/>
    <col min="12010" max="12012" width="13.42578125" style="88" customWidth="1"/>
    <col min="12013" max="12013" width="19.140625" style="88" customWidth="1"/>
    <col min="12014" max="12014" width="13.42578125" style="88" customWidth="1"/>
    <col min="12015" max="12015" width="19.85546875" style="88" customWidth="1"/>
    <col min="12016" max="12016" width="16" style="88" customWidth="1"/>
    <col min="12017" max="12017" width="24.28515625" style="88" customWidth="1"/>
    <col min="12018" max="12023" width="10.85546875" style="88" customWidth="1"/>
    <col min="12024" max="12024" width="16.28515625" style="88" bestFit="1" customWidth="1"/>
    <col min="12025" max="12025" width="12.140625" style="88" bestFit="1" customWidth="1"/>
    <col min="12026" max="12028" width="10.85546875" style="88" customWidth="1"/>
    <col min="12029" max="12029" width="9.28515625" style="88" bestFit="1" customWidth="1"/>
    <col min="12030" max="12259" width="9.140625" style="88"/>
    <col min="12260" max="12261" width="54" style="88" customWidth="1"/>
    <col min="12262" max="12262" width="16.7109375" style="88" customWidth="1"/>
    <col min="12263" max="12263" width="11.85546875" style="88" bestFit="1" customWidth="1"/>
    <col min="12264" max="12264" width="9.85546875" style="88" bestFit="1" customWidth="1"/>
    <col min="12265" max="12265" width="10.5703125" style="88" bestFit="1" customWidth="1"/>
    <col min="12266" max="12268" width="13.42578125" style="88" customWidth="1"/>
    <col min="12269" max="12269" width="19.140625" style="88" customWidth="1"/>
    <col min="12270" max="12270" width="13.42578125" style="88" customWidth="1"/>
    <col min="12271" max="12271" width="19.85546875" style="88" customWidth="1"/>
    <col min="12272" max="12272" width="16" style="88" customWidth="1"/>
    <col min="12273" max="12273" width="24.28515625" style="88" customWidth="1"/>
    <col min="12274" max="12279" width="10.85546875" style="88" customWidth="1"/>
    <col min="12280" max="12280" width="16.28515625" style="88" bestFit="1" customWidth="1"/>
    <col min="12281" max="12281" width="12.140625" style="88" bestFit="1" customWidth="1"/>
    <col min="12282" max="12284" width="10.85546875" style="88" customWidth="1"/>
    <col min="12285" max="12285" width="9.28515625" style="88" bestFit="1" customWidth="1"/>
    <col min="12286" max="12515" width="9.140625" style="88"/>
    <col min="12516" max="12517" width="54" style="88" customWidth="1"/>
    <col min="12518" max="12518" width="16.7109375" style="88" customWidth="1"/>
    <col min="12519" max="12519" width="11.85546875" style="88" bestFit="1" customWidth="1"/>
    <col min="12520" max="12520" width="9.85546875" style="88" bestFit="1" customWidth="1"/>
    <col min="12521" max="12521" width="10.5703125" style="88" bestFit="1" customWidth="1"/>
    <col min="12522" max="12524" width="13.42578125" style="88" customWidth="1"/>
    <col min="12525" max="12525" width="19.140625" style="88" customWidth="1"/>
    <col min="12526" max="12526" width="13.42578125" style="88" customWidth="1"/>
    <col min="12527" max="12527" width="19.85546875" style="88" customWidth="1"/>
    <col min="12528" max="12528" width="16" style="88" customWidth="1"/>
    <col min="12529" max="12529" width="24.28515625" style="88" customWidth="1"/>
    <col min="12530" max="12535" width="10.85546875" style="88" customWidth="1"/>
    <col min="12536" max="12536" width="16.28515625" style="88" bestFit="1" customWidth="1"/>
    <col min="12537" max="12537" width="12.140625" style="88" bestFit="1" customWidth="1"/>
    <col min="12538" max="12540" width="10.85546875" style="88" customWidth="1"/>
    <col min="12541" max="12541" width="9.28515625" style="88" bestFit="1" customWidth="1"/>
    <col min="12542" max="12771" width="9.140625" style="88"/>
    <col min="12772" max="12773" width="54" style="88" customWidth="1"/>
    <col min="12774" max="12774" width="16.7109375" style="88" customWidth="1"/>
    <col min="12775" max="12775" width="11.85546875" style="88" bestFit="1" customWidth="1"/>
    <col min="12776" max="12776" width="9.85546875" style="88" bestFit="1" customWidth="1"/>
    <col min="12777" max="12777" width="10.5703125" style="88" bestFit="1" customWidth="1"/>
    <col min="12778" max="12780" width="13.42578125" style="88" customWidth="1"/>
    <col min="12781" max="12781" width="19.140625" style="88" customWidth="1"/>
    <col min="12782" max="12782" width="13.42578125" style="88" customWidth="1"/>
    <col min="12783" max="12783" width="19.85546875" style="88" customWidth="1"/>
    <col min="12784" max="12784" width="16" style="88" customWidth="1"/>
    <col min="12785" max="12785" width="24.28515625" style="88" customWidth="1"/>
    <col min="12786" max="12791" width="10.85546875" style="88" customWidth="1"/>
    <col min="12792" max="12792" width="16.28515625" style="88" bestFit="1" customWidth="1"/>
    <col min="12793" max="12793" width="12.140625" style="88" bestFit="1" customWidth="1"/>
    <col min="12794" max="12796" width="10.85546875" style="88" customWidth="1"/>
    <col min="12797" max="12797" width="9.28515625" style="88" bestFit="1" customWidth="1"/>
    <col min="12798" max="13027" width="9.140625" style="88"/>
    <col min="13028" max="13029" width="54" style="88" customWidth="1"/>
    <col min="13030" max="13030" width="16.7109375" style="88" customWidth="1"/>
    <col min="13031" max="13031" width="11.85546875" style="88" bestFit="1" customWidth="1"/>
    <col min="13032" max="13032" width="9.85546875" style="88" bestFit="1" customWidth="1"/>
    <col min="13033" max="13033" width="10.5703125" style="88" bestFit="1" customWidth="1"/>
    <col min="13034" max="13036" width="13.42578125" style="88" customWidth="1"/>
    <col min="13037" max="13037" width="19.140625" style="88" customWidth="1"/>
    <col min="13038" max="13038" width="13.42578125" style="88" customWidth="1"/>
    <col min="13039" max="13039" width="19.85546875" style="88" customWidth="1"/>
    <col min="13040" max="13040" width="16" style="88" customWidth="1"/>
    <col min="13041" max="13041" width="24.28515625" style="88" customWidth="1"/>
    <col min="13042" max="13047" width="10.85546875" style="88" customWidth="1"/>
    <col min="13048" max="13048" width="16.28515625" style="88" bestFit="1" customWidth="1"/>
    <col min="13049" max="13049" width="12.140625" style="88" bestFit="1" customWidth="1"/>
    <col min="13050" max="13052" width="10.85546875" style="88" customWidth="1"/>
    <col min="13053" max="13053" width="9.28515625" style="88" bestFit="1" customWidth="1"/>
    <col min="13054" max="13283" width="9.140625" style="88"/>
    <col min="13284" max="13285" width="54" style="88" customWidth="1"/>
    <col min="13286" max="13286" width="16.7109375" style="88" customWidth="1"/>
    <col min="13287" max="13287" width="11.85546875" style="88" bestFit="1" customWidth="1"/>
    <col min="13288" max="13288" width="9.85546875" style="88" bestFit="1" customWidth="1"/>
    <col min="13289" max="13289" width="10.5703125" style="88" bestFit="1" customWidth="1"/>
    <col min="13290" max="13292" width="13.42578125" style="88" customWidth="1"/>
    <col min="13293" max="13293" width="19.140625" style="88" customWidth="1"/>
    <col min="13294" max="13294" width="13.42578125" style="88" customWidth="1"/>
    <col min="13295" max="13295" width="19.85546875" style="88" customWidth="1"/>
    <col min="13296" max="13296" width="16" style="88" customWidth="1"/>
    <col min="13297" max="13297" width="24.28515625" style="88" customWidth="1"/>
    <col min="13298" max="13303" width="10.85546875" style="88" customWidth="1"/>
    <col min="13304" max="13304" width="16.28515625" style="88" bestFit="1" customWidth="1"/>
    <col min="13305" max="13305" width="12.140625" style="88" bestFit="1" customWidth="1"/>
    <col min="13306" max="13308" width="10.85546875" style="88" customWidth="1"/>
    <col min="13309" max="13309" width="9.28515625" style="88" bestFit="1" customWidth="1"/>
    <col min="13310" max="13539" width="9.140625" style="88"/>
    <col min="13540" max="13541" width="54" style="88" customWidth="1"/>
    <col min="13542" max="13542" width="16.7109375" style="88" customWidth="1"/>
    <col min="13543" max="13543" width="11.85546875" style="88" bestFit="1" customWidth="1"/>
    <col min="13544" max="13544" width="9.85546875" style="88" bestFit="1" customWidth="1"/>
    <col min="13545" max="13545" width="10.5703125" style="88" bestFit="1" customWidth="1"/>
    <col min="13546" max="13548" width="13.42578125" style="88" customWidth="1"/>
    <col min="13549" max="13549" width="19.140625" style="88" customWidth="1"/>
    <col min="13550" max="13550" width="13.42578125" style="88" customWidth="1"/>
    <col min="13551" max="13551" width="19.85546875" style="88" customWidth="1"/>
    <col min="13552" max="13552" width="16" style="88" customWidth="1"/>
    <col min="13553" max="13553" width="24.28515625" style="88" customWidth="1"/>
    <col min="13554" max="13559" width="10.85546875" style="88" customWidth="1"/>
    <col min="13560" max="13560" width="16.28515625" style="88" bestFit="1" customWidth="1"/>
    <col min="13561" max="13561" width="12.140625" style="88" bestFit="1" customWidth="1"/>
    <col min="13562" max="13564" width="10.85546875" style="88" customWidth="1"/>
    <col min="13565" max="13565" width="9.28515625" style="88" bestFit="1" customWidth="1"/>
    <col min="13566" max="13795" width="9.140625" style="88"/>
    <col min="13796" max="13797" width="54" style="88" customWidth="1"/>
    <col min="13798" max="13798" width="16.7109375" style="88" customWidth="1"/>
    <col min="13799" max="13799" width="11.85546875" style="88" bestFit="1" customWidth="1"/>
    <col min="13800" max="13800" width="9.85546875" style="88" bestFit="1" customWidth="1"/>
    <col min="13801" max="13801" width="10.5703125" style="88" bestFit="1" customWidth="1"/>
    <col min="13802" max="13804" width="13.42578125" style="88" customWidth="1"/>
    <col min="13805" max="13805" width="19.140625" style="88" customWidth="1"/>
    <col min="13806" max="13806" width="13.42578125" style="88" customWidth="1"/>
    <col min="13807" max="13807" width="19.85546875" style="88" customWidth="1"/>
    <col min="13808" max="13808" width="16" style="88" customWidth="1"/>
    <col min="13809" max="13809" width="24.28515625" style="88" customWidth="1"/>
    <col min="13810" max="13815" width="10.85546875" style="88" customWidth="1"/>
    <col min="13816" max="13816" width="16.28515625" style="88" bestFit="1" customWidth="1"/>
    <col min="13817" max="13817" width="12.140625" style="88" bestFit="1" customWidth="1"/>
    <col min="13818" max="13820" width="10.85546875" style="88" customWidth="1"/>
    <col min="13821" max="13821" width="9.28515625" style="88" bestFit="1" customWidth="1"/>
    <col min="13822" max="14051" width="9.140625" style="88"/>
    <col min="14052" max="14053" width="54" style="88" customWidth="1"/>
    <col min="14054" max="14054" width="16.7109375" style="88" customWidth="1"/>
    <col min="14055" max="14055" width="11.85546875" style="88" bestFit="1" customWidth="1"/>
    <col min="14056" max="14056" width="9.85546875" style="88" bestFit="1" customWidth="1"/>
    <col min="14057" max="14057" width="10.5703125" style="88" bestFit="1" customWidth="1"/>
    <col min="14058" max="14060" width="13.42578125" style="88" customWidth="1"/>
    <col min="14061" max="14061" width="19.140625" style="88" customWidth="1"/>
    <col min="14062" max="14062" width="13.42578125" style="88" customWidth="1"/>
    <col min="14063" max="14063" width="19.85546875" style="88" customWidth="1"/>
    <col min="14064" max="14064" width="16" style="88" customWidth="1"/>
    <col min="14065" max="14065" width="24.28515625" style="88" customWidth="1"/>
    <col min="14066" max="14071" width="10.85546875" style="88" customWidth="1"/>
    <col min="14072" max="14072" width="16.28515625" style="88" bestFit="1" customWidth="1"/>
    <col min="14073" max="14073" width="12.140625" style="88" bestFit="1" customWidth="1"/>
    <col min="14074" max="14076" width="10.85546875" style="88" customWidth="1"/>
    <col min="14077" max="14077" width="9.28515625" style="88" bestFit="1" customWidth="1"/>
    <col min="14078" max="14307" width="9.140625" style="88"/>
    <col min="14308" max="14309" width="54" style="88" customWidth="1"/>
    <col min="14310" max="14310" width="16.7109375" style="88" customWidth="1"/>
    <col min="14311" max="14311" width="11.85546875" style="88" bestFit="1" customWidth="1"/>
    <col min="14312" max="14312" width="9.85546875" style="88" bestFit="1" customWidth="1"/>
    <col min="14313" max="14313" width="10.5703125" style="88" bestFit="1" customWidth="1"/>
    <col min="14314" max="14316" width="13.42578125" style="88" customWidth="1"/>
    <col min="14317" max="14317" width="19.140625" style="88" customWidth="1"/>
    <col min="14318" max="14318" width="13.42578125" style="88" customWidth="1"/>
    <col min="14319" max="14319" width="19.85546875" style="88" customWidth="1"/>
    <col min="14320" max="14320" width="16" style="88" customWidth="1"/>
    <col min="14321" max="14321" width="24.28515625" style="88" customWidth="1"/>
    <col min="14322" max="14327" width="10.85546875" style="88" customWidth="1"/>
    <col min="14328" max="14328" width="16.28515625" style="88" bestFit="1" customWidth="1"/>
    <col min="14329" max="14329" width="12.140625" style="88" bestFit="1" customWidth="1"/>
    <col min="14330" max="14332" width="10.85546875" style="88" customWidth="1"/>
    <col min="14333" max="14333" width="9.28515625" style="88" bestFit="1" customWidth="1"/>
    <col min="14334" max="14563" width="9.140625" style="88"/>
    <col min="14564" max="14565" width="54" style="88" customWidth="1"/>
    <col min="14566" max="14566" width="16.7109375" style="88" customWidth="1"/>
    <col min="14567" max="14567" width="11.85546875" style="88" bestFit="1" customWidth="1"/>
    <col min="14568" max="14568" width="9.85546875" style="88" bestFit="1" customWidth="1"/>
    <col min="14569" max="14569" width="10.5703125" style="88" bestFit="1" customWidth="1"/>
    <col min="14570" max="14572" width="13.42578125" style="88" customWidth="1"/>
    <col min="14573" max="14573" width="19.140625" style="88" customWidth="1"/>
    <col min="14574" max="14574" width="13.42578125" style="88" customWidth="1"/>
    <col min="14575" max="14575" width="19.85546875" style="88" customWidth="1"/>
    <col min="14576" max="14576" width="16" style="88" customWidth="1"/>
    <col min="14577" max="14577" width="24.28515625" style="88" customWidth="1"/>
    <col min="14578" max="14583" width="10.85546875" style="88" customWidth="1"/>
    <col min="14584" max="14584" width="16.28515625" style="88" bestFit="1" customWidth="1"/>
    <col min="14585" max="14585" width="12.140625" style="88" bestFit="1" customWidth="1"/>
    <col min="14586" max="14588" width="10.85546875" style="88" customWidth="1"/>
    <col min="14589" max="14589" width="9.28515625" style="88" bestFit="1" customWidth="1"/>
    <col min="14590" max="14819" width="9.140625" style="88"/>
    <col min="14820" max="14821" width="54" style="88" customWidth="1"/>
    <col min="14822" max="14822" width="16.7109375" style="88" customWidth="1"/>
    <col min="14823" max="14823" width="11.85546875" style="88" bestFit="1" customWidth="1"/>
    <col min="14824" max="14824" width="9.85546875" style="88" bestFit="1" customWidth="1"/>
    <col min="14825" max="14825" width="10.5703125" style="88" bestFit="1" customWidth="1"/>
    <col min="14826" max="14828" width="13.42578125" style="88" customWidth="1"/>
    <col min="14829" max="14829" width="19.140625" style="88" customWidth="1"/>
    <col min="14830" max="14830" width="13.42578125" style="88" customWidth="1"/>
    <col min="14831" max="14831" width="19.85546875" style="88" customWidth="1"/>
    <col min="14832" max="14832" width="16" style="88" customWidth="1"/>
    <col min="14833" max="14833" width="24.28515625" style="88" customWidth="1"/>
    <col min="14834" max="14839" width="10.85546875" style="88" customWidth="1"/>
    <col min="14840" max="14840" width="16.28515625" style="88" bestFit="1" customWidth="1"/>
    <col min="14841" max="14841" width="12.140625" style="88" bestFit="1" customWidth="1"/>
    <col min="14842" max="14844" width="10.85546875" style="88" customWidth="1"/>
    <col min="14845" max="14845" width="9.28515625" style="88" bestFit="1" customWidth="1"/>
    <col min="14846" max="15075" width="9.140625" style="88"/>
    <col min="15076" max="15077" width="54" style="88" customWidth="1"/>
    <col min="15078" max="15078" width="16.7109375" style="88" customWidth="1"/>
    <col min="15079" max="15079" width="11.85546875" style="88" bestFit="1" customWidth="1"/>
    <col min="15080" max="15080" width="9.85546875" style="88" bestFit="1" customWidth="1"/>
    <col min="15081" max="15081" width="10.5703125" style="88" bestFit="1" customWidth="1"/>
    <col min="15082" max="15084" width="13.42578125" style="88" customWidth="1"/>
    <col min="15085" max="15085" width="19.140625" style="88" customWidth="1"/>
    <col min="15086" max="15086" width="13.42578125" style="88" customWidth="1"/>
    <col min="15087" max="15087" width="19.85546875" style="88" customWidth="1"/>
    <col min="15088" max="15088" width="16" style="88" customWidth="1"/>
    <col min="15089" max="15089" width="24.28515625" style="88" customWidth="1"/>
    <col min="15090" max="15095" width="10.85546875" style="88" customWidth="1"/>
    <col min="15096" max="15096" width="16.28515625" style="88" bestFit="1" customWidth="1"/>
    <col min="15097" max="15097" width="12.140625" style="88" bestFit="1" customWidth="1"/>
    <col min="15098" max="15100" width="10.85546875" style="88" customWidth="1"/>
    <col min="15101" max="15101" width="9.28515625" style="88" bestFit="1" customWidth="1"/>
    <col min="15102" max="15331" width="9.140625" style="88"/>
    <col min="15332" max="15333" width="54" style="88" customWidth="1"/>
    <col min="15334" max="15334" width="16.7109375" style="88" customWidth="1"/>
    <col min="15335" max="15335" width="11.85546875" style="88" bestFit="1" customWidth="1"/>
    <col min="15336" max="15336" width="9.85546875" style="88" bestFit="1" customWidth="1"/>
    <col min="15337" max="15337" width="10.5703125" style="88" bestFit="1" customWidth="1"/>
    <col min="15338" max="15340" width="13.42578125" style="88" customWidth="1"/>
    <col min="15341" max="15341" width="19.140625" style="88" customWidth="1"/>
    <col min="15342" max="15342" width="13.42578125" style="88" customWidth="1"/>
    <col min="15343" max="15343" width="19.85546875" style="88" customWidth="1"/>
    <col min="15344" max="15344" width="16" style="88" customWidth="1"/>
    <col min="15345" max="15345" width="24.28515625" style="88" customWidth="1"/>
    <col min="15346" max="15351" width="10.85546875" style="88" customWidth="1"/>
    <col min="15352" max="15352" width="16.28515625" style="88" bestFit="1" customWidth="1"/>
    <col min="15353" max="15353" width="12.140625" style="88" bestFit="1" customWidth="1"/>
    <col min="15354" max="15356" width="10.85546875" style="88" customWidth="1"/>
    <col min="15357" max="15357" width="9.28515625" style="88" bestFit="1" customWidth="1"/>
    <col min="15358" max="15587" width="9.140625" style="88"/>
    <col min="15588" max="15589" width="54" style="88" customWidth="1"/>
    <col min="15590" max="15590" width="16.7109375" style="88" customWidth="1"/>
    <col min="15591" max="15591" width="11.85546875" style="88" bestFit="1" customWidth="1"/>
    <col min="15592" max="15592" width="9.85546875" style="88" bestFit="1" customWidth="1"/>
    <col min="15593" max="15593" width="10.5703125" style="88" bestFit="1" customWidth="1"/>
    <col min="15594" max="15596" width="13.42578125" style="88" customWidth="1"/>
    <col min="15597" max="15597" width="19.140625" style="88" customWidth="1"/>
    <col min="15598" max="15598" width="13.42578125" style="88" customWidth="1"/>
    <col min="15599" max="15599" width="19.85546875" style="88" customWidth="1"/>
    <col min="15600" max="15600" width="16" style="88" customWidth="1"/>
    <col min="15601" max="15601" width="24.28515625" style="88" customWidth="1"/>
    <col min="15602" max="15607" width="10.85546875" style="88" customWidth="1"/>
    <col min="15608" max="15608" width="16.28515625" style="88" bestFit="1" customWidth="1"/>
    <col min="15609" max="15609" width="12.140625" style="88" bestFit="1" customWidth="1"/>
    <col min="15610" max="15612" width="10.85546875" style="88" customWidth="1"/>
    <col min="15613" max="15613" width="9.28515625" style="88" bestFit="1" customWidth="1"/>
    <col min="15614" max="15843" width="9.140625" style="88"/>
    <col min="15844" max="15845" width="54" style="88" customWidth="1"/>
    <col min="15846" max="15846" width="16.7109375" style="88" customWidth="1"/>
    <col min="15847" max="15847" width="11.85546875" style="88" bestFit="1" customWidth="1"/>
    <col min="15848" max="15848" width="9.85546875" style="88" bestFit="1" customWidth="1"/>
    <col min="15849" max="15849" width="10.5703125" style="88" bestFit="1" customWidth="1"/>
    <col min="15850" max="15852" width="13.42578125" style="88" customWidth="1"/>
    <col min="15853" max="15853" width="19.140625" style="88" customWidth="1"/>
    <col min="15854" max="15854" width="13.42578125" style="88" customWidth="1"/>
    <col min="15855" max="15855" width="19.85546875" style="88" customWidth="1"/>
    <col min="15856" max="15856" width="16" style="88" customWidth="1"/>
    <col min="15857" max="15857" width="24.28515625" style="88" customWidth="1"/>
    <col min="15858" max="15863" width="10.85546875" style="88" customWidth="1"/>
    <col min="15864" max="15864" width="16.28515625" style="88" bestFit="1" customWidth="1"/>
    <col min="15865" max="15865" width="12.140625" style="88" bestFit="1" customWidth="1"/>
    <col min="15866" max="15868" width="10.85546875" style="88" customWidth="1"/>
    <col min="15869" max="15869" width="9.28515625" style="88" bestFit="1" customWidth="1"/>
    <col min="15870" max="16099" width="9.140625" style="88"/>
    <col min="16100" max="16101" width="54" style="88" customWidth="1"/>
    <col min="16102" max="16102" width="16.7109375" style="88" customWidth="1"/>
    <col min="16103" max="16103" width="11.85546875" style="88" bestFit="1" customWidth="1"/>
    <col min="16104" max="16104" width="9.85546875" style="88" bestFit="1" customWidth="1"/>
    <col min="16105" max="16105" width="10.5703125" style="88" bestFit="1" customWidth="1"/>
    <col min="16106" max="16108" width="13.42578125" style="88" customWidth="1"/>
    <col min="16109" max="16109" width="19.140625" style="88" customWidth="1"/>
    <col min="16110" max="16110" width="13.42578125" style="88" customWidth="1"/>
    <col min="16111" max="16111" width="19.85546875" style="88" customWidth="1"/>
    <col min="16112" max="16112" width="16" style="88" customWidth="1"/>
    <col min="16113" max="16113" width="24.28515625" style="88" customWidth="1"/>
    <col min="16114" max="16119" width="10.85546875" style="88" customWidth="1"/>
    <col min="16120" max="16120" width="16.28515625" style="88" bestFit="1" customWidth="1"/>
    <col min="16121" max="16121" width="12.140625" style="88" bestFit="1" customWidth="1"/>
    <col min="16122" max="16124" width="10.85546875" style="88" customWidth="1"/>
    <col min="16125" max="16125" width="9.28515625" style="88" bestFit="1" customWidth="1"/>
    <col min="16126" max="16384" width="9.140625" style="88"/>
  </cols>
  <sheetData>
    <row r="1" spans="1:13" ht="91.5" customHeight="1" x14ac:dyDescent="0.25">
      <c r="A1" s="313" t="s">
        <v>417</v>
      </c>
      <c r="B1" s="314"/>
      <c r="C1" s="314"/>
      <c r="D1" s="314"/>
      <c r="E1" s="315"/>
      <c r="F1" s="312" t="s">
        <v>0</v>
      </c>
      <c r="G1" s="312"/>
      <c r="H1" s="303" t="s">
        <v>1</v>
      </c>
      <c r="I1" s="303"/>
      <c r="J1" s="303" t="s">
        <v>2</v>
      </c>
      <c r="K1" s="303"/>
      <c r="L1" s="304" t="s">
        <v>16</v>
      </c>
      <c r="M1" s="301" t="s">
        <v>3</v>
      </c>
    </row>
    <row r="2" spans="1:13" ht="36.75" customHeight="1" thickBot="1" x14ac:dyDescent="0.3">
      <c r="A2" s="24" t="s">
        <v>39</v>
      </c>
      <c r="B2" s="25" t="s">
        <v>40</v>
      </c>
      <c r="C2" s="316" t="s">
        <v>4</v>
      </c>
      <c r="D2" s="317"/>
      <c r="E2" s="89" t="s">
        <v>421</v>
      </c>
      <c r="F2" s="26" t="s">
        <v>5</v>
      </c>
      <c r="G2" s="27" t="s">
        <v>6</v>
      </c>
      <c r="H2" s="28" t="s">
        <v>14</v>
      </c>
      <c r="I2" s="25" t="s">
        <v>7</v>
      </c>
      <c r="J2" s="28" t="s">
        <v>15</v>
      </c>
      <c r="K2" s="25" t="s">
        <v>8</v>
      </c>
      <c r="L2" s="305"/>
      <c r="M2" s="302"/>
    </row>
    <row r="3" spans="1:13" ht="37.5" customHeight="1" thickTop="1" thickBot="1" x14ac:dyDescent="0.3">
      <c r="A3" s="53"/>
      <c r="B3" s="54" t="s">
        <v>12</v>
      </c>
      <c r="C3" s="272" t="s">
        <v>418</v>
      </c>
      <c r="D3" s="273"/>
      <c r="E3" s="273"/>
      <c r="F3" s="31"/>
      <c r="G3" s="32"/>
      <c r="H3" s="33"/>
      <c r="I3" s="34">
        <f>+I4+I47+I60+I176+I184+I203+I210+I212+I221+I228+I234+I242+I244+I246+I248+I250+I252++I254+I256</f>
        <v>9276879.0899999999</v>
      </c>
      <c r="J3" s="33"/>
      <c r="K3" s="34">
        <f>+K4+K47+K60+K176+K184+K203+K210+K212+K221+K228+K234+K242+K244+K246+K248+K250+K252++K254+K256</f>
        <v>2802807.2000000007</v>
      </c>
      <c r="L3" s="35"/>
      <c r="M3" s="34">
        <f>+M4+M47+M60+M176+M184+M203+M210+M212+M221+M228+M234+M242+M244+M246+M248+M250+M252++M254+M256</f>
        <v>12079686.290000001</v>
      </c>
    </row>
    <row r="4" spans="1:13" ht="30" customHeight="1" thickTop="1" x14ac:dyDescent="0.25">
      <c r="A4" s="69"/>
      <c r="B4" s="70" t="s">
        <v>419</v>
      </c>
      <c r="C4" s="274" t="s">
        <v>420</v>
      </c>
      <c r="D4" s="275"/>
      <c r="E4" s="71" t="s">
        <v>422</v>
      </c>
      <c r="F4" s="90"/>
      <c r="G4" s="73"/>
      <c r="H4" s="74"/>
      <c r="I4" s="75">
        <f>SUM(I5:I46)</f>
        <v>1027379</v>
      </c>
      <c r="J4" s="74"/>
      <c r="K4" s="75">
        <f>SUM(K5:K46)</f>
        <v>55124</v>
      </c>
      <c r="L4" s="74"/>
      <c r="M4" s="75">
        <f>SUM(M5:M46)</f>
        <v>1082503</v>
      </c>
    </row>
    <row r="5" spans="1:13" ht="30" customHeight="1" x14ac:dyDescent="0.25">
      <c r="A5" s="76"/>
      <c r="B5" s="359"/>
      <c r="C5" s="354" t="s">
        <v>423</v>
      </c>
      <c r="D5" s="355"/>
      <c r="E5" s="332"/>
      <c r="F5" s="335" t="s">
        <v>392</v>
      </c>
      <c r="G5" s="347">
        <v>1</v>
      </c>
      <c r="H5" s="344">
        <v>192244.5</v>
      </c>
      <c r="I5" s="338">
        <f t="shared" ref="I5" si="0">+H5*G5</f>
        <v>192244.5</v>
      </c>
      <c r="J5" s="344">
        <v>5890.5</v>
      </c>
      <c r="K5" s="338">
        <f>+J5*G5</f>
        <v>5890.5</v>
      </c>
      <c r="L5" s="367">
        <f>+H5+J5</f>
        <v>198135</v>
      </c>
      <c r="M5" s="338">
        <f>+L5*G5</f>
        <v>198135</v>
      </c>
    </row>
    <row r="6" spans="1:13" ht="30" customHeight="1" x14ac:dyDescent="0.25">
      <c r="A6" s="76"/>
      <c r="B6" s="360"/>
      <c r="C6" s="350" t="s">
        <v>424</v>
      </c>
      <c r="D6" s="351"/>
      <c r="E6" s="333"/>
      <c r="F6" s="336"/>
      <c r="G6" s="348"/>
      <c r="H6" s="345"/>
      <c r="I6" s="339"/>
      <c r="J6" s="345"/>
      <c r="K6" s="339"/>
      <c r="L6" s="368"/>
      <c r="M6" s="339"/>
    </row>
    <row r="7" spans="1:13" ht="30" customHeight="1" x14ac:dyDescent="0.25">
      <c r="A7" s="76"/>
      <c r="B7" s="360"/>
      <c r="C7" s="350" t="s">
        <v>425</v>
      </c>
      <c r="D7" s="351"/>
      <c r="E7" s="333"/>
      <c r="F7" s="336"/>
      <c r="G7" s="348"/>
      <c r="H7" s="345"/>
      <c r="I7" s="339"/>
      <c r="J7" s="345"/>
      <c r="K7" s="339"/>
      <c r="L7" s="368"/>
      <c r="M7" s="339"/>
    </row>
    <row r="8" spans="1:13" ht="30" customHeight="1" x14ac:dyDescent="0.25">
      <c r="A8" s="76"/>
      <c r="B8" s="360"/>
      <c r="C8" s="350" t="s">
        <v>426</v>
      </c>
      <c r="D8" s="351"/>
      <c r="E8" s="333"/>
      <c r="F8" s="336"/>
      <c r="G8" s="348"/>
      <c r="H8" s="345"/>
      <c r="I8" s="339"/>
      <c r="J8" s="345"/>
      <c r="K8" s="339"/>
      <c r="L8" s="368"/>
      <c r="M8" s="339"/>
    </row>
    <row r="9" spans="1:13" ht="30" customHeight="1" x14ac:dyDescent="0.25">
      <c r="A9" s="76"/>
      <c r="B9" s="361"/>
      <c r="C9" s="352" t="s">
        <v>427</v>
      </c>
      <c r="D9" s="353"/>
      <c r="E9" s="334"/>
      <c r="F9" s="337"/>
      <c r="G9" s="349"/>
      <c r="H9" s="346"/>
      <c r="I9" s="340"/>
      <c r="J9" s="346"/>
      <c r="K9" s="340"/>
      <c r="L9" s="371"/>
      <c r="M9" s="340"/>
    </row>
    <row r="10" spans="1:13" ht="30" customHeight="1" x14ac:dyDescent="0.25">
      <c r="A10" s="76"/>
      <c r="B10" s="37"/>
      <c r="C10" s="276" t="s">
        <v>428</v>
      </c>
      <c r="D10" s="278"/>
      <c r="E10" s="96"/>
      <c r="F10" s="41" t="s">
        <v>392</v>
      </c>
      <c r="G10" s="42">
        <v>1</v>
      </c>
      <c r="H10" s="1">
        <v>3250</v>
      </c>
      <c r="I10" s="43">
        <f>+H10*G10</f>
        <v>3250</v>
      </c>
      <c r="J10" s="1">
        <v>1250</v>
      </c>
      <c r="K10" s="43">
        <f>+J10*G10</f>
        <v>1250</v>
      </c>
      <c r="L10" s="44">
        <f>+J10+H10</f>
        <v>4500</v>
      </c>
      <c r="M10" s="43">
        <f>+L10*G10</f>
        <v>4500</v>
      </c>
    </row>
    <row r="11" spans="1:13" ht="30" customHeight="1" x14ac:dyDescent="0.25">
      <c r="A11" s="76"/>
      <c r="B11" s="37"/>
      <c r="C11" s="276" t="s">
        <v>429</v>
      </c>
      <c r="D11" s="278"/>
      <c r="E11" s="96"/>
      <c r="F11" s="41" t="s">
        <v>392</v>
      </c>
      <c r="G11" s="42">
        <v>1</v>
      </c>
      <c r="H11" s="1">
        <v>7500</v>
      </c>
      <c r="I11" s="43">
        <f t="shared" ref="I11:I574" si="1">+H11*G11</f>
        <v>7500</v>
      </c>
      <c r="J11" s="1">
        <v>1250</v>
      </c>
      <c r="K11" s="43">
        <f t="shared" ref="K11:K574" si="2">+J11*G11</f>
        <v>1250</v>
      </c>
      <c r="L11" s="44">
        <f t="shared" ref="L11:L574" si="3">+J11+H11</f>
        <v>8750</v>
      </c>
      <c r="M11" s="43">
        <f t="shared" ref="M11:M574" si="4">+L11*G11</f>
        <v>8750</v>
      </c>
    </row>
    <row r="12" spans="1:13" ht="30" customHeight="1" x14ac:dyDescent="0.25">
      <c r="A12" s="76"/>
      <c r="B12" s="37"/>
      <c r="C12" s="276" t="s">
        <v>430</v>
      </c>
      <c r="D12" s="278"/>
      <c r="E12" s="96"/>
      <c r="F12" s="41" t="s">
        <v>392</v>
      </c>
      <c r="G12" s="42">
        <v>1</v>
      </c>
      <c r="H12" s="1">
        <v>115000</v>
      </c>
      <c r="I12" s="43">
        <f t="shared" si="1"/>
        <v>115000</v>
      </c>
      <c r="J12" s="1">
        <v>5500</v>
      </c>
      <c r="K12" s="43">
        <f t="shared" si="2"/>
        <v>5500</v>
      </c>
      <c r="L12" s="44">
        <f t="shared" si="3"/>
        <v>120500</v>
      </c>
      <c r="M12" s="43">
        <f t="shared" si="4"/>
        <v>120500</v>
      </c>
    </row>
    <row r="13" spans="1:13" ht="30" customHeight="1" x14ac:dyDescent="0.25">
      <c r="A13" s="76"/>
      <c r="B13" s="359"/>
      <c r="C13" s="354" t="s">
        <v>431</v>
      </c>
      <c r="D13" s="355"/>
      <c r="E13" s="332"/>
      <c r="F13" s="335" t="s">
        <v>392</v>
      </c>
      <c r="G13" s="347">
        <v>1</v>
      </c>
      <c r="H13" s="344">
        <v>28611</v>
      </c>
      <c r="I13" s="338">
        <f t="shared" si="1"/>
        <v>28611</v>
      </c>
      <c r="J13" s="344">
        <v>5890.5</v>
      </c>
      <c r="K13" s="338">
        <f>+J13*G13</f>
        <v>5890.5</v>
      </c>
      <c r="L13" s="367">
        <f>+H13+J13</f>
        <v>34501.5</v>
      </c>
      <c r="M13" s="338">
        <f>+L13*G13</f>
        <v>34501.5</v>
      </c>
    </row>
    <row r="14" spans="1:13" ht="30" customHeight="1" x14ac:dyDescent="0.25">
      <c r="A14" s="76"/>
      <c r="B14" s="360"/>
      <c r="C14" s="350" t="s">
        <v>432</v>
      </c>
      <c r="D14" s="351"/>
      <c r="E14" s="333"/>
      <c r="F14" s="336"/>
      <c r="G14" s="348"/>
      <c r="H14" s="345"/>
      <c r="I14" s="339"/>
      <c r="J14" s="345"/>
      <c r="K14" s="339"/>
      <c r="L14" s="368"/>
      <c r="M14" s="339"/>
    </row>
    <row r="15" spans="1:13" ht="30" customHeight="1" x14ac:dyDescent="0.25">
      <c r="A15" s="76"/>
      <c r="B15" s="360"/>
      <c r="C15" s="350" t="s">
        <v>426</v>
      </c>
      <c r="D15" s="351"/>
      <c r="E15" s="333"/>
      <c r="F15" s="336"/>
      <c r="G15" s="348"/>
      <c r="H15" s="345"/>
      <c r="I15" s="339"/>
      <c r="J15" s="345"/>
      <c r="K15" s="339"/>
      <c r="L15" s="368"/>
      <c r="M15" s="339"/>
    </row>
    <row r="16" spans="1:13" ht="30" customHeight="1" x14ac:dyDescent="0.25">
      <c r="A16" s="76"/>
      <c r="B16" s="361"/>
      <c r="C16" s="390" t="s">
        <v>433</v>
      </c>
      <c r="D16" s="391"/>
      <c r="E16" s="334"/>
      <c r="F16" s="337"/>
      <c r="G16" s="349"/>
      <c r="H16" s="346"/>
      <c r="I16" s="340"/>
      <c r="J16" s="346"/>
      <c r="K16" s="340"/>
      <c r="L16" s="371"/>
      <c r="M16" s="340"/>
    </row>
    <row r="17" spans="1:13" ht="30" customHeight="1" x14ac:dyDescent="0.25">
      <c r="A17" s="76"/>
      <c r="B17" s="359"/>
      <c r="C17" s="354" t="s">
        <v>434</v>
      </c>
      <c r="D17" s="355"/>
      <c r="E17" s="332"/>
      <c r="F17" s="335" t="s">
        <v>392</v>
      </c>
      <c r="G17" s="347">
        <v>1</v>
      </c>
      <c r="H17" s="344">
        <v>79713</v>
      </c>
      <c r="I17" s="338">
        <f t="shared" ref="I17" si="5">+H17*G17</f>
        <v>79713</v>
      </c>
      <c r="J17" s="344">
        <v>5890.5</v>
      </c>
      <c r="K17" s="338">
        <f>+J17*G17</f>
        <v>5890.5</v>
      </c>
      <c r="L17" s="367">
        <f>+H17+J17</f>
        <v>85603.5</v>
      </c>
      <c r="M17" s="338">
        <f>+L17*G17</f>
        <v>85603.5</v>
      </c>
    </row>
    <row r="18" spans="1:13" ht="30" customHeight="1" x14ac:dyDescent="0.25">
      <c r="A18" s="76"/>
      <c r="B18" s="360"/>
      <c r="C18" s="350" t="s">
        <v>435</v>
      </c>
      <c r="D18" s="351"/>
      <c r="E18" s="333"/>
      <c r="F18" s="336"/>
      <c r="G18" s="348"/>
      <c r="H18" s="345"/>
      <c r="I18" s="339"/>
      <c r="J18" s="345"/>
      <c r="K18" s="339"/>
      <c r="L18" s="368"/>
      <c r="M18" s="339"/>
    </row>
    <row r="19" spans="1:13" ht="30" customHeight="1" x14ac:dyDescent="0.25">
      <c r="A19" s="76"/>
      <c r="B19" s="360"/>
      <c r="C19" s="350" t="s">
        <v>436</v>
      </c>
      <c r="D19" s="351"/>
      <c r="E19" s="333"/>
      <c r="F19" s="336"/>
      <c r="G19" s="348"/>
      <c r="H19" s="345"/>
      <c r="I19" s="339"/>
      <c r="J19" s="345"/>
      <c r="K19" s="339"/>
      <c r="L19" s="368"/>
      <c r="M19" s="339"/>
    </row>
    <row r="20" spans="1:13" ht="30" customHeight="1" x14ac:dyDescent="0.25">
      <c r="A20" s="76"/>
      <c r="B20" s="360"/>
      <c r="C20" s="350" t="s">
        <v>437</v>
      </c>
      <c r="D20" s="351"/>
      <c r="E20" s="333"/>
      <c r="F20" s="336"/>
      <c r="G20" s="348"/>
      <c r="H20" s="345"/>
      <c r="I20" s="339"/>
      <c r="J20" s="345"/>
      <c r="K20" s="339"/>
      <c r="L20" s="368"/>
      <c r="M20" s="339"/>
    </row>
    <row r="21" spans="1:13" ht="30" customHeight="1" x14ac:dyDescent="0.25">
      <c r="A21" s="76"/>
      <c r="B21" s="360"/>
      <c r="C21" s="350" t="s">
        <v>432</v>
      </c>
      <c r="D21" s="351"/>
      <c r="E21" s="333"/>
      <c r="F21" s="336"/>
      <c r="G21" s="348"/>
      <c r="H21" s="345"/>
      <c r="I21" s="339"/>
      <c r="J21" s="345"/>
      <c r="K21" s="339"/>
      <c r="L21" s="368"/>
      <c r="M21" s="339"/>
    </row>
    <row r="22" spans="1:13" ht="30" customHeight="1" x14ac:dyDescent="0.25">
      <c r="A22" s="76"/>
      <c r="B22" s="361"/>
      <c r="C22" s="352" t="s">
        <v>438</v>
      </c>
      <c r="D22" s="353"/>
      <c r="E22" s="334"/>
      <c r="F22" s="337"/>
      <c r="G22" s="349"/>
      <c r="H22" s="346"/>
      <c r="I22" s="340"/>
      <c r="J22" s="346"/>
      <c r="K22" s="340"/>
      <c r="L22" s="371"/>
      <c r="M22" s="340"/>
    </row>
    <row r="23" spans="1:13" ht="30" customHeight="1" x14ac:dyDescent="0.25">
      <c r="A23" s="76"/>
      <c r="B23" s="359"/>
      <c r="C23" s="385" t="s">
        <v>439</v>
      </c>
      <c r="D23" s="386"/>
      <c r="E23" s="332"/>
      <c r="F23" s="335" t="s">
        <v>392</v>
      </c>
      <c r="G23" s="347">
        <v>1</v>
      </c>
      <c r="H23" s="344">
        <v>121711.5</v>
      </c>
      <c r="I23" s="338">
        <f t="shared" ref="I23" si="6">+H23*G23</f>
        <v>121711.5</v>
      </c>
      <c r="J23" s="344">
        <v>5890.5</v>
      </c>
      <c r="K23" s="338">
        <f>+J23*G23</f>
        <v>5890.5</v>
      </c>
      <c r="L23" s="367">
        <f>+H23+J23</f>
        <v>127602</v>
      </c>
      <c r="M23" s="338">
        <f>+L23*G23</f>
        <v>127602</v>
      </c>
    </row>
    <row r="24" spans="1:13" ht="30" customHeight="1" x14ac:dyDescent="0.25">
      <c r="A24" s="76"/>
      <c r="B24" s="360"/>
      <c r="C24" s="350" t="s">
        <v>440</v>
      </c>
      <c r="D24" s="351"/>
      <c r="E24" s="333"/>
      <c r="F24" s="336"/>
      <c r="G24" s="348"/>
      <c r="H24" s="345"/>
      <c r="I24" s="339"/>
      <c r="J24" s="345"/>
      <c r="K24" s="339"/>
      <c r="L24" s="368"/>
      <c r="M24" s="339"/>
    </row>
    <row r="25" spans="1:13" ht="30" customHeight="1" x14ac:dyDescent="0.25">
      <c r="A25" s="76"/>
      <c r="B25" s="360"/>
      <c r="C25" s="350" t="s">
        <v>441</v>
      </c>
      <c r="D25" s="351"/>
      <c r="E25" s="333"/>
      <c r="F25" s="336"/>
      <c r="G25" s="348"/>
      <c r="H25" s="345"/>
      <c r="I25" s="339"/>
      <c r="J25" s="345"/>
      <c r="K25" s="339"/>
      <c r="L25" s="368"/>
      <c r="M25" s="339"/>
    </row>
    <row r="26" spans="1:13" ht="30" customHeight="1" x14ac:dyDescent="0.25">
      <c r="A26" s="76"/>
      <c r="B26" s="360"/>
      <c r="C26" s="350" t="s">
        <v>437</v>
      </c>
      <c r="D26" s="351"/>
      <c r="E26" s="333"/>
      <c r="F26" s="336"/>
      <c r="G26" s="348"/>
      <c r="H26" s="345"/>
      <c r="I26" s="339"/>
      <c r="J26" s="345"/>
      <c r="K26" s="339"/>
      <c r="L26" s="368"/>
      <c r="M26" s="339"/>
    </row>
    <row r="27" spans="1:13" ht="30" customHeight="1" x14ac:dyDescent="0.25">
      <c r="A27" s="76"/>
      <c r="B27" s="361"/>
      <c r="C27" s="352" t="s">
        <v>442</v>
      </c>
      <c r="D27" s="353"/>
      <c r="E27" s="334"/>
      <c r="F27" s="337"/>
      <c r="G27" s="349"/>
      <c r="H27" s="346"/>
      <c r="I27" s="340"/>
      <c r="J27" s="346"/>
      <c r="K27" s="340"/>
      <c r="L27" s="371"/>
      <c r="M27" s="340"/>
    </row>
    <row r="28" spans="1:13" ht="30" customHeight="1" x14ac:dyDescent="0.25">
      <c r="A28" s="76"/>
      <c r="B28" s="359"/>
      <c r="C28" s="354" t="s">
        <v>443</v>
      </c>
      <c r="D28" s="355"/>
      <c r="E28" s="332"/>
      <c r="F28" s="335" t="s">
        <v>392</v>
      </c>
      <c r="G28" s="347">
        <v>1</v>
      </c>
      <c r="H28" s="344">
        <v>116280</v>
      </c>
      <c r="I28" s="338">
        <f t="shared" ref="I28" si="7">+H28*G28</f>
        <v>116280</v>
      </c>
      <c r="J28" s="344">
        <v>5890.5</v>
      </c>
      <c r="K28" s="338">
        <f>+J28*G28</f>
        <v>5890.5</v>
      </c>
      <c r="L28" s="367">
        <f>+H28+J28</f>
        <v>122170.5</v>
      </c>
      <c r="M28" s="338">
        <f>+L28*G28</f>
        <v>122170.5</v>
      </c>
    </row>
    <row r="29" spans="1:13" ht="30" customHeight="1" x14ac:dyDescent="0.25">
      <c r="A29" s="76"/>
      <c r="B29" s="360"/>
      <c r="C29" s="350" t="s">
        <v>444</v>
      </c>
      <c r="D29" s="351"/>
      <c r="E29" s="333"/>
      <c r="F29" s="336"/>
      <c r="G29" s="348"/>
      <c r="H29" s="345"/>
      <c r="I29" s="339"/>
      <c r="J29" s="345"/>
      <c r="K29" s="339"/>
      <c r="L29" s="368"/>
      <c r="M29" s="339"/>
    </row>
    <row r="30" spans="1:13" ht="30" customHeight="1" x14ac:dyDescent="0.25">
      <c r="A30" s="76"/>
      <c r="B30" s="360"/>
      <c r="C30" s="350" t="s">
        <v>445</v>
      </c>
      <c r="D30" s="351"/>
      <c r="E30" s="333"/>
      <c r="F30" s="336"/>
      <c r="G30" s="348"/>
      <c r="H30" s="345"/>
      <c r="I30" s="339"/>
      <c r="J30" s="345"/>
      <c r="K30" s="339"/>
      <c r="L30" s="368"/>
      <c r="M30" s="339"/>
    </row>
    <row r="31" spans="1:13" ht="30" customHeight="1" x14ac:dyDescent="0.25">
      <c r="A31" s="76"/>
      <c r="B31" s="360"/>
      <c r="C31" s="350" t="s">
        <v>437</v>
      </c>
      <c r="D31" s="351"/>
      <c r="E31" s="333"/>
      <c r="F31" s="336"/>
      <c r="G31" s="348"/>
      <c r="H31" s="345"/>
      <c r="I31" s="339"/>
      <c r="J31" s="345"/>
      <c r="K31" s="339"/>
      <c r="L31" s="368"/>
      <c r="M31" s="339"/>
    </row>
    <row r="32" spans="1:13" ht="30" customHeight="1" x14ac:dyDescent="0.25">
      <c r="A32" s="76"/>
      <c r="B32" s="361"/>
      <c r="C32" s="352" t="s">
        <v>442</v>
      </c>
      <c r="D32" s="353"/>
      <c r="E32" s="334"/>
      <c r="F32" s="337"/>
      <c r="G32" s="349"/>
      <c r="H32" s="346"/>
      <c r="I32" s="340"/>
      <c r="J32" s="346"/>
      <c r="K32" s="340"/>
      <c r="L32" s="371"/>
      <c r="M32" s="340"/>
    </row>
    <row r="33" spans="1:13" ht="30" customHeight="1" x14ac:dyDescent="0.25">
      <c r="A33" s="76"/>
      <c r="B33" s="359"/>
      <c r="C33" s="354" t="s">
        <v>446</v>
      </c>
      <c r="D33" s="355"/>
      <c r="E33" s="332"/>
      <c r="F33" s="335" t="s">
        <v>392</v>
      </c>
      <c r="G33" s="347">
        <v>1</v>
      </c>
      <c r="H33" s="344">
        <v>162103.5</v>
      </c>
      <c r="I33" s="338">
        <f t="shared" ref="I33" si="8">+H33*G33</f>
        <v>162103.5</v>
      </c>
      <c r="J33" s="344">
        <v>5890.5</v>
      </c>
      <c r="K33" s="338">
        <f>+J33*G33</f>
        <v>5890.5</v>
      </c>
      <c r="L33" s="367">
        <f>+H33+J33</f>
        <v>167994</v>
      </c>
      <c r="M33" s="338">
        <f>+L33*G33</f>
        <v>167994</v>
      </c>
    </row>
    <row r="34" spans="1:13" ht="30" customHeight="1" x14ac:dyDescent="0.25">
      <c r="A34" s="76"/>
      <c r="B34" s="360"/>
      <c r="C34" s="350" t="s">
        <v>447</v>
      </c>
      <c r="D34" s="351"/>
      <c r="E34" s="333"/>
      <c r="F34" s="336"/>
      <c r="G34" s="348"/>
      <c r="H34" s="345"/>
      <c r="I34" s="339"/>
      <c r="J34" s="345"/>
      <c r="K34" s="339"/>
      <c r="L34" s="368"/>
      <c r="M34" s="339"/>
    </row>
    <row r="35" spans="1:13" ht="30" customHeight="1" x14ac:dyDescent="0.25">
      <c r="A35" s="76"/>
      <c r="B35" s="360"/>
      <c r="C35" s="350" t="s">
        <v>427</v>
      </c>
      <c r="D35" s="351"/>
      <c r="E35" s="333"/>
      <c r="F35" s="336"/>
      <c r="G35" s="348"/>
      <c r="H35" s="345"/>
      <c r="I35" s="339"/>
      <c r="J35" s="345"/>
      <c r="K35" s="339"/>
      <c r="L35" s="368"/>
      <c r="M35" s="339"/>
    </row>
    <row r="36" spans="1:13" ht="30" customHeight="1" x14ac:dyDescent="0.25">
      <c r="A36" s="76"/>
      <c r="B36" s="361"/>
      <c r="C36" s="352" t="s">
        <v>432</v>
      </c>
      <c r="D36" s="353"/>
      <c r="E36" s="334"/>
      <c r="F36" s="337"/>
      <c r="G36" s="349"/>
      <c r="H36" s="346"/>
      <c r="I36" s="340"/>
      <c r="J36" s="346"/>
      <c r="K36" s="340"/>
      <c r="L36" s="371"/>
      <c r="M36" s="340"/>
    </row>
    <row r="37" spans="1:13" ht="30" customHeight="1" x14ac:dyDescent="0.25">
      <c r="A37" s="76"/>
      <c r="B37" s="359"/>
      <c r="C37" s="354" t="s">
        <v>448</v>
      </c>
      <c r="D37" s="355"/>
      <c r="E37" s="332"/>
      <c r="F37" s="335" t="s">
        <v>392</v>
      </c>
      <c r="G37" s="347">
        <v>1</v>
      </c>
      <c r="H37" s="344">
        <v>117121.5</v>
      </c>
      <c r="I37" s="338">
        <f t="shared" ref="I37" si="9">+H37*G37</f>
        <v>117121.5</v>
      </c>
      <c r="J37" s="344">
        <v>5890.5</v>
      </c>
      <c r="K37" s="338">
        <f>+J37*G37</f>
        <v>5890.5</v>
      </c>
      <c r="L37" s="367">
        <f>+H37+J37</f>
        <v>123012</v>
      </c>
      <c r="M37" s="338">
        <f>+L37*G37</f>
        <v>123012</v>
      </c>
    </row>
    <row r="38" spans="1:13" ht="30" customHeight="1" x14ac:dyDescent="0.25">
      <c r="A38" s="76"/>
      <c r="B38" s="360"/>
      <c r="C38" s="350" t="s">
        <v>449</v>
      </c>
      <c r="D38" s="351"/>
      <c r="E38" s="333"/>
      <c r="F38" s="336"/>
      <c r="G38" s="348"/>
      <c r="H38" s="345"/>
      <c r="I38" s="339"/>
      <c r="J38" s="345"/>
      <c r="K38" s="339"/>
      <c r="L38" s="368"/>
      <c r="M38" s="339"/>
    </row>
    <row r="39" spans="1:13" ht="30" customHeight="1" x14ac:dyDescent="0.25">
      <c r="A39" s="76"/>
      <c r="B39" s="360"/>
      <c r="C39" s="350" t="s">
        <v>450</v>
      </c>
      <c r="D39" s="351"/>
      <c r="E39" s="333"/>
      <c r="F39" s="336"/>
      <c r="G39" s="348"/>
      <c r="H39" s="345"/>
      <c r="I39" s="339"/>
      <c r="J39" s="345"/>
      <c r="K39" s="339"/>
      <c r="L39" s="368"/>
      <c r="M39" s="339"/>
    </row>
    <row r="40" spans="1:13" ht="30" customHeight="1" x14ac:dyDescent="0.25">
      <c r="A40" s="76"/>
      <c r="B40" s="360"/>
      <c r="C40" s="350" t="s">
        <v>451</v>
      </c>
      <c r="D40" s="351"/>
      <c r="E40" s="333"/>
      <c r="F40" s="336"/>
      <c r="G40" s="348"/>
      <c r="H40" s="345"/>
      <c r="I40" s="339"/>
      <c r="J40" s="345"/>
      <c r="K40" s="339"/>
      <c r="L40" s="368"/>
      <c r="M40" s="339"/>
    </row>
    <row r="41" spans="1:13" ht="30" customHeight="1" x14ac:dyDescent="0.25">
      <c r="A41" s="76"/>
      <c r="B41" s="361"/>
      <c r="C41" s="352" t="s">
        <v>452</v>
      </c>
      <c r="D41" s="353"/>
      <c r="E41" s="334"/>
      <c r="F41" s="337"/>
      <c r="G41" s="349"/>
      <c r="H41" s="346"/>
      <c r="I41" s="340"/>
      <c r="J41" s="346"/>
      <c r="K41" s="340"/>
      <c r="L41" s="371"/>
      <c r="M41" s="340"/>
    </row>
    <row r="42" spans="1:13" ht="30" customHeight="1" x14ac:dyDescent="0.25">
      <c r="A42" s="76"/>
      <c r="B42" s="359"/>
      <c r="C42" s="354" t="s">
        <v>453</v>
      </c>
      <c r="D42" s="355"/>
      <c r="E42" s="332"/>
      <c r="F42" s="335" t="s">
        <v>392</v>
      </c>
      <c r="G42" s="347">
        <v>1</v>
      </c>
      <c r="H42" s="344">
        <v>83844</v>
      </c>
      <c r="I42" s="338">
        <f t="shared" ref="I42" si="10">+H42*G42</f>
        <v>83844</v>
      </c>
      <c r="J42" s="344">
        <v>5890.5</v>
      </c>
      <c r="K42" s="338">
        <f>+J42*G42</f>
        <v>5890.5</v>
      </c>
      <c r="L42" s="367">
        <f>+H42+J42</f>
        <v>89734.5</v>
      </c>
      <c r="M42" s="338">
        <f>+L42*G42</f>
        <v>89734.5</v>
      </c>
    </row>
    <row r="43" spans="1:13" ht="30" customHeight="1" x14ac:dyDescent="0.25">
      <c r="A43" s="76"/>
      <c r="B43" s="360"/>
      <c r="C43" s="350" t="s">
        <v>449</v>
      </c>
      <c r="D43" s="351"/>
      <c r="E43" s="333"/>
      <c r="F43" s="336"/>
      <c r="G43" s="348"/>
      <c r="H43" s="345"/>
      <c r="I43" s="339"/>
      <c r="J43" s="345"/>
      <c r="K43" s="339"/>
      <c r="L43" s="368"/>
      <c r="M43" s="339"/>
    </row>
    <row r="44" spans="1:13" ht="30" customHeight="1" x14ac:dyDescent="0.25">
      <c r="A44" s="76"/>
      <c r="B44" s="360"/>
      <c r="C44" s="350" t="s">
        <v>454</v>
      </c>
      <c r="D44" s="351"/>
      <c r="E44" s="333"/>
      <c r="F44" s="336"/>
      <c r="G44" s="348"/>
      <c r="H44" s="345"/>
      <c r="I44" s="339"/>
      <c r="J44" s="345"/>
      <c r="K44" s="339"/>
      <c r="L44" s="368"/>
      <c r="M44" s="339"/>
    </row>
    <row r="45" spans="1:13" ht="30" customHeight="1" x14ac:dyDescent="0.25">
      <c r="A45" s="76"/>
      <c r="B45" s="360"/>
      <c r="C45" s="350" t="s">
        <v>451</v>
      </c>
      <c r="D45" s="351"/>
      <c r="E45" s="333"/>
      <c r="F45" s="336"/>
      <c r="G45" s="348"/>
      <c r="H45" s="345"/>
      <c r="I45" s="339"/>
      <c r="J45" s="345"/>
      <c r="K45" s="339"/>
      <c r="L45" s="368"/>
      <c r="M45" s="339"/>
    </row>
    <row r="46" spans="1:13" ht="30" customHeight="1" x14ac:dyDescent="0.25">
      <c r="A46" s="76"/>
      <c r="B46" s="360"/>
      <c r="C46" s="369" t="s">
        <v>455</v>
      </c>
      <c r="D46" s="370"/>
      <c r="E46" s="333"/>
      <c r="F46" s="336"/>
      <c r="G46" s="348"/>
      <c r="H46" s="345"/>
      <c r="I46" s="339"/>
      <c r="J46" s="345"/>
      <c r="K46" s="339"/>
      <c r="L46" s="368"/>
      <c r="M46" s="339"/>
    </row>
    <row r="47" spans="1:13" ht="46.5" customHeight="1" x14ac:dyDescent="0.25">
      <c r="A47" s="76"/>
      <c r="B47" s="37" t="s">
        <v>456</v>
      </c>
      <c r="C47" s="270" t="s">
        <v>457</v>
      </c>
      <c r="D47" s="356"/>
      <c r="E47" s="77" t="s">
        <v>464</v>
      </c>
      <c r="F47" s="97"/>
      <c r="G47" s="84"/>
      <c r="H47" s="78"/>
      <c r="I47" s="79">
        <f>SUM(I48:I59)</f>
        <v>646616.25</v>
      </c>
      <c r="J47" s="78"/>
      <c r="K47" s="79">
        <f>SUM(K48:K59)</f>
        <v>35037</v>
      </c>
      <c r="L47" s="78"/>
      <c r="M47" s="79">
        <f>SUM(M48:M59)</f>
        <v>681653.25</v>
      </c>
    </row>
    <row r="48" spans="1:13" ht="30" customHeight="1" x14ac:dyDescent="0.25">
      <c r="A48" s="76"/>
      <c r="B48" s="98"/>
      <c r="C48" s="354" t="s">
        <v>458</v>
      </c>
      <c r="D48" s="355"/>
      <c r="E48" s="99"/>
      <c r="F48" s="335" t="s">
        <v>392</v>
      </c>
      <c r="G48" s="347">
        <v>1</v>
      </c>
      <c r="H48" s="344">
        <v>323308.125</v>
      </c>
      <c r="I48" s="338">
        <f t="shared" ref="I48" si="11">+H48*G48</f>
        <v>323308.125</v>
      </c>
      <c r="J48" s="344">
        <v>17518.5</v>
      </c>
      <c r="K48" s="338">
        <f>+J48*G48</f>
        <v>17518.5</v>
      </c>
      <c r="L48" s="367">
        <f>+H48+J48</f>
        <v>340826.625</v>
      </c>
      <c r="M48" s="338">
        <f>+L48*G48</f>
        <v>340826.625</v>
      </c>
    </row>
    <row r="49" spans="1:13" ht="30" customHeight="1" x14ac:dyDescent="0.25">
      <c r="A49" s="76"/>
      <c r="B49" s="100"/>
      <c r="C49" s="350" t="s">
        <v>459</v>
      </c>
      <c r="D49" s="351"/>
      <c r="E49" s="101"/>
      <c r="F49" s="336"/>
      <c r="G49" s="348"/>
      <c r="H49" s="345"/>
      <c r="I49" s="339"/>
      <c r="J49" s="345"/>
      <c r="K49" s="339"/>
      <c r="L49" s="368"/>
      <c r="M49" s="339"/>
    </row>
    <row r="50" spans="1:13" ht="30" customHeight="1" x14ac:dyDescent="0.25">
      <c r="A50" s="76"/>
      <c r="B50" s="100"/>
      <c r="C50" s="350" t="s">
        <v>460</v>
      </c>
      <c r="D50" s="351"/>
      <c r="E50" s="101"/>
      <c r="F50" s="336"/>
      <c r="G50" s="348"/>
      <c r="H50" s="345"/>
      <c r="I50" s="339"/>
      <c r="J50" s="345"/>
      <c r="K50" s="339"/>
      <c r="L50" s="368"/>
      <c r="M50" s="339"/>
    </row>
    <row r="51" spans="1:13" ht="30" customHeight="1" x14ac:dyDescent="0.25">
      <c r="A51" s="76"/>
      <c r="B51" s="100"/>
      <c r="C51" s="350" t="s">
        <v>461</v>
      </c>
      <c r="D51" s="351"/>
      <c r="E51" s="101"/>
      <c r="F51" s="336"/>
      <c r="G51" s="348"/>
      <c r="H51" s="345"/>
      <c r="I51" s="339"/>
      <c r="J51" s="345"/>
      <c r="K51" s="339"/>
      <c r="L51" s="368"/>
      <c r="M51" s="339"/>
    </row>
    <row r="52" spans="1:13" ht="30" customHeight="1" x14ac:dyDescent="0.25">
      <c r="A52" s="76"/>
      <c r="B52" s="100"/>
      <c r="C52" s="350" t="s">
        <v>462</v>
      </c>
      <c r="D52" s="351"/>
      <c r="E52" s="101"/>
      <c r="F52" s="336"/>
      <c r="G52" s="348"/>
      <c r="H52" s="345"/>
      <c r="I52" s="339"/>
      <c r="J52" s="345"/>
      <c r="K52" s="339"/>
      <c r="L52" s="368"/>
      <c r="M52" s="339"/>
    </row>
    <row r="53" spans="1:13" ht="30" customHeight="1" x14ac:dyDescent="0.25">
      <c r="A53" s="76"/>
      <c r="B53" s="102"/>
      <c r="C53" s="352" t="s">
        <v>463</v>
      </c>
      <c r="D53" s="353"/>
      <c r="E53" s="103"/>
      <c r="F53" s="337"/>
      <c r="G53" s="349"/>
      <c r="H53" s="346"/>
      <c r="I53" s="340"/>
      <c r="J53" s="346"/>
      <c r="K53" s="340"/>
      <c r="L53" s="371"/>
      <c r="M53" s="340"/>
    </row>
    <row r="54" spans="1:13" ht="30" customHeight="1" x14ac:dyDescent="0.25">
      <c r="A54" s="76"/>
      <c r="B54" s="98"/>
      <c r="C54" s="354" t="s">
        <v>465</v>
      </c>
      <c r="D54" s="355"/>
      <c r="E54" s="99"/>
      <c r="F54" s="335" t="s">
        <v>392</v>
      </c>
      <c r="G54" s="347">
        <v>1</v>
      </c>
      <c r="H54" s="344">
        <v>323308.125</v>
      </c>
      <c r="I54" s="338">
        <f t="shared" ref="I54" si="12">+H54*G54</f>
        <v>323308.125</v>
      </c>
      <c r="J54" s="344">
        <v>17518.5</v>
      </c>
      <c r="K54" s="338">
        <f>+J54*G54</f>
        <v>17518.5</v>
      </c>
      <c r="L54" s="367">
        <f>+H54+J54</f>
        <v>340826.625</v>
      </c>
      <c r="M54" s="338">
        <f>+L54*G54</f>
        <v>340826.625</v>
      </c>
    </row>
    <row r="55" spans="1:13" ht="30" customHeight="1" x14ac:dyDescent="0.25">
      <c r="A55" s="76"/>
      <c r="B55" s="100"/>
      <c r="C55" s="350" t="s">
        <v>459</v>
      </c>
      <c r="D55" s="351"/>
      <c r="E55" s="101"/>
      <c r="F55" s="336"/>
      <c r="G55" s="348"/>
      <c r="H55" s="345"/>
      <c r="I55" s="339"/>
      <c r="J55" s="345"/>
      <c r="K55" s="339"/>
      <c r="L55" s="368"/>
      <c r="M55" s="339"/>
    </row>
    <row r="56" spans="1:13" ht="30" customHeight="1" x14ac:dyDescent="0.25">
      <c r="A56" s="76"/>
      <c r="B56" s="100"/>
      <c r="C56" s="350" t="s">
        <v>466</v>
      </c>
      <c r="D56" s="351"/>
      <c r="E56" s="101"/>
      <c r="F56" s="336"/>
      <c r="G56" s="348"/>
      <c r="H56" s="345"/>
      <c r="I56" s="339"/>
      <c r="J56" s="345"/>
      <c r="K56" s="339"/>
      <c r="L56" s="368"/>
      <c r="M56" s="339"/>
    </row>
    <row r="57" spans="1:13" ht="30" customHeight="1" x14ac:dyDescent="0.25">
      <c r="A57" s="76"/>
      <c r="B57" s="100"/>
      <c r="C57" s="350" t="s">
        <v>461</v>
      </c>
      <c r="D57" s="351"/>
      <c r="E57" s="101"/>
      <c r="F57" s="336"/>
      <c r="G57" s="348"/>
      <c r="H57" s="345"/>
      <c r="I57" s="339"/>
      <c r="J57" s="345"/>
      <c r="K57" s="339"/>
      <c r="L57" s="368"/>
      <c r="M57" s="339"/>
    </row>
    <row r="58" spans="1:13" ht="30" customHeight="1" x14ac:dyDescent="0.25">
      <c r="A58" s="76"/>
      <c r="B58" s="100"/>
      <c r="C58" s="350" t="s">
        <v>462</v>
      </c>
      <c r="D58" s="351"/>
      <c r="E58" s="101"/>
      <c r="F58" s="336"/>
      <c r="G58" s="348"/>
      <c r="H58" s="345"/>
      <c r="I58" s="339"/>
      <c r="J58" s="345"/>
      <c r="K58" s="339"/>
      <c r="L58" s="368"/>
      <c r="M58" s="339"/>
    </row>
    <row r="59" spans="1:13" ht="30" customHeight="1" x14ac:dyDescent="0.25">
      <c r="A59" s="76"/>
      <c r="B59" s="100"/>
      <c r="C59" s="369" t="s">
        <v>463</v>
      </c>
      <c r="D59" s="370"/>
      <c r="E59" s="101"/>
      <c r="F59" s="336"/>
      <c r="G59" s="348"/>
      <c r="H59" s="345"/>
      <c r="I59" s="339"/>
      <c r="J59" s="345"/>
      <c r="K59" s="339"/>
      <c r="L59" s="368"/>
      <c r="M59" s="339"/>
    </row>
    <row r="60" spans="1:13" ht="50.25" customHeight="1" x14ac:dyDescent="0.25">
      <c r="A60" s="76"/>
      <c r="B60" s="37" t="s">
        <v>467</v>
      </c>
      <c r="C60" s="270" t="s">
        <v>468</v>
      </c>
      <c r="D60" s="271"/>
      <c r="E60" s="77" t="s">
        <v>469</v>
      </c>
      <c r="F60" s="97"/>
      <c r="G60" s="84"/>
      <c r="H60" s="78"/>
      <c r="I60" s="79">
        <f>SUM(I61:I175)</f>
        <v>3403328.36</v>
      </c>
      <c r="J60" s="78"/>
      <c r="K60" s="79">
        <f>SUM(K61:K175)</f>
        <v>1512154</v>
      </c>
      <c r="L60" s="78"/>
      <c r="M60" s="79">
        <f>SUM(M61:M175)</f>
        <v>4915482.3600000003</v>
      </c>
    </row>
    <row r="61" spans="1:13" ht="30" customHeight="1" x14ac:dyDescent="0.25">
      <c r="A61" s="76"/>
      <c r="B61" s="359"/>
      <c r="C61" s="354" t="s">
        <v>470</v>
      </c>
      <c r="D61" s="355"/>
      <c r="E61" s="332"/>
      <c r="F61" s="335" t="s">
        <v>392</v>
      </c>
      <c r="G61" s="347">
        <v>1</v>
      </c>
      <c r="H61" s="344">
        <v>454476</v>
      </c>
      <c r="I61" s="338">
        <f t="shared" ref="I61" si="13">+H61*G61</f>
        <v>454476</v>
      </c>
      <c r="J61" s="344">
        <v>181830</v>
      </c>
      <c r="K61" s="338">
        <f>+J61*G61</f>
        <v>181830</v>
      </c>
      <c r="L61" s="367">
        <f>+H61+J61</f>
        <v>636306</v>
      </c>
      <c r="M61" s="338">
        <f>+L61*G61</f>
        <v>636306</v>
      </c>
    </row>
    <row r="62" spans="1:13" ht="30" customHeight="1" x14ac:dyDescent="0.25">
      <c r="A62" s="76"/>
      <c r="B62" s="360"/>
      <c r="C62" s="350" t="s">
        <v>471</v>
      </c>
      <c r="D62" s="351"/>
      <c r="E62" s="333"/>
      <c r="F62" s="336"/>
      <c r="G62" s="348"/>
      <c r="H62" s="345"/>
      <c r="I62" s="339"/>
      <c r="J62" s="345"/>
      <c r="K62" s="339"/>
      <c r="L62" s="368"/>
      <c r="M62" s="339"/>
    </row>
    <row r="63" spans="1:13" ht="30" customHeight="1" x14ac:dyDescent="0.25">
      <c r="A63" s="76"/>
      <c r="B63" s="360"/>
      <c r="C63" s="350" t="s">
        <v>472</v>
      </c>
      <c r="D63" s="351"/>
      <c r="E63" s="333"/>
      <c r="F63" s="336"/>
      <c r="G63" s="348"/>
      <c r="H63" s="345"/>
      <c r="I63" s="339"/>
      <c r="J63" s="345"/>
      <c r="K63" s="339"/>
      <c r="L63" s="368"/>
      <c r="M63" s="339"/>
    </row>
    <row r="64" spans="1:13" ht="30" customHeight="1" x14ac:dyDescent="0.25">
      <c r="A64" s="76"/>
      <c r="B64" s="360"/>
      <c r="C64" s="350" t="s">
        <v>473</v>
      </c>
      <c r="D64" s="351"/>
      <c r="E64" s="333"/>
      <c r="F64" s="336"/>
      <c r="G64" s="348"/>
      <c r="H64" s="345"/>
      <c r="I64" s="339"/>
      <c r="J64" s="345"/>
      <c r="K64" s="339"/>
      <c r="L64" s="368"/>
      <c r="M64" s="339"/>
    </row>
    <row r="65" spans="1:13" ht="30" customHeight="1" x14ac:dyDescent="0.25">
      <c r="A65" s="76"/>
      <c r="B65" s="361"/>
      <c r="C65" s="352" t="s">
        <v>474</v>
      </c>
      <c r="D65" s="353"/>
      <c r="E65" s="334"/>
      <c r="F65" s="337"/>
      <c r="G65" s="349"/>
      <c r="H65" s="346"/>
      <c r="I65" s="340"/>
      <c r="J65" s="346"/>
      <c r="K65" s="340"/>
      <c r="L65" s="371"/>
      <c r="M65" s="340"/>
    </row>
    <row r="66" spans="1:13" ht="30" customHeight="1" x14ac:dyDescent="0.25">
      <c r="A66" s="76"/>
      <c r="B66" s="359"/>
      <c r="C66" s="354" t="s">
        <v>470</v>
      </c>
      <c r="D66" s="355"/>
      <c r="E66" s="332"/>
      <c r="F66" s="335" t="s">
        <v>392</v>
      </c>
      <c r="G66" s="347">
        <v>1</v>
      </c>
      <c r="H66" s="344">
        <v>350658</v>
      </c>
      <c r="I66" s="338">
        <f t="shared" ref="I66" si="14">+H66*G66</f>
        <v>350658</v>
      </c>
      <c r="J66" s="344">
        <v>140250</v>
      </c>
      <c r="K66" s="338">
        <f>+J66*G66</f>
        <v>140250</v>
      </c>
      <c r="L66" s="367">
        <f>+H66+J66</f>
        <v>490908</v>
      </c>
      <c r="M66" s="338">
        <f>+L66*G66</f>
        <v>490908</v>
      </c>
    </row>
    <row r="67" spans="1:13" ht="30" customHeight="1" x14ac:dyDescent="0.25">
      <c r="A67" s="76"/>
      <c r="B67" s="360"/>
      <c r="C67" s="350" t="s">
        <v>475</v>
      </c>
      <c r="D67" s="351"/>
      <c r="E67" s="333"/>
      <c r="F67" s="336"/>
      <c r="G67" s="348"/>
      <c r="H67" s="345"/>
      <c r="I67" s="339"/>
      <c r="J67" s="345"/>
      <c r="K67" s="339"/>
      <c r="L67" s="368"/>
      <c r="M67" s="339"/>
    </row>
    <row r="68" spans="1:13" ht="30" customHeight="1" x14ac:dyDescent="0.25">
      <c r="A68" s="76"/>
      <c r="B68" s="360"/>
      <c r="C68" s="350" t="s">
        <v>476</v>
      </c>
      <c r="D68" s="351"/>
      <c r="E68" s="333"/>
      <c r="F68" s="336"/>
      <c r="G68" s="348"/>
      <c r="H68" s="345"/>
      <c r="I68" s="339"/>
      <c r="J68" s="345"/>
      <c r="K68" s="339"/>
      <c r="L68" s="368"/>
      <c r="M68" s="339"/>
    </row>
    <row r="69" spans="1:13" ht="30" customHeight="1" x14ac:dyDescent="0.25">
      <c r="A69" s="76"/>
      <c r="B69" s="360"/>
      <c r="C69" s="350" t="s">
        <v>477</v>
      </c>
      <c r="D69" s="351"/>
      <c r="E69" s="333"/>
      <c r="F69" s="336"/>
      <c r="G69" s="348"/>
      <c r="H69" s="345"/>
      <c r="I69" s="339"/>
      <c r="J69" s="345"/>
      <c r="K69" s="339"/>
      <c r="L69" s="368"/>
      <c r="M69" s="339"/>
    </row>
    <row r="70" spans="1:13" ht="30" customHeight="1" x14ac:dyDescent="0.25">
      <c r="A70" s="76"/>
      <c r="B70" s="361"/>
      <c r="C70" s="352" t="s">
        <v>478</v>
      </c>
      <c r="D70" s="353"/>
      <c r="E70" s="334"/>
      <c r="F70" s="337"/>
      <c r="G70" s="349"/>
      <c r="H70" s="346"/>
      <c r="I70" s="340"/>
      <c r="J70" s="346"/>
      <c r="K70" s="340"/>
      <c r="L70" s="371"/>
      <c r="M70" s="340"/>
    </row>
    <row r="71" spans="1:13" ht="30" customHeight="1" x14ac:dyDescent="0.25">
      <c r="A71" s="76"/>
      <c r="B71" s="359"/>
      <c r="C71" s="354" t="s">
        <v>470</v>
      </c>
      <c r="D71" s="355"/>
      <c r="E71" s="332"/>
      <c r="F71" s="335" t="s">
        <v>392</v>
      </c>
      <c r="G71" s="347">
        <v>1</v>
      </c>
      <c r="H71" s="344">
        <v>127908</v>
      </c>
      <c r="I71" s="338">
        <f t="shared" ref="I71" si="15">+H71*G71</f>
        <v>127908</v>
      </c>
      <c r="J71" s="344">
        <v>51150</v>
      </c>
      <c r="K71" s="338">
        <f>+J71*G71</f>
        <v>51150</v>
      </c>
      <c r="L71" s="367">
        <f>+H71+J71</f>
        <v>179058</v>
      </c>
      <c r="M71" s="338">
        <f>+L71*G71</f>
        <v>179058</v>
      </c>
    </row>
    <row r="72" spans="1:13" ht="30" customHeight="1" x14ac:dyDescent="0.25">
      <c r="A72" s="76"/>
      <c r="B72" s="360"/>
      <c r="C72" s="350" t="s">
        <v>479</v>
      </c>
      <c r="D72" s="351"/>
      <c r="E72" s="333"/>
      <c r="F72" s="336"/>
      <c r="G72" s="348"/>
      <c r="H72" s="345"/>
      <c r="I72" s="339"/>
      <c r="J72" s="345"/>
      <c r="K72" s="339"/>
      <c r="L72" s="368"/>
      <c r="M72" s="339"/>
    </row>
    <row r="73" spans="1:13" ht="30" customHeight="1" x14ac:dyDescent="0.25">
      <c r="A73" s="76"/>
      <c r="B73" s="360"/>
      <c r="C73" s="350" t="s">
        <v>480</v>
      </c>
      <c r="D73" s="351"/>
      <c r="E73" s="333"/>
      <c r="F73" s="336"/>
      <c r="G73" s="348"/>
      <c r="H73" s="345"/>
      <c r="I73" s="339"/>
      <c r="J73" s="345"/>
      <c r="K73" s="339"/>
      <c r="L73" s="368"/>
      <c r="M73" s="339"/>
    </row>
    <row r="74" spans="1:13" ht="30" customHeight="1" x14ac:dyDescent="0.25">
      <c r="A74" s="76"/>
      <c r="B74" s="360"/>
      <c r="C74" s="350" t="s">
        <v>481</v>
      </c>
      <c r="D74" s="351"/>
      <c r="E74" s="333"/>
      <c r="F74" s="336"/>
      <c r="G74" s="348"/>
      <c r="H74" s="345"/>
      <c r="I74" s="339"/>
      <c r="J74" s="345"/>
      <c r="K74" s="339"/>
      <c r="L74" s="368"/>
      <c r="M74" s="339"/>
    </row>
    <row r="75" spans="1:13" ht="30" customHeight="1" x14ac:dyDescent="0.25">
      <c r="A75" s="76"/>
      <c r="B75" s="361"/>
      <c r="C75" s="352" t="s">
        <v>482</v>
      </c>
      <c r="D75" s="353"/>
      <c r="E75" s="334"/>
      <c r="F75" s="337"/>
      <c r="G75" s="349"/>
      <c r="H75" s="346"/>
      <c r="I75" s="340"/>
      <c r="J75" s="346"/>
      <c r="K75" s="340"/>
      <c r="L75" s="371"/>
      <c r="M75" s="340"/>
    </row>
    <row r="76" spans="1:13" ht="30" customHeight="1" x14ac:dyDescent="0.25">
      <c r="A76" s="76"/>
      <c r="B76" s="359"/>
      <c r="C76" s="354" t="s">
        <v>470</v>
      </c>
      <c r="D76" s="355"/>
      <c r="E76" s="332"/>
      <c r="F76" s="335" t="s">
        <v>392</v>
      </c>
      <c r="G76" s="347">
        <v>1</v>
      </c>
      <c r="H76" s="344">
        <v>134534.40000000002</v>
      </c>
      <c r="I76" s="338">
        <f t="shared" ref="I76" si="16">+H76*G76</f>
        <v>134534.40000000002</v>
      </c>
      <c r="J76" s="344">
        <v>53790</v>
      </c>
      <c r="K76" s="338">
        <f>+J76*G76</f>
        <v>53790</v>
      </c>
      <c r="L76" s="367">
        <f>+H76+J76</f>
        <v>188324.40000000002</v>
      </c>
      <c r="M76" s="338">
        <f>+L76*G76</f>
        <v>188324.40000000002</v>
      </c>
    </row>
    <row r="77" spans="1:13" ht="30" customHeight="1" x14ac:dyDescent="0.25">
      <c r="A77" s="76"/>
      <c r="B77" s="360"/>
      <c r="C77" s="350" t="s">
        <v>483</v>
      </c>
      <c r="D77" s="351"/>
      <c r="E77" s="333"/>
      <c r="F77" s="336"/>
      <c r="G77" s="348"/>
      <c r="H77" s="345"/>
      <c r="I77" s="339"/>
      <c r="J77" s="345"/>
      <c r="K77" s="339"/>
      <c r="L77" s="368"/>
      <c r="M77" s="339"/>
    </row>
    <row r="78" spans="1:13" ht="30" customHeight="1" x14ac:dyDescent="0.25">
      <c r="A78" s="76"/>
      <c r="B78" s="360"/>
      <c r="C78" s="350" t="s">
        <v>484</v>
      </c>
      <c r="D78" s="351"/>
      <c r="E78" s="333"/>
      <c r="F78" s="336"/>
      <c r="G78" s="348"/>
      <c r="H78" s="345"/>
      <c r="I78" s="339"/>
      <c r="J78" s="345"/>
      <c r="K78" s="339"/>
      <c r="L78" s="368"/>
      <c r="M78" s="339"/>
    </row>
    <row r="79" spans="1:13" ht="30" customHeight="1" x14ac:dyDescent="0.25">
      <c r="A79" s="76"/>
      <c r="B79" s="360"/>
      <c r="C79" s="350" t="s">
        <v>485</v>
      </c>
      <c r="D79" s="351"/>
      <c r="E79" s="333"/>
      <c r="F79" s="336"/>
      <c r="G79" s="348"/>
      <c r="H79" s="345"/>
      <c r="I79" s="339"/>
      <c r="J79" s="345"/>
      <c r="K79" s="339"/>
      <c r="L79" s="368"/>
      <c r="M79" s="339"/>
    </row>
    <row r="80" spans="1:13" ht="30" customHeight="1" x14ac:dyDescent="0.25">
      <c r="A80" s="76"/>
      <c r="B80" s="361"/>
      <c r="C80" s="352" t="s">
        <v>482</v>
      </c>
      <c r="D80" s="353"/>
      <c r="E80" s="334"/>
      <c r="F80" s="337"/>
      <c r="G80" s="349"/>
      <c r="H80" s="346"/>
      <c r="I80" s="340"/>
      <c r="J80" s="346"/>
      <c r="K80" s="340"/>
      <c r="L80" s="371"/>
      <c r="M80" s="340"/>
    </row>
    <row r="81" spans="1:13" ht="30" customHeight="1" x14ac:dyDescent="0.25">
      <c r="A81" s="76"/>
      <c r="B81" s="359"/>
      <c r="C81" s="354" t="s">
        <v>486</v>
      </c>
      <c r="D81" s="355"/>
      <c r="E81" s="332"/>
      <c r="F81" s="335" t="s">
        <v>392</v>
      </c>
      <c r="G81" s="347">
        <v>1</v>
      </c>
      <c r="H81" s="344">
        <v>140346.36000000002</v>
      </c>
      <c r="I81" s="338">
        <f t="shared" ref="I81" si="17">+H81*G81</f>
        <v>140346.36000000002</v>
      </c>
      <c r="J81" s="344">
        <v>56166</v>
      </c>
      <c r="K81" s="338">
        <f>+J81*G81</f>
        <v>56166</v>
      </c>
      <c r="L81" s="367">
        <f>+H81+J81</f>
        <v>196512.36000000002</v>
      </c>
      <c r="M81" s="338">
        <f>+L81*G81</f>
        <v>196512.36000000002</v>
      </c>
    </row>
    <row r="82" spans="1:13" ht="30" customHeight="1" x14ac:dyDescent="0.25">
      <c r="A82" s="76"/>
      <c r="B82" s="360"/>
      <c r="C82" s="350" t="s">
        <v>487</v>
      </c>
      <c r="D82" s="351"/>
      <c r="E82" s="333"/>
      <c r="F82" s="336"/>
      <c r="G82" s="348"/>
      <c r="H82" s="345"/>
      <c r="I82" s="339"/>
      <c r="J82" s="345"/>
      <c r="K82" s="339"/>
      <c r="L82" s="368"/>
      <c r="M82" s="339"/>
    </row>
    <row r="83" spans="1:13" ht="30" customHeight="1" x14ac:dyDescent="0.25">
      <c r="A83" s="76"/>
      <c r="B83" s="360"/>
      <c r="C83" s="350" t="s">
        <v>436</v>
      </c>
      <c r="D83" s="351"/>
      <c r="E83" s="333"/>
      <c r="F83" s="336"/>
      <c r="G83" s="348"/>
      <c r="H83" s="345"/>
      <c r="I83" s="339"/>
      <c r="J83" s="345"/>
      <c r="K83" s="339"/>
      <c r="L83" s="368"/>
      <c r="M83" s="339"/>
    </row>
    <row r="84" spans="1:13" ht="30" customHeight="1" x14ac:dyDescent="0.25">
      <c r="A84" s="76"/>
      <c r="B84" s="360"/>
      <c r="C84" s="350" t="s">
        <v>488</v>
      </c>
      <c r="D84" s="351"/>
      <c r="E84" s="333"/>
      <c r="F84" s="336"/>
      <c r="G84" s="348"/>
      <c r="H84" s="345"/>
      <c r="I84" s="339"/>
      <c r="J84" s="345"/>
      <c r="K84" s="339"/>
      <c r="L84" s="368"/>
      <c r="M84" s="339"/>
    </row>
    <row r="85" spans="1:13" ht="30" customHeight="1" x14ac:dyDescent="0.25">
      <c r="A85" s="76"/>
      <c r="B85" s="361"/>
      <c r="C85" s="352" t="s">
        <v>489</v>
      </c>
      <c r="D85" s="353"/>
      <c r="E85" s="334"/>
      <c r="F85" s="337"/>
      <c r="G85" s="349"/>
      <c r="H85" s="346"/>
      <c r="I85" s="340"/>
      <c r="J85" s="346"/>
      <c r="K85" s="340"/>
      <c r="L85" s="371"/>
      <c r="M85" s="340"/>
    </row>
    <row r="86" spans="1:13" ht="30" customHeight="1" x14ac:dyDescent="0.25">
      <c r="A86" s="76"/>
      <c r="B86" s="359"/>
      <c r="C86" s="354" t="s">
        <v>490</v>
      </c>
      <c r="D86" s="355"/>
      <c r="E86" s="332"/>
      <c r="F86" s="335" t="s">
        <v>392</v>
      </c>
      <c r="G86" s="347">
        <v>1</v>
      </c>
      <c r="H86" s="344">
        <v>47140.5</v>
      </c>
      <c r="I86" s="338">
        <f t="shared" ref="I86" si="18">+H86*G86</f>
        <v>47140.5</v>
      </c>
      <c r="J86" s="344">
        <v>18876</v>
      </c>
      <c r="K86" s="338">
        <f>+J86*G86</f>
        <v>18876</v>
      </c>
      <c r="L86" s="367">
        <f>+H86+J86</f>
        <v>66016.5</v>
      </c>
      <c r="M86" s="338">
        <f>+L86*G86</f>
        <v>66016.5</v>
      </c>
    </row>
    <row r="87" spans="1:13" ht="30" customHeight="1" x14ac:dyDescent="0.25">
      <c r="A87" s="76"/>
      <c r="B87" s="360"/>
      <c r="C87" s="350" t="s">
        <v>491</v>
      </c>
      <c r="D87" s="351"/>
      <c r="E87" s="333"/>
      <c r="F87" s="336"/>
      <c r="G87" s="348"/>
      <c r="H87" s="345"/>
      <c r="I87" s="339"/>
      <c r="J87" s="345"/>
      <c r="K87" s="339"/>
      <c r="L87" s="368"/>
      <c r="M87" s="339"/>
    </row>
    <row r="88" spans="1:13" ht="30" customHeight="1" x14ac:dyDescent="0.25">
      <c r="A88" s="76"/>
      <c r="B88" s="361"/>
      <c r="C88" s="352" t="s">
        <v>492</v>
      </c>
      <c r="D88" s="353"/>
      <c r="E88" s="334"/>
      <c r="F88" s="337"/>
      <c r="G88" s="349"/>
      <c r="H88" s="346"/>
      <c r="I88" s="340"/>
      <c r="J88" s="346"/>
      <c r="K88" s="340"/>
      <c r="L88" s="371"/>
      <c r="M88" s="340"/>
    </row>
    <row r="89" spans="1:13" ht="30" customHeight="1" x14ac:dyDescent="0.25">
      <c r="A89" s="76"/>
      <c r="B89" s="359"/>
      <c r="C89" s="354" t="s">
        <v>493</v>
      </c>
      <c r="D89" s="355"/>
      <c r="E89" s="332"/>
      <c r="F89" s="335" t="s">
        <v>392</v>
      </c>
      <c r="G89" s="347">
        <v>1</v>
      </c>
      <c r="H89" s="344">
        <v>42108</v>
      </c>
      <c r="I89" s="338">
        <f t="shared" ref="I89" si="19">+H89*G89</f>
        <v>42108</v>
      </c>
      <c r="J89" s="344">
        <v>16830</v>
      </c>
      <c r="K89" s="338">
        <f>+J89*G89</f>
        <v>16830</v>
      </c>
      <c r="L89" s="367">
        <f>+H89+J89</f>
        <v>58938</v>
      </c>
      <c r="M89" s="338">
        <f>+L89*G89</f>
        <v>58938</v>
      </c>
    </row>
    <row r="90" spans="1:13" ht="30" customHeight="1" x14ac:dyDescent="0.25">
      <c r="A90" s="76"/>
      <c r="B90" s="360"/>
      <c r="C90" s="350" t="s">
        <v>494</v>
      </c>
      <c r="D90" s="351"/>
      <c r="E90" s="333"/>
      <c r="F90" s="336"/>
      <c r="G90" s="348"/>
      <c r="H90" s="345"/>
      <c r="I90" s="339"/>
      <c r="J90" s="345"/>
      <c r="K90" s="339"/>
      <c r="L90" s="368"/>
      <c r="M90" s="339"/>
    </row>
    <row r="91" spans="1:13" ht="30" customHeight="1" x14ac:dyDescent="0.25">
      <c r="A91" s="76"/>
      <c r="B91" s="361"/>
      <c r="C91" s="352" t="s">
        <v>492</v>
      </c>
      <c r="D91" s="353"/>
      <c r="E91" s="334"/>
      <c r="F91" s="337"/>
      <c r="G91" s="349"/>
      <c r="H91" s="346"/>
      <c r="I91" s="340"/>
      <c r="J91" s="346"/>
      <c r="K91" s="340"/>
      <c r="L91" s="371"/>
      <c r="M91" s="340"/>
    </row>
    <row r="92" spans="1:13" ht="30" customHeight="1" x14ac:dyDescent="0.25">
      <c r="A92" s="76"/>
      <c r="B92" s="359"/>
      <c r="C92" s="354" t="s">
        <v>495</v>
      </c>
      <c r="D92" s="355"/>
      <c r="E92" s="332"/>
      <c r="F92" s="335" t="s">
        <v>392</v>
      </c>
      <c r="G92" s="347">
        <v>1</v>
      </c>
      <c r="H92" s="344">
        <v>47140.5</v>
      </c>
      <c r="I92" s="338">
        <f t="shared" ref="I92" si="20">+H92*G92</f>
        <v>47140.5</v>
      </c>
      <c r="J92" s="344">
        <v>18876</v>
      </c>
      <c r="K92" s="338">
        <f>+J92*G92</f>
        <v>18876</v>
      </c>
      <c r="L92" s="367">
        <f>+H92+J92</f>
        <v>66016.5</v>
      </c>
      <c r="M92" s="338">
        <f>+L92*G92</f>
        <v>66016.5</v>
      </c>
    </row>
    <row r="93" spans="1:13" ht="30" customHeight="1" x14ac:dyDescent="0.25">
      <c r="A93" s="76"/>
      <c r="B93" s="360"/>
      <c r="C93" s="350" t="s">
        <v>491</v>
      </c>
      <c r="D93" s="351"/>
      <c r="E93" s="333"/>
      <c r="F93" s="336"/>
      <c r="G93" s="348"/>
      <c r="H93" s="345"/>
      <c r="I93" s="339"/>
      <c r="J93" s="345"/>
      <c r="K93" s="339"/>
      <c r="L93" s="368"/>
      <c r="M93" s="339"/>
    </row>
    <row r="94" spans="1:13" ht="30" customHeight="1" x14ac:dyDescent="0.25">
      <c r="A94" s="76"/>
      <c r="B94" s="361"/>
      <c r="C94" s="352" t="s">
        <v>492</v>
      </c>
      <c r="D94" s="353"/>
      <c r="E94" s="334"/>
      <c r="F94" s="337"/>
      <c r="G94" s="349"/>
      <c r="H94" s="346"/>
      <c r="I94" s="340"/>
      <c r="J94" s="346"/>
      <c r="K94" s="340"/>
      <c r="L94" s="371"/>
      <c r="M94" s="340"/>
    </row>
    <row r="95" spans="1:13" ht="30" customHeight="1" x14ac:dyDescent="0.25">
      <c r="A95" s="76"/>
      <c r="B95" s="359"/>
      <c r="C95" s="354" t="s">
        <v>496</v>
      </c>
      <c r="D95" s="355"/>
      <c r="E95" s="332"/>
      <c r="F95" s="335" t="s">
        <v>392</v>
      </c>
      <c r="G95" s="347">
        <v>1</v>
      </c>
      <c r="H95" s="344">
        <v>35904</v>
      </c>
      <c r="I95" s="338">
        <f t="shared" ref="I95" si="21">+H95*G95</f>
        <v>35904</v>
      </c>
      <c r="J95" s="344">
        <v>14388</v>
      </c>
      <c r="K95" s="338">
        <f>+J95*G95</f>
        <v>14388</v>
      </c>
      <c r="L95" s="367">
        <f>+H95+J95</f>
        <v>50292</v>
      </c>
      <c r="M95" s="338">
        <f>+L95*G95</f>
        <v>50292</v>
      </c>
    </row>
    <row r="96" spans="1:13" ht="30" customHeight="1" x14ac:dyDescent="0.25">
      <c r="A96" s="76"/>
      <c r="B96" s="360"/>
      <c r="C96" s="350" t="s">
        <v>497</v>
      </c>
      <c r="D96" s="351"/>
      <c r="E96" s="333"/>
      <c r="F96" s="336"/>
      <c r="G96" s="348"/>
      <c r="H96" s="345"/>
      <c r="I96" s="339"/>
      <c r="J96" s="345"/>
      <c r="K96" s="339"/>
      <c r="L96" s="368"/>
      <c r="M96" s="339"/>
    </row>
    <row r="97" spans="1:13" ht="30" customHeight="1" x14ac:dyDescent="0.25">
      <c r="A97" s="76"/>
      <c r="B97" s="361"/>
      <c r="C97" s="352" t="s">
        <v>492</v>
      </c>
      <c r="D97" s="353"/>
      <c r="E97" s="334"/>
      <c r="F97" s="337"/>
      <c r="G97" s="349"/>
      <c r="H97" s="346"/>
      <c r="I97" s="340"/>
      <c r="J97" s="346"/>
      <c r="K97" s="340"/>
      <c r="L97" s="371"/>
      <c r="M97" s="340"/>
    </row>
    <row r="98" spans="1:13" ht="30" customHeight="1" x14ac:dyDescent="0.25">
      <c r="A98" s="76"/>
      <c r="B98" s="359"/>
      <c r="C98" s="354" t="s">
        <v>498</v>
      </c>
      <c r="D98" s="355"/>
      <c r="E98" s="332"/>
      <c r="F98" s="335" t="s">
        <v>392</v>
      </c>
      <c r="G98" s="347">
        <v>1</v>
      </c>
      <c r="H98" s="344">
        <v>40075.200000000004</v>
      </c>
      <c r="I98" s="338">
        <f t="shared" ref="I98" si="22">+H98*G98</f>
        <v>40075.200000000004</v>
      </c>
      <c r="J98" s="344">
        <v>16038</v>
      </c>
      <c r="K98" s="338">
        <f>+J98*G98</f>
        <v>16038</v>
      </c>
      <c r="L98" s="367">
        <f>+H98+J98</f>
        <v>56113.200000000004</v>
      </c>
      <c r="M98" s="338">
        <f>+L98*G98</f>
        <v>56113.200000000004</v>
      </c>
    </row>
    <row r="99" spans="1:13" ht="30" customHeight="1" x14ac:dyDescent="0.25">
      <c r="A99" s="76"/>
      <c r="B99" s="360"/>
      <c r="C99" s="350" t="s">
        <v>499</v>
      </c>
      <c r="D99" s="351"/>
      <c r="E99" s="333"/>
      <c r="F99" s="336"/>
      <c r="G99" s="348"/>
      <c r="H99" s="345"/>
      <c r="I99" s="339"/>
      <c r="J99" s="345"/>
      <c r="K99" s="339"/>
      <c r="L99" s="368"/>
      <c r="M99" s="339"/>
    </row>
    <row r="100" spans="1:13" ht="30" customHeight="1" x14ac:dyDescent="0.25">
      <c r="A100" s="76"/>
      <c r="B100" s="361"/>
      <c r="C100" s="352" t="s">
        <v>492</v>
      </c>
      <c r="D100" s="353"/>
      <c r="E100" s="334"/>
      <c r="F100" s="337"/>
      <c r="G100" s="349"/>
      <c r="H100" s="346"/>
      <c r="I100" s="340"/>
      <c r="J100" s="346"/>
      <c r="K100" s="340"/>
      <c r="L100" s="371"/>
      <c r="M100" s="340"/>
    </row>
    <row r="101" spans="1:13" ht="30" customHeight="1" x14ac:dyDescent="0.25">
      <c r="A101" s="76"/>
      <c r="B101" s="359"/>
      <c r="C101" s="354" t="s">
        <v>500</v>
      </c>
      <c r="D101" s="355"/>
      <c r="E101" s="332"/>
      <c r="F101" s="335" t="s">
        <v>392</v>
      </c>
      <c r="G101" s="347">
        <v>1</v>
      </c>
      <c r="H101" s="344">
        <v>37290</v>
      </c>
      <c r="I101" s="338">
        <f t="shared" ref="I101" si="23">+H101*G101</f>
        <v>37290</v>
      </c>
      <c r="J101" s="344">
        <v>14916</v>
      </c>
      <c r="K101" s="338">
        <f>+J101*G101</f>
        <v>14916</v>
      </c>
      <c r="L101" s="367">
        <f>+H101+J101</f>
        <v>52206</v>
      </c>
      <c r="M101" s="338">
        <f>+L101*G101</f>
        <v>52206</v>
      </c>
    </row>
    <row r="102" spans="1:13" ht="30" customHeight="1" x14ac:dyDescent="0.25">
      <c r="A102" s="76"/>
      <c r="B102" s="360"/>
      <c r="C102" s="350" t="s">
        <v>501</v>
      </c>
      <c r="D102" s="351"/>
      <c r="E102" s="333"/>
      <c r="F102" s="336"/>
      <c r="G102" s="348"/>
      <c r="H102" s="345"/>
      <c r="I102" s="339"/>
      <c r="J102" s="345"/>
      <c r="K102" s="339"/>
      <c r="L102" s="368"/>
      <c r="M102" s="339"/>
    </row>
    <row r="103" spans="1:13" ht="30" customHeight="1" x14ac:dyDescent="0.25">
      <c r="A103" s="76"/>
      <c r="B103" s="361"/>
      <c r="C103" s="352" t="s">
        <v>492</v>
      </c>
      <c r="D103" s="353"/>
      <c r="E103" s="334"/>
      <c r="F103" s="337"/>
      <c r="G103" s="349"/>
      <c r="H103" s="346"/>
      <c r="I103" s="340"/>
      <c r="J103" s="346"/>
      <c r="K103" s="340"/>
      <c r="L103" s="371"/>
      <c r="M103" s="340"/>
    </row>
    <row r="104" spans="1:13" ht="30" customHeight="1" x14ac:dyDescent="0.25">
      <c r="A104" s="76"/>
      <c r="B104" s="359"/>
      <c r="C104" s="354" t="s">
        <v>502</v>
      </c>
      <c r="D104" s="355"/>
      <c r="E104" s="332"/>
      <c r="F104" s="335" t="s">
        <v>392</v>
      </c>
      <c r="G104" s="347">
        <v>1</v>
      </c>
      <c r="H104" s="344">
        <v>37290</v>
      </c>
      <c r="I104" s="338">
        <f t="shared" ref="I104" si="24">+H104*G104</f>
        <v>37290</v>
      </c>
      <c r="J104" s="344">
        <v>14916</v>
      </c>
      <c r="K104" s="338">
        <f>+J104*G104</f>
        <v>14916</v>
      </c>
      <c r="L104" s="367">
        <f>+H104+J104</f>
        <v>52206</v>
      </c>
      <c r="M104" s="338">
        <f>+L104*G104</f>
        <v>52206</v>
      </c>
    </row>
    <row r="105" spans="1:13" ht="30" customHeight="1" x14ac:dyDescent="0.25">
      <c r="A105" s="76"/>
      <c r="B105" s="360"/>
      <c r="C105" s="350" t="s">
        <v>501</v>
      </c>
      <c r="D105" s="351"/>
      <c r="E105" s="333"/>
      <c r="F105" s="336"/>
      <c r="G105" s="348"/>
      <c r="H105" s="345"/>
      <c r="I105" s="339"/>
      <c r="J105" s="345"/>
      <c r="K105" s="339"/>
      <c r="L105" s="368"/>
      <c r="M105" s="339"/>
    </row>
    <row r="106" spans="1:13" ht="30" customHeight="1" x14ac:dyDescent="0.25">
      <c r="A106" s="76"/>
      <c r="B106" s="361"/>
      <c r="C106" s="352" t="s">
        <v>492</v>
      </c>
      <c r="D106" s="353"/>
      <c r="E106" s="334"/>
      <c r="F106" s="337"/>
      <c r="G106" s="349"/>
      <c r="H106" s="346"/>
      <c r="I106" s="340"/>
      <c r="J106" s="346"/>
      <c r="K106" s="340"/>
      <c r="L106" s="371"/>
      <c r="M106" s="340"/>
    </row>
    <row r="107" spans="1:13" ht="30" customHeight="1" x14ac:dyDescent="0.25">
      <c r="A107" s="76"/>
      <c r="B107" s="359"/>
      <c r="C107" s="354" t="s">
        <v>503</v>
      </c>
      <c r="D107" s="355"/>
      <c r="E107" s="332"/>
      <c r="F107" s="335" t="s">
        <v>392</v>
      </c>
      <c r="G107" s="347">
        <v>1</v>
      </c>
      <c r="H107" s="344">
        <v>40075.200000000004</v>
      </c>
      <c r="I107" s="338">
        <f t="shared" ref="I107" si="25">+H107*G107</f>
        <v>40075.200000000004</v>
      </c>
      <c r="J107" s="344">
        <v>16038</v>
      </c>
      <c r="K107" s="338">
        <f>+J107*G107</f>
        <v>16038</v>
      </c>
      <c r="L107" s="367">
        <f>+H107+J107</f>
        <v>56113.200000000004</v>
      </c>
      <c r="M107" s="338">
        <f>+L107*G107</f>
        <v>56113.200000000004</v>
      </c>
    </row>
    <row r="108" spans="1:13" ht="30" customHeight="1" x14ac:dyDescent="0.25">
      <c r="A108" s="76"/>
      <c r="B108" s="360"/>
      <c r="C108" s="350" t="s">
        <v>499</v>
      </c>
      <c r="D108" s="351"/>
      <c r="E108" s="333"/>
      <c r="F108" s="336"/>
      <c r="G108" s="348"/>
      <c r="H108" s="345"/>
      <c r="I108" s="339"/>
      <c r="J108" s="345"/>
      <c r="K108" s="339"/>
      <c r="L108" s="368"/>
      <c r="M108" s="339"/>
    </row>
    <row r="109" spans="1:13" ht="30" customHeight="1" x14ac:dyDescent="0.25">
      <c r="A109" s="76"/>
      <c r="B109" s="361"/>
      <c r="C109" s="352" t="s">
        <v>492</v>
      </c>
      <c r="D109" s="353"/>
      <c r="E109" s="334"/>
      <c r="F109" s="337"/>
      <c r="G109" s="349"/>
      <c r="H109" s="346"/>
      <c r="I109" s="340"/>
      <c r="J109" s="346"/>
      <c r="K109" s="340"/>
      <c r="L109" s="371"/>
      <c r="M109" s="340"/>
    </row>
    <row r="110" spans="1:13" ht="30" customHeight="1" x14ac:dyDescent="0.25">
      <c r="A110" s="76"/>
      <c r="B110" s="359"/>
      <c r="C110" s="354" t="s">
        <v>504</v>
      </c>
      <c r="D110" s="355"/>
      <c r="E110" s="332"/>
      <c r="F110" s="335" t="s">
        <v>392</v>
      </c>
      <c r="G110" s="347">
        <v>1</v>
      </c>
      <c r="H110" s="344">
        <v>35983.200000000004</v>
      </c>
      <c r="I110" s="338">
        <f t="shared" ref="I110" si="26">+H110*G110</f>
        <v>35983.200000000004</v>
      </c>
      <c r="J110" s="344">
        <v>14388</v>
      </c>
      <c r="K110" s="338">
        <f>+J110*G110</f>
        <v>14388</v>
      </c>
      <c r="L110" s="367">
        <f>+H110+J110</f>
        <v>50371.200000000004</v>
      </c>
      <c r="M110" s="338">
        <f>+L110*G110</f>
        <v>50371.200000000004</v>
      </c>
    </row>
    <row r="111" spans="1:13" ht="30" customHeight="1" x14ac:dyDescent="0.25">
      <c r="A111" s="76"/>
      <c r="B111" s="360"/>
      <c r="C111" s="350" t="s">
        <v>497</v>
      </c>
      <c r="D111" s="351"/>
      <c r="E111" s="333"/>
      <c r="F111" s="336"/>
      <c r="G111" s="348"/>
      <c r="H111" s="345"/>
      <c r="I111" s="339"/>
      <c r="J111" s="345"/>
      <c r="K111" s="339"/>
      <c r="L111" s="368"/>
      <c r="M111" s="339"/>
    </row>
    <row r="112" spans="1:13" ht="30" customHeight="1" x14ac:dyDescent="0.25">
      <c r="A112" s="76"/>
      <c r="B112" s="361"/>
      <c r="C112" s="352" t="s">
        <v>492</v>
      </c>
      <c r="D112" s="353"/>
      <c r="E112" s="334"/>
      <c r="F112" s="337"/>
      <c r="G112" s="349"/>
      <c r="H112" s="346"/>
      <c r="I112" s="340"/>
      <c r="J112" s="346"/>
      <c r="K112" s="340"/>
      <c r="L112" s="371"/>
      <c r="M112" s="340"/>
    </row>
    <row r="113" spans="1:13" ht="30" customHeight="1" x14ac:dyDescent="0.25">
      <c r="A113" s="76"/>
      <c r="B113" s="359"/>
      <c r="C113" s="354" t="s">
        <v>505</v>
      </c>
      <c r="D113" s="355"/>
      <c r="E113" s="332"/>
      <c r="F113" s="335" t="s">
        <v>392</v>
      </c>
      <c r="G113" s="347">
        <v>1</v>
      </c>
      <c r="H113" s="344">
        <v>42075</v>
      </c>
      <c r="I113" s="338">
        <f t="shared" ref="I113" si="27">+H113*G113</f>
        <v>42075</v>
      </c>
      <c r="J113" s="344">
        <v>16830</v>
      </c>
      <c r="K113" s="338">
        <f>+J113*G113</f>
        <v>16830</v>
      </c>
      <c r="L113" s="367">
        <f>+H113+J113</f>
        <v>58905</v>
      </c>
      <c r="M113" s="338">
        <f>+L113*G113</f>
        <v>58905</v>
      </c>
    </row>
    <row r="114" spans="1:13" ht="30" customHeight="1" x14ac:dyDescent="0.25">
      <c r="A114" s="76"/>
      <c r="B114" s="360"/>
      <c r="C114" s="350" t="s">
        <v>494</v>
      </c>
      <c r="D114" s="351"/>
      <c r="E114" s="333"/>
      <c r="F114" s="336"/>
      <c r="G114" s="348"/>
      <c r="H114" s="345"/>
      <c r="I114" s="339"/>
      <c r="J114" s="345"/>
      <c r="K114" s="339"/>
      <c r="L114" s="368"/>
      <c r="M114" s="339"/>
    </row>
    <row r="115" spans="1:13" ht="30" customHeight="1" x14ac:dyDescent="0.25">
      <c r="A115" s="76"/>
      <c r="B115" s="361"/>
      <c r="C115" s="352" t="s">
        <v>492</v>
      </c>
      <c r="D115" s="353"/>
      <c r="E115" s="334"/>
      <c r="F115" s="337"/>
      <c r="G115" s="349"/>
      <c r="H115" s="346"/>
      <c r="I115" s="340"/>
      <c r="J115" s="346"/>
      <c r="K115" s="340"/>
      <c r="L115" s="371"/>
      <c r="M115" s="340"/>
    </row>
    <row r="116" spans="1:13" ht="30" customHeight="1" x14ac:dyDescent="0.25">
      <c r="A116" s="76"/>
      <c r="B116" s="359"/>
      <c r="C116" s="354" t="s">
        <v>506</v>
      </c>
      <c r="D116" s="355"/>
      <c r="E116" s="332"/>
      <c r="F116" s="335" t="s">
        <v>392</v>
      </c>
      <c r="G116" s="347">
        <v>1</v>
      </c>
      <c r="H116" s="344">
        <v>42075</v>
      </c>
      <c r="I116" s="338">
        <f t="shared" ref="I116" si="28">+H116*G116</f>
        <v>42075</v>
      </c>
      <c r="J116" s="344">
        <v>16830</v>
      </c>
      <c r="K116" s="338">
        <f>+J116*G116</f>
        <v>16830</v>
      </c>
      <c r="L116" s="367">
        <f>+H116+J116</f>
        <v>58905</v>
      </c>
      <c r="M116" s="338">
        <f>+L116*G116</f>
        <v>58905</v>
      </c>
    </row>
    <row r="117" spans="1:13" ht="30" customHeight="1" x14ac:dyDescent="0.25">
      <c r="A117" s="76"/>
      <c r="B117" s="360"/>
      <c r="C117" s="350" t="s">
        <v>507</v>
      </c>
      <c r="D117" s="351"/>
      <c r="E117" s="333"/>
      <c r="F117" s="336"/>
      <c r="G117" s="348"/>
      <c r="H117" s="345"/>
      <c r="I117" s="339"/>
      <c r="J117" s="345"/>
      <c r="K117" s="339"/>
      <c r="L117" s="368"/>
      <c r="M117" s="339"/>
    </row>
    <row r="118" spans="1:13" ht="30" customHeight="1" x14ac:dyDescent="0.25">
      <c r="A118" s="76"/>
      <c r="B118" s="361"/>
      <c r="C118" s="352" t="s">
        <v>492</v>
      </c>
      <c r="D118" s="353"/>
      <c r="E118" s="334"/>
      <c r="F118" s="337"/>
      <c r="G118" s="349"/>
      <c r="H118" s="346"/>
      <c r="I118" s="340"/>
      <c r="J118" s="346"/>
      <c r="K118" s="340"/>
      <c r="L118" s="371"/>
      <c r="M118" s="340"/>
    </row>
    <row r="119" spans="1:13" ht="30" customHeight="1" x14ac:dyDescent="0.25">
      <c r="A119" s="76"/>
      <c r="B119" s="359"/>
      <c r="C119" s="354" t="s">
        <v>508</v>
      </c>
      <c r="D119" s="355"/>
      <c r="E119" s="332"/>
      <c r="F119" s="335" t="s">
        <v>392</v>
      </c>
      <c r="G119" s="347">
        <v>1</v>
      </c>
      <c r="H119" s="344">
        <v>42075</v>
      </c>
      <c r="I119" s="338">
        <f t="shared" ref="I119" si="29">+H119*G119</f>
        <v>42075</v>
      </c>
      <c r="J119" s="344">
        <v>16830</v>
      </c>
      <c r="K119" s="338">
        <f>+J119*G119</f>
        <v>16830</v>
      </c>
      <c r="L119" s="367">
        <f>+H119+J119</f>
        <v>58905</v>
      </c>
      <c r="M119" s="338">
        <f>+L119*G119</f>
        <v>58905</v>
      </c>
    </row>
    <row r="120" spans="1:13" ht="30" customHeight="1" x14ac:dyDescent="0.25">
      <c r="A120" s="76"/>
      <c r="B120" s="360"/>
      <c r="C120" s="350" t="s">
        <v>507</v>
      </c>
      <c r="D120" s="351"/>
      <c r="E120" s="333"/>
      <c r="F120" s="336"/>
      <c r="G120" s="348"/>
      <c r="H120" s="345"/>
      <c r="I120" s="339"/>
      <c r="J120" s="345"/>
      <c r="K120" s="339"/>
      <c r="L120" s="368"/>
      <c r="M120" s="339"/>
    </row>
    <row r="121" spans="1:13" ht="30" customHeight="1" x14ac:dyDescent="0.25">
      <c r="A121" s="76"/>
      <c r="B121" s="361"/>
      <c r="C121" s="352" t="s">
        <v>492</v>
      </c>
      <c r="D121" s="353"/>
      <c r="E121" s="334"/>
      <c r="F121" s="337"/>
      <c r="G121" s="349"/>
      <c r="H121" s="346"/>
      <c r="I121" s="340"/>
      <c r="J121" s="346"/>
      <c r="K121" s="340"/>
      <c r="L121" s="371"/>
      <c r="M121" s="340"/>
    </row>
    <row r="122" spans="1:13" ht="30" customHeight="1" x14ac:dyDescent="0.25">
      <c r="A122" s="76"/>
      <c r="B122" s="359"/>
      <c r="C122" s="354" t="s">
        <v>509</v>
      </c>
      <c r="D122" s="355"/>
      <c r="E122" s="332"/>
      <c r="F122" s="335" t="s">
        <v>392</v>
      </c>
      <c r="G122" s="347">
        <v>1</v>
      </c>
      <c r="H122" s="344">
        <v>38742</v>
      </c>
      <c r="I122" s="338">
        <f t="shared" ref="I122" si="30">+H122*G122</f>
        <v>38742</v>
      </c>
      <c r="J122" s="344">
        <v>15510</v>
      </c>
      <c r="K122" s="338">
        <f>+J122*G122</f>
        <v>15510</v>
      </c>
      <c r="L122" s="367">
        <f>+H122+J122</f>
        <v>54252</v>
      </c>
      <c r="M122" s="338">
        <f>+L122*G122</f>
        <v>54252</v>
      </c>
    </row>
    <row r="123" spans="1:13" ht="30" customHeight="1" x14ac:dyDescent="0.25">
      <c r="A123" s="76"/>
      <c r="B123" s="360"/>
      <c r="C123" s="350" t="s">
        <v>2351</v>
      </c>
      <c r="D123" s="351"/>
      <c r="E123" s="333"/>
      <c r="F123" s="336"/>
      <c r="G123" s="348"/>
      <c r="H123" s="345"/>
      <c r="I123" s="339"/>
      <c r="J123" s="345"/>
      <c r="K123" s="339"/>
      <c r="L123" s="368"/>
      <c r="M123" s="339"/>
    </row>
    <row r="124" spans="1:13" ht="30" customHeight="1" x14ac:dyDescent="0.25">
      <c r="A124" s="76"/>
      <c r="B124" s="361"/>
      <c r="C124" s="352" t="s">
        <v>492</v>
      </c>
      <c r="D124" s="353"/>
      <c r="E124" s="334"/>
      <c r="F124" s="337"/>
      <c r="G124" s="349"/>
      <c r="H124" s="346"/>
      <c r="I124" s="340"/>
      <c r="J124" s="346"/>
      <c r="K124" s="340"/>
      <c r="L124" s="371"/>
      <c r="M124" s="340"/>
    </row>
    <row r="125" spans="1:13" ht="30" customHeight="1" x14ac:dyDescent="0.25">
      <c r="A125" s="76"/>
      <c r="B125" s="359"/>
      <c r="C125" s="354" t="s">
        <v>510</v>
      </c>
      <c r="D125" s="355"/>
      <c r="E125" s="332"/>
      <c r="F125" s="335" t="s">
        <v>392</v>
      </c>
      <c r="G125" s="347">
        <v>1</v>
      </c>
      <c r="H125" s="344">
        <v>42075</v>
      </c>
      <c r="I125" s="338">
        <f t="shared" ref="I125" si="31">+H125*G125</f>
        <v>42075</v>
      </c>
      <c r="J125" s="344">
        <v>16830</v>
      </c>
      <c r="K125" s="338">
        <f>+J125*G125</f>
        <v>16830</v>
      </c>
      <c r="L125" s="367">
        <f>+H125+J125</f>
        <v>58905</v>
      </c>
      <c r="M125" s="338">
        <f>+L125*G125</f>
        <v>58905</v>
      </c>
    </row>
    <row r="126" spans="1:13" ht="30" customHeight="1" x14ac:dyDescent="0.25">
      <c r="A126" s="76"/>
      <c r="B126" s="360"/>
      <c r="C126" s="350" t="s">
        <v>499</v>
      </c>
      <c r="D126" s="351"/>
      <c r="E126" s="333"/>
      <c r="F126" s="336"/>
      <c r="G126" s="348"/>
      <c r="H126" s="345"/>
      <c r="I126" s="339"/>
      <c r="J126" s="345"/>
      <c r="K126" s="339"/>
      <c r="L126" s="368"/>
      <c r="M126" s="339"/>
    </row>
    <row r="127" spans="1:13" ht="30" customHeight="1" x14ac:dyDescent="0.25">
      <c r="A127" s="76"/>
      <c r="B127" s="361"/>
      <c r="C127" s="352" t="s">
        <v>492</v>
      </c>
      <c r="D127" s="353"/>
      <c r="E127" s="334"/>
      <c r="F127" s="337"/>
      <c r="G127" s="349"/>
      <c r="H127" s="346"/>
      <c r="I127" s="340"/>
      <c r="J127" s="346"/>
      <c r="K127" s="340"/>
      <c r="L127" s="371"/>
      <c r="M127" s="340"/>
    </row>
    <row r="128" spans="1:13" ht="30" customHeight="1" x14ac:dyDescent="0.25">
      <c r="A128" s="76"/>
      <c r="B128" s="359"/>
      <c r="C128" s="354" t="s">
        <v>511</v>
      </c>
      <c r="D128" s="355"/>
      <c r="E128" s="332"/>
      <c r="F128" s="335" t="s">
        <v>392</v>
      </c>
      <c r="G128" s="347">
        <v>1</v>
      </c>
      <c r="H128" s="344">
        <v>42075</v>
      </c>
      <c r="I128" s="338">
        <f t="shared" ref="I128" si="32">+H128*G128</f>
        <v>42075</v>
      </c>
      <c r="J128" s="344">
        <v>16830</v>
      </c>
      <c r="K128" s="338">
        <f>+J128*G128</f>
        <v>16830</v>
      </c>
      <c r="L128" s="367">
        <f>+H128+J128</f>
        <v>58905</v>
      </c>
      <c r="M128" s="338">
        <f>+L128*G128</f>
        <v>58905</v>
      </c>
    </row>
    <row r="129" spans="1:13" ht="30" customHeight="1" x14ac:dyDescent="0.25">
      <c r="A129" s="76"/>
      <c r="B129" s="360"/>
      <c r="C129" s="350" t="s">
        <v>512</v>
      </c>
      <c r="D129" s="351"/>
      <c r="E129" s="333"/>
      <c r="F129" s="336"/>
      <c r="G129" s="348"/>
      <c r="H129" s="345"/>
      <c r="I129" s="339"/>
      <c r="J129" s="345"/>
      <c r="K129" s="339"/>
      <c r="L129" s="368"/>
      <c r="M129" s="339"/>
    </row>
    <row r="130" spans="1:13" ht="30" customHeight="1" x14ac:dyDescent="0.25">
      <c r="A130" s="76"/>
      <c r="B130" s="361"/>
      <c r="C130" s="352" t="s">
        <v>492</v>
      </c>
      <c r="D130" s="353"/>
      <c r="E130" s="334"/>
      <c r="F130" s="337"/>
      <c r="G130" s="349"/>
      <c r="H130" s="346"/>
      <c r="I130" s="340"/>
      <c r="J130" s="346"/>
      <c r="K130" s="340"/>
      <c r="L130" s="371"/>
      <c r="M130" s="340"/>
    </row>
    <row r="131" spans="1:13" ht="30" customHeight="1" x14ac:dyDescent="0.25">
      <c r="A131" s="76"/>
      <c r="B131" s="359"/>
      <c r="C131" s="354" t="s">
        <v>513</v>
      </c>
      <c r="D131" s="355"/>
      <c r="E131" s="332"/>
      <c r="F131" s="335" t="s">
        <v>392</v>
      </c>
      <c r="G131" s="347">
        <v>1</v>
      </c>
      <c r="H131" s="344">
        <v>42075</v>
      </c>
      <c r="I131" s="338">
        <f t="shared" ref="I131" si="33">+H131*G131</f>
        <v>42075</v>
      </c>
      <c r="J131" s="344">
        <v>16830</v>
      </c>
      <c r="K131" s="338">
        <f>+J131*G131</f>
        <v>16830</v>
      </c>
      <c r="L131" s="367">
        <f>+H131+J131</f>
        <v>58905</v>
      </c>
      <c r="M131" s="338">
        <f>+L131*G131</f>
        <v>58905</v>
      </c>
    </row>
    <row r="132" spans="1:13" ht="30" customHeight="1" x14ac:dyDescent="0.25">
      <c r="A132" s="76"/>
      <c r="B132" s="360"/>
      <c r="C132" s="350" t="s">
        <v>499</v>
      </c>
      <c r="D132" s="351"/>
      <c r="E132" s="333"/>
      <c r="F132" s="336"/>
      <c r="G132" s="348"/>
      <c r="H132" s="345"/>
      <c r="I132" s="339"/>
      <c r="J132" s="345"/>
      <c r="K132" s="339"/>
      <c r="L132" s="368"/>
      <c r="M132" s="339"/>
    </row>
    <row r="133" spans="1:13" ht="30" customHeight="1" x14ac:dyDescent="0.25">
      <c r="A133" s="76"/>
      <c r="B133" s="361"/>
      <c r="C133" s="352" t="s">
        <v>492</v>
      </c>
      <c r="D133" s="353"/>
      <c r="E133" s="334"/>
      <c r="F133" s="337"/>
      <c r="G133" s="349"/>
      <c r="H133" s="346"/>
      <c r="I133" s="340"/>
      <c r="J133" s="346"/>
      <c r="K133" s="340"/>
      <c r="L133" s="371"/>
      <c r="M133" s="340"/>
    </row>
    <row r="134" spans="1:13" ht="30" customHeight="1" x14ac:dyDescent="0.25">
      <c r="A134" s="76"/>
      <c r="B134" s="359"/>
      <c r="C134" s="354" t="s">
        <v>514</v>
      </c>
      <c r="D134" s="355"/>
      <c r="E134" s="332"/>
      <c r="F134" s="335" t="s">
        <v>392</v>
      </c>
      <c r="G134" s="347">
        <v>1</v>
      </c>
      <c r="H134" s="344">
        <v>42075</v>
      </c>
      <c r="I134" s="338">
        <f t="shared" ref="I134" si="34">+H134*G134</f>
        <v>42075</v>
      </c>
      <c r="J134" s="344">
        <v>16830</v>
      </c>
      <c r="K134" s="338">
        <f>+J134*G134</f>
        <v>16830</v>
      </c>
      <c r="L134" s="367">
        <f>+H134+J134</f>
        <v>58905</v>
      </c>
      <c r="M134" s="338">
        <f>+L134*G134</f>
        <v>58905</v>
      </c>
    </row>
    <row r="135" spans="1:13" ht="30" customHeight="1" x14ac:dyDescent="0.25">
      <c r="A135" s="76"/>
      <c r="B135" s="360"/>
      <c r="C135" s="350" t="s">
        <v>512</v>
      </c>
      <c r="D135" s="351"/>
      <c r="E135" s="333"/>
      <c r="F135" s="336"/>
      <c r="G135" s="348"/>
      <c r="H135" s="345"/>
      <c r="I135" s="339"/>
      <c r="J135" s="345"/>
      <c r="K135" s="339"/>
      <c r="L135" s="368"/>
      <c r="M135" s="339"/>
    </row>
    <row r="136" spans="1:13" ht="30" customHeight="1" x14ac:dyDescent="0.25">
      <c r="A136" s="76"/>
      <c r="B136" s="361"/>
      <c r="C136" s="352" t="s">
        <v>492</v>
      </c>
      <c r="D136" s="353"/>
      <c r="E136" s="334"/>
      <c r="F136" s="337"/>
      <c r="G136" s="349"/>
      <c r="H136" s="346"/>
      <c r="I136" s="340"/>
      <c r="J136" s="346"/>
      <c r="K136" s="340"/>
      <c r="L136" s="371"/>
      <c r="M136" s="340"/>
    </row>
    <row r="137" spans="1:13" ht="30" customHeight="1" x14ac:dyDescent="0.25">
      <c r="A137" s="76"/>
      <c r="B137" s="359"/>
      <c r="C137" s="354" t="s">
        <v>515</v>
      </c>
      <c r="D137" s="355"/>
      <c r="E137" s="332"/>
      <c r="F137" s="335" t="s">
        <v>392</v>
      </c>
      <c r="G137" s="347">
        <v>1</v>
      </c>
      <c r="H137" s="344">
        <v>42075</v>
      </c>
      <c r="I137" s="338">
        <f t="shared" ref="I137" si="35">+H137*G137</f>
        <v>42075</v>
      </c>
      <c r="J137" s="344">
        <v>16830</v>
      </c>
      <c r="K137" s="338">
        <f>+J137*G137</f>
        <v>16830</v>
      </c>
      <c r="L137" s="367">
        <f>+H137+J137</f>
        <v>58905</v>
      </c>
      <c r="M137" s="338">
        <f>+L137*G137</f>
        <v>58905</v>
      </c>
    </row>
    <row r="138" spans="1:13" ht="30" customHeight="1" x14ac:dyDescent="0.25">
      <c r="A138" s="76"/>
      <c r="B138" s="360"/>
      <c r="C138" s="350" t="s">
        <v>512</v>
      </c>
      <c r="D138" s="351"/>
      <c r="E138" s="333"/>
      <c r="F138" s="336"/>
      <c r="G138" s="348"/>
      <c r="H138" s="345"/>
      <c r="I138" s="339"/>
      <c r="J138" s="345"/>
      <c r="K138" s="339"/>
      <c r="L138" s="368"/>
      <c r="M138" s="339"/>
    </row>
    <row r="139" spans="1:13" ht="30" customHeight="1" x14ac:dyDescent="0.25">
      <c r="A139" s="76"/>
      <c r="B139" s="361"/>
      <c r="C139" s="352" t="s">
        <v>492</v>
      </c>
      <c r="D139" s="353"/>
      <c r="E139" s="334"/>
      <c r="F139" s="337"/>
      <c r="G139" s="349"/>
      <c r="H139" s="346"/>
      <c r="I139" s="340"/>
      <c r="J139" s="346"/>
      <c r="K139" s="340"/>
      <c r="L139" s="371"/>
      <c r="M139" s="340"/>
    </row>
    <row r="140" spans="1:13" ht="30" customHeight="1" x14ac:dyDescent="0.25">
      <c r="A140" s="76"/>
      <c r="B140" s="359"/>
      <c r="C140" s="354" t="s">
        <v>516</v>
      </c>
      <c r="D140" s="355"/>
      <c r="E140" s="332"/>
      <c r="F140" s="335" t="s">
        <v>392</v>
      </c>
      <c r="G140" s="347">
        <v>1</v>
      </c>
      <c r="H140" s="344">
        <v>47173.5</v>
      </c>
      <c r="I140" s="338">
        <f t="shared" ref="I140" si="36">+H140*G140</f>
        <v>47173.5</v>
      </c>
      <c r="J140" s="344">
        <v>18876</v>
      </c>
      <c r="K140" s="338">
        <f>+J140*G140</f>
        <v>18876</v>
      </c>
      <c r="L140" s="367">
        <f>+H140+J140</f>
        <v>66049.5</v>
      </c>
      <c r="M140" s="338">
        <f>+L140*G140</f>
        <v>66049.5</v>
      </c>
    </row>
    <row r="141" spans="1:13" ht="30" customHeight="1" x14ac:dyDescent="0.25">
      <c r="A141" s="76"/>
      <c r="B141" s="360"/>
      <c r="C141" s="350" t="s">
        <v>491</v>
      </c>
      <c r="D141" s="351"/>
      <c r="E141" s="333"/>
      <c r="F141" s="336"/>
      <c r="G141" s="348"/>
      <c r="H141" s="345"/>
      <c r="I141" s="339"/>
      <c r="J141" s="345"/>
      <c r="K141" s="339"/>
      <c r="L141" s="368"/>
      <c r="M141" s="339"/>
    </row>
    <row r="142" spans="1:13" ht="30" customHeight="1" x14ac:dyDescent="0.25">
      <c r="A142" s="76"/>
      <c r="B142" s="361"/>
      <c r="C142" s="352" t="s">
        <v>492</v>
      </c>
      <c r="D142" s="353"/>
      <c r="E142" s="334"/>
      <c r="F142" s="337"/>
      <c r="G142" s="349"/>
      <c r="H142" s="346"/>
      <c r="I142" s="340"/>
      <c r="J142" s="346"/>
      <c r="K142" s="340"/>
      <c r="L142" s="371"/>
      <c r="M142" s="340"/>
    </row>
    <row r="143" spans="1:13" ht="30" customHeight="1" x14ac:dyDescent="0.25">
      <c r="A143" s="76"/>
      <c r="B143" s="359"/>
      <c r="C143" s="354" t="s">
        <v>517</v>
      </c>
      <c r="D143" s="355"/>
      <c r="E143" s="332"/>
      <c r="F143" s="335" t="s">
        <v>392</v>
      </c>
      <c r="G143" s="347">
        <v>1</v>
      </c>
      <c r="H143" s="344">
        <v>42075</v>
      </c>
      <c r="I143" s="338">
        <f t="shared" ref="I143" si="37">+H143*G143</f>
        <v>42075</v>
      </c>
      <c r="J143" s="344">
        <v>16830</v>
      </c>
      <c r="K143" s="338">
        <f>+J143*G143</f>
        <v>16830</v>
      </c>
      <c r="L143" s="367">
        <f>+H143+J143</f>
        <v>58905</v>
      </c>
      <c r="M143" s="338">
        <f>+L143*G143</f>
        <v>58905</v>
      </c>
    </row>
    <row r="144" spans="1:13" ht="30" customHeight="1" x14ac:dyDescent="0.25">
      <c r="A144" s="76"/>
      <c r="B144" s="360"/>
      <c r="C144" s="350" t="s">
        <v>518</v>
      </c>
      <c r="D144" s="351"/>
      <c r="E144" s="333"/>
      <c r="F144" s="336"/>
      <c r="G144" s="348"/>
      <c r="H144" s="345"/>
      <c r="I144" s="339"/>
      <c r="J144" s="345"/>
      <c r="K144" s="339"/>
      <c r="L144" s="368"/>
      <c r="M144" s="339"/>
    </row>
    <row r="145" spans="1:13" ht="30" customHeight="1" x14ac:dyDescent="0.25">
      <c r="A145" s="76"/>
      <c r="B145" s="361"/>
      <c r="C145" s="352" t="s">
        <v>492</v>
      </c>
      <c r="D145" s="353"/>
      <c r="E145" s="334"/>
      <c r="F145" s="337"/>
      <c r="G145" s="349"/>
      <c r="H145" s="346"/>
      <c r="I145" s="340"/>
      <c r="J145" s="346"/>
      <c r="K145" s="340"/>
      <c r="L145" s="371"/>
      <c r="M145" s="340"/>
    </row>
    <row r="146" spans="1:13" ht="30" customHeight="1" x14ac:dyDescent="0.25">
      <c r="A146" s="76"/>
      <c r="B146" s="359"/>
      <c r="C146" s="354" t="s">
        <v>517</v>
      </c>
      <c r="D146" s="355"/>
      <c r="E146" s="332"/>
      <c r="F146" s="335" t="s">
        <v>392</v>
      </c>
      <c r="G146" s="347">
        <v>1</v>
      </c>
      <c r="H146" s="344">
        <v>42075</v>
      </c>
      <c r="I146" s="338">
        <f t="shared" ref="I146" si="38">+H146*G146</f>
        <v>42075</v>
      </c>
      <c r="J146" s="344">
        <v>16830</v>
      </c>
      <c r="K146" s="338">
        <f>+J146*G146</f>
        <v>16830</v>
      </c>
      <c r="L146" s="367">
        <f>+H146+J146</f>
        <v>58905</v>
      </c>
      <c r="M146" s="338">
        <f>+L146*G146</f>
        <v>58905</v>
      </c>
    </row>
    <row r="147" spans="1:13" ht="30" customHeight="1" x14ac:dyDescent="0.25">
      <c r="A147" s="76"/>
      <c r="B147" s="360"/>
      <c r="C147" s="350" t="s">
        <v>518</v>
      </c>
      <c r="D147" s="351"/>
      <c r="E147" s="333"/>
      <c r="F147" s="336"/>
      <c r="G147" s="348"/>
      <c r="H147" s="345"/>
      <c r="I147" s="339"/>
      <c r="J147" s="345"/>
      <c r="K147" s="339"/>
      <c r="L147" s="368"/>
      <c r="M147" s="339"/>
    </row>
    <row r="148" spans="1:13" ht="30" customHeight="1" x14ac:dyDescent="0.25">
      <c r="A148" s="76"/>
      <c r="B148" s="361"/>
      <c r="C148" s="352" t="s">
        <v>492</v>
      </c>
      <c r="D148" s="353"/>
      <c r="E148" s="334"/>
      <c r="F148" s="337"/>
      <c r="G148" s="349"/>
      <c r="H148" s="346"/>
      <c r="I148" s="340"/>
      <c r="J148" s="346"/>
      <c r="K148" s="340"/>
      <c r="L148" s="371"/>
      <c r="M148" s="340"/>
    </row>
    <row r="149" spans="1:13" ht="30" customHeight="1" x14ac:dyDescent="0.25">
      <c r="A149" s="76"/>
      <c r="B149" s="359"/>
      <c r="C149" s="354" t="s">
        <v>519</v>
      </c>
      <c r="D149" s="355"/>
      <c r="E149" s="332"/>
      <c r="F149" s="335" t="s">
        <v>392</v>
      </c>
      <c r="G149" s="347">
        <v>1</v>
      </c>
      <c r="H149" s="344">
        <v>47140.5</v>
      </c>
      <c r="I149" s="338">
        <f t="shared" ref="I149" si="39">+H149*G149</f>
        <v>47140.5</v>
      </c>
      <c r="J149" s="344">
        <v>18876</v>
      </c>
      <c r="K149" s="338">
        <f>+J149*G149</f>
        <v>18876</v>
      </c>
      <c r="L149" s="367">
        <f>+H149+J149</f>
        <v>66016.5</v>
      </c>
      <c r="M149" s="338">
        <f>+L149*G149</f>
        <v>66016.5</v>
      </c>
    </row>
    <row r="150" spans="1:13" ht="30" customHeight="1" x14ac:dyDescent="0.25">
      <c r="A150" s="76"/>
      <c r="B150" s="360"/>
      <c r="C150" s="350" t="s">
        <v>2352</v>
      </c>
      <c r="D150" s="351"/>
      <c r="E150" s="333"/>
      <c r="F150" s="336"/>
      <c r="G150" s="348"/>
      <c r="H150" s="345"/>
      <c r="I150" s="339"/>
      <c r="J150" s="345"/>
      <c r="K150" s="339"/>
      <c r="L150" s="368"/>
      <c r="M150" s="339"/>
    </row>
    <row r="151" spans="1:13" ht="30" customHeight="1" x14ac:dyDescent="0.25">
      <c r="A151" s="76"/>
      <c r="B151" s="361"/>
      <c r="C151" s="352" t="s">
        <v>492</v>
      </c>
      <c r="D151" s="353"/>
      <c r="E151" s="334"/>
      <c r="F151" s="337"/>
      <c r="G151" s="349"/>
      <c r="H151" s="346"/>
      <c r="I151" s="340"/>
      <c r="J151" s="346"/>
      <c r="K151" s="340"/>
      <c r="L151" s="371"/>
      <c r="M151" s="340"/>
    </row>
    <row r="152" spans="1:13" ht="30" customHeight="1" x14ac:dyDescent="0.25">
      <c r="A152" s="76"/>
      <c r="B152" s="359"/>
      <c r="C152" s="354" t="s">
        <v>520</v>
      </c>
      <c r="D152" s="355"/>
      <c r="E152" s="332"/>
      <c r="F152" s="335" t="s">
        <v>392</v>
      </c>
      <c r="G152" s="347">
        <v>1</v>
      </c>
      <c r="H152" s="344">
        <v>35904</v>
      </c>
      <c r="I152" s="338">
        <f t="shared" ref="I152" si="40">+H152*G152</f>
        <v>35904</v>
      </c>
      <c r="J152" s="344">
        <v>14355</v>
      </c>
      <c r="K152" s="338">
        <f>+J152*G152</f>
        <v>14355</v>
      </c>
      <c r="L152" s="367">
        <f>+H152+J152</f>
        <v>50259</v>
      </c>
      <c r="M152" s="338">
        <f>+L152*G152</f>
        <v>50259</v>
      </c>
    </row>
    <row r="153" spans="1:13" ht="30" customHeight="1" x14ac:dyDescent="0.25">
      <c r="A153" s="76"/>
      <c r="B153" s="360"/>
      <c r="C153" s="350" t="s">
        <v>521</v>
      </c>
      <c r="D153" s="351"/>
      <c r="E153" s="333"/>
      <c r="F153" s="336"/>
      <c r="G153" s="348"/>
      <c r="H153" s="345"/>
      <c r="I153" s="339"/>
      <c r="J153" s="345"/>
      <c r="K153" s="339"/>
      <c r="L153" s="368"/>
      <c r="M153" s="339"/>
    </row>
    <row r="154" spans="1:13" ht="30" customHeight="1" x14ac:dyDescent="0.25">
      <c r="A154" s="76"/>
      <c r="B154" s="361"/>
      <c r="C154" s="352" t="s">
        <v>492</v>
      </c>
      <c r="D154" s="353"/>
      <c r="E154" s="334"/>
      <c r="F154" s="337"/>
      <c r="G154" s="349"/>
      <c r="H154" s="346"/>
      <c r="I154" s="340"/>
      <c r="J154" s="346"/>
      <c r="K154" s="340"/>
      <c r="L154" s="371"/>
      <c r="M154" s="340"/>
    </row>
    <row r="155" spans="1:13" ht="30" customHeight="1" x14ac:dyDescent="0.25">
      <c r="A155" s="76"/>
      <c r="B155" s="359"/>
      <c r="C155" s="354" t="s">
        <v>522</v>
      </c>
      <c r="D155" s="355"/>
      <c r="E155" s="332"/>
      <c r="F155" s="335" t="s">
        <v>392</v>
      </c>
      <c r="G155" s="347">
        <v>1</v>
      </c>
      <c r="H155" s="344">
        <v>35904</v>
      </c>
      <c r="I155" s="338">
        <f t="shared" ref="I155" si="41">+H155*G155</f>
        <v>35904</v>
      </c>
      <c r="J155" s="344">
        <v>14355</v>
      </c>
      <c r="K155" s="338">
        <f>+J155*G155</f>
        <v>14355</v>
      </c>
      <c r="L155" s="367">
        <f>+H155+J155</f>
        <v>50259</v>
      </c>
      <c r="M155" s="338">
        <f>+L155*G155</f>
        <v>50259</v>
      </c>
    </row>
    <row r="156" spans="1:13" ht="30" customHeight="1" x14ac:dyDescent="0.25">
      <c r="A156" s="76"/>
      <c r="B156" s="360"/>
      <c r="C156" s="350" t="s">
        <v>521</v>
      </c>
      <c r="D156" s="351"/>
      <c r="E156" s="333"/>
      <c r="F156" s="336"/>
      <c r="G156" s="348"/>
      <c r="H156" s="345"/>
      <c r="I156" s="339"/>
      <c r="J156" s="345"/>
      <c r="K156" s="339"/>
      <c r="L156" s="368"/>
      <c r="M156" s="339"/>
    </row>
    <row r="157" spans="1:13" ht="30" customHeight="1" x14ac:dyDescent="0.25">
      <c r="A157" s="76"/>
      <c r="B157" s="361"/>
      <c r="C157" s="352" t="s">
        <v>492</v>
      </c>
      <c r="D157" s="353"/>
      <c r="E157" s="334"/>
      <c r="F157" s="337"/>
      <c r="G157" s="349"/>
      <c r="H157" s="346"/>
      <c r="I157" s="340"/>
      <c r="J157" s="346"/>
      <c r="K157" s="340"/>
      <c r="L157" s="371"/>
      <c r="M157" s="340"/>
    </row>
    <row r="158" spans="1:13" ht="30" customHeight="1" x14ac:dyDescent="0.25">
      <c r="A158" s="76"/>
      <c r="B158" s="359"/>
      <c r="C158" s="387" t="s">
        <v>523</v>
      </c>
      <c r="D158" s="104" t="s">
        <v>524</v>
      </c>
      <c r="E158" s="332"/>
      <c r="F158" s="41" t="s">
        <v>77</v>
      </c>
      <c r="G158" s="42">
        <v>40</v>
      </c>
      <c r="H158" s="1">
        <v>360</v>
      </c>
      <c r="I158" s="43">
        <f>+H158*G158</f>
        <v>14400</v>
      </c>
      <c r="J158" s="1">
        <v>360</v>
      </c>
      <c r="K158" s="43">
        <f>+J158*G158</f>
        <v>14400</v>
      </c>
      <c r="L158" s="44">
        <f>+J158+H158</f>
        <v>720</v>
      </c>
      <c r="M158" s="43">
        <f>+L158*G158</f>
        <v>28800</v>
      </c>
    </row>
    <row r="159" spans="1:13" ht="30" customHeight="1" x14ac:dyDescent="0.25">
      <c r="A159" s="76"/>
      <c r="B159" s="360"/>
      <c r="C159" s="388"/>
      <c r="D159" s="105" t="s">
        <v>525</v>
      </c>
      <c r="E159" s="333"/>
      <c r="F159" s="41" t="s">
        <v>77</v>
      </c>
      <c r="G159" s="42">
        <v>150</v>
      </c>
      <c r="H159" s="1">
        <v>420</v>
      </c>
      <c r="I159" s="43">
        <f t="shared" ref="I159:I165" si="42">+H159*G159</f>
        <v>63000</v>
      </c>
      <c r="J159" s="1">
        <v>420</v>
      </c>
      <c r="K159" s="43">
        <f t="shared" ref="K159:K165" si="43">+J159*G159</f>
        <v>63000</v>
      </c>
      <c r="L159" s="44">
        <f t="shared" ref="L159:L165" si="44">+J159+H159</f>
        <v>840</v>
      </c>
      <c r="M159" s="43">
        <f t="shared" ref="M159:M165" si="45">+L159*G159</f>
        <v>126000</v>
      </c>
    </row>
    <row r="160" spans="1:13" ht="30" customHeight="1" x14ac:dyDescent="0.25">
      <c r="A160" s="76"/>
      <c r="B160" s="360"/>
      <c r="C160" s="388"/>
      <c r="D160" s="105" t="s">
        <v>526</v>
      </c>
      <c r="E160" s="333"/>
      <c r="F160" s="41" t="s">
        <v>77</v>
      </c>
      <c r="G160" s="42">
        <v>60</v>
      </c>
      <c r="H160" s="1">
        <v>550</v>
      </c>
      <c r="I160" s="43">
        <f t="shared" si="42"/>
        <v>33000</v>
      </c>
      <c r="J160" s="1">
        <v>550</v>
      </c>
      <c r="K160" s="43">
        <f t="shared" si="43"/>
        <v>33000</v>
      </c>
      <c r="L160" s="44">
        <f t="shared" si="44"/>
        <v>1100</v>
      </c>
      <c r="M160" s="43">
        <f t="shared" si="45"/>
        <v>66000</v>
      </c>
    </row>
    <row r="161" spans="1:13" ht="30" customHeight="1" x14ac:dyDescent="0.25">
      <c r="A161" s="76"/>
      <c r="B161" s="360"/>
      <c r="C161" s="388"/>
      <c r="D161" s="105" t="s">
        <v>527</v>
      </c>
      <c r="E161" s="333"/>
      <c r="F161" s="41" t="s">
        <v>77</v>
      </c>
      <c r="G161" s="42">
        <v>100</v>
      </c>
      <c r="H161" s="1">
        <v>625</v>
      </c>
      <c r="I161" s="43">
        <f t="shared" si="42"/>
        <v>62500</v>
      </c>
      <c r="J161" s="1">
        <v>625</v>
      </c>
      <c r="K161" s="43">
        <f t="shared" si="43"/>
        <v>62500</v>
      </c>
      <c r="L161" s="44">
        <f t="shared" si="44"/>
        <v>1250</v>
      </c>
      <c r="M161" s="43">
        <f t="shared" si="45"/>
        <v>125000</v>
      </c>
    </row>
    <row r="162" spans="1:13" ht="30" customHeight="1" x14ac:dyDescent="0.25">
      <c r="A162" s="76"/>
      <c r="B162" s="360"/>
      <c r="C162" s="388"/>
      <c r="D162" s="105" t="s">
        <v>528</v>
      </c>
      <c r="E162" s="333"/>
      <c r="F162" s="41" t="s">
        <v>77</v>
      </c>
      <c r="G162" s="42">
        <v>75</v>
      </c>
      <c r="H162" s="1">
        <v>715</v>
      </c>
      <c r="I162" s="43">
        <f t="shared" si="42"/>
        <v>53625</v>
      </c>
      <c r="J162" s="1">
        <v>715</v>
      </c>
      <c r="K162" s="43">
        <f t="shared" si="43"/>
        <v>53625</v>
      </c>
      <c r="L162" s="44">
        <f t="shared" si="44"/>
        <v>1430</v>
      </c>
      <c r="M162" s="43">
        <f t="shared" si="45"/>
        <v>107250</v>
      </c>
    </row>
    <row r="163" spans="1:13" ht="30" customHeight="1" x14ac:dyDescent="0.25">
      <c r="A163" s="76"/>
      <c r="B163" s="360"/>
      <c r="C163" s="388"/>
      <c r="D163" s="105" t="s">
        <v>529</v>
      </c>
      <c r="E163" s="333"/>
      <c r="F163" s="41" t="s">
        <v>77</v>
      </c>
      <c r="G163" s="42">
        <v>60</v>
      </c>
      <c r="H163" s="1">
        <v>775</v>
      </c>
      <c r="I163" s="43">
        <f t="shared" si="42"/>
        <v>46500</v>
      </c>
      <c r="J163" s="1">
        <v>775</v>
      </c>
      <c r="K163" s="43">
        <f t="shared" si="43"/>
        <v>46500</v>
      </c>
      <c r="L163" s="44">
        <f t="shared" si="44"/>
        <v>1550</v>
      </c>
      <c r="M163" s="43">
        <f t="shared" si="45"/>
        <v>93000</v>
      </c>
    </row>
    <row r="164" spans="1:13" ht="30" customHeight="1" x14ac:dyDescent="0.25">
      <c r="A164" s="76"/>
      <c r="B164" s="360"/>
      <c r="C164" s="388"/>
      <c r="D164" s="105" t="s">
        <v>530</v>
      </c>
      <c r="E164" s="333"/>
      <c r="F164" s="41" t="s">
        <v>77</v>
      </c>
      <c r="G164" s="42">
        <v>65</v>
      </c>
      <c r="H164" s="1">
        <v>865</v>
      </c>
      <c r="I164" s="43">
        <f t="shared" si="42"/>
        <v>56225</v>
      </c>
      <c r="J164" s="1">
        <v>865</v>
      </c>
      <c r="K164" s="43">
        <f t="shared" si="43"/>
        <v>56225</v>
      </c>
      <c r="L164" s="44">
        <f t="shared" si="44"/>
        <v>1730</v>
      </c>
      <c r="M164" s="43">
        <f t="shared" si="45"/>
        <v>112450</v>
      </c>
    </row>
    <row r="165" spans="1:13" ht="30" customHeight="1" x14ac:dyDescent="0.25">
      <c r="A165" s="76"/>
      <c r="B165" s="361"/>
      <c r="C165" s="389"/>
      <c r="D165" s="106" t="s">
        <v>531</v>
      </c>
      <c r="E165" s="334"/>
      <c r="F165" s="41" t="s">
        <v>77</v>
      </c>
      <c r="G165" s="42">
        <v>40</v>
      </c>
      <c r="H165" s="1">
        <v>975</v>
      </c>
      <c r="I165" s="43">
        <f t="shared" si="42"/>
        <v>39000</v>
      </c>
      <c r="J165" s="1">
        <v>975</v>
      </c>
      <c r="K165" s="43">
        <f t="shared" si="43"/>
        <v>39000</v>
      </c>
      <c r="L165" s="44">
        <f t="shared" si="44"/>
        <v>1950</v>
      </c>
      <c r="M165" s="43">
        <f t="shared" si="45"/>
        <v>78000</v>
      </c>
    </row>
    <row r="166" spans="1:13" ht="30" customHeight="1" x14ac:dyDescent="0.25">
      <c r="A166" s="76"/>
      <c r="B166" s="359"/>
      <c r="C166" s="382" t="s">
        <v>533</v>
      </c>
      <c r="D166" s="104" t="s">
        <v>534</v>
      </c>
      <c r="E166" s="332"/>
      <c r="F166" s="41" t="s">
        <v>77</v>
      </c>
      <c r="G166" s="42">
        <v>100</v>
      </c>
      <c r="H166" s="1">
        <v>102</v>
      </c>
      <c r="I166" s="43">
        <f>+H166*G166</f>
        <v>10200</v>
      </c>
      <c r="J166" s="1">
        <v>462</v>
      </c>
      <c r="K166" s="43">
        <f>+J166*G166</f>
        <v>46200</v>
      </c>
      <c r="L166" s="44">
        <f>+J166+H166</f>
        <v>564</v>
      </c>
      <c r="M166" s="43">
        <f>+L166*G166</f>
        <v>56400</v>
      </c>
    </row>
    <row r="167" spans="1:13" ht="30" customHeight="1" x14ac:dyDescent="0.25">
      <c r="A167" s="76"/>
      <c r="B167" s="360"/>
      <c r="C167" s="383"/>
      <c r="D167" s="105" t="s">
        <v>535</v>
      </c>
      <c r="E167" s="333"/>
      <c r="F167" s="41" t="s">
        <v>77</v>
      </c>
      <c r="G167" s="42">
        <v>60</v>
      </c>
      <c r="H167" s="1">
        <v>142</v>
      </c>
      <c r="I167" s="43">
        <f t="shared" ref="I167:I169" si="46">+H167*G167</f>
        <v>8520</v>
      </c>
      <c r="J167" s="1">
        <v>552</v>
      </c>
      <c r="K167" s="43">
        <f t="shared" ref="K167:K169" si="47">+J167*G167</f>
        <v>33120</v>
      </c>
      <c r="L167" s="44">
        <f t="shared" ref="L167:L169" si="48">+J167+H167</f>
        <v>694</v>
      </c>
      <c r="M167" s="43">
        <f t="shared" ref="M167:M169" si="49">+L167*G167</f>
        <v>41640</v>
      </c>
    </row>
    <row r="168" spans="1:13" ht="30" customHeight="1" x14ac:dyDescent="0.25">
      <c r="A168" s="76"/>
      <c r="B168" s="360"/>
      <c r="C168" s="383"/>
      <c r="D168" s="105" t="s">
        <v>536</v>
      </c>
      <c r="E168" s="333"/>
      <c r="F168" s="41" t="s">
        <v>77</v>
      </c>
      <c r="G168" s="42">
        <v>40</v>
      </c>
      <c r="H168" s="1">
        <v>210</v>
      </c>
      <c r="I168" s="43">
        <f t="shared" si="46"/>
        <v>8400</v>
      </c>
      <c r="J168" s="1">
        <v>672</v>
      </c>
      <c r="K168" s="43">
        <f t="shared" si="47"/>
        <v>26880</v>
      </c>
      <c r="L168" s="44">
        <f t="shared" si="48"/>
        <v>882</v>
      </c>
      <c r="M168" s="43">
        <f t="shared" si="49"/>
        <v>35280</v>
      </c>
    </row>
    <row r="169" spans="1:13" ht="30" customHeight="1" x14ac:dyDescent="0.25">
      <c r="A169" s="76"/>
      <c r="B169" s="361"/>
      <c r="C169" s="384"/>
      <c r="D169" s="105" t="s">
        <v>537</v>
      </c>
      <c r="E169" s="334"/>
      <c r="F169" s="41" t="s">
        <v>77</v>
      </c>
      <c r="G169" s="42">
        <v>15</v>
      </c>
      <c r="H169" s="1">
        <v>326</v>
      </c>
      <c r="I169" s="43">
        <f t="shared" si="46"/>
        <v>4890</v>
      </c>
      <c r="J169" s="1">
        <v>732</v>
      </c>
      <c r="K169" s="43">
        <f t="shared" si="47"/>
        <v>10980</v>
      </c>
      <c r="L169" s="44">
        <f t="shared" si="48"/>
        <v>1058</v>
      </c>
      <c r="M169" s="43">
        <f t="shared" si="49"/>
        <v>15870</v>
      </c>
    </row>
    <row r="170" spans="1:13" ht="30" customHeight="1" x14ac:dyDescent="0.25">
      <c r="A170" s="76"/>
      <c r="B170" s="37"/>
      <c r="C170" s="276" t="s">
        <v>538</v>
      </c>
      <c r="D170" s="278"/>
      <c r="E170" s="96"/>
      <c r="F170" s="41" t="s">
        <v>18</v>
      </c>
      <c r="G170" s="42">
        <v>4</v>
      </c>
      <c r="H170" s="1">
        <v>85000</v>
      </c>
      <c r="I170" s="43">
        <f t="shared" si="1"/>
        <v>340000</v>
      </c>
      <c r="J170" s="1">
        <v>12000</v>
      </c>
      <c r="K170" s="43">
        <f t="shared" si="2"/>
        <v>48000</v>
      </c>
      <c r="L170" s="44">
        <f t="shared" si="3"/>
        <v>97000</v>
      </c>
      <c r="M170" s="43">
        <f t="shared" si="4"/>
        <v>388000</v>
      </c>
    </row>
    <row r="171" spans="1:13" ht="30" customHeight="1" x14ac:dyDescent="0.25">
      <c r="A171" s="76"/>
      <c r="B171" s="37"/>
      <c r="C171" s="38" t="s">
        <v>2370</v>
      </c>
      <c r="D171" s="40"/>
      <c r="E171" s="96"/>
      <c r="F171" s="41" t="s">
        <v>392</v>
      </c>
      <c r="G171" s="42">
        <v>25</v>
      </c>
      <c r="H171" s="1">
        <v>4845</v>
      </c>
      <c r="I171" s="43">
        <f t="shared" si="1"/>
        <v>121125</v>
      </c>
      <c r="J171" s="1">
        <v>1250</v>
      </c>
      <c r="K171" s="43">
        <f t="shared" si="2"/>
        <v>31250</v>
      </c>
      <c r="L171" s="44">
        <f t="shared" ref="L171" si="50">+J171+H171</f>
        <v>6095</v>
      </c>
      <c r="M171" s="43">
        <f t="shared" ref="M171" si="51">+L171*G171</f>
        <v>152375</v>
      </c>
    </row>
    <row r="172" spans="1:13" ht="60" customHeight="1" x14ac:dyDescent="0.25">
      <c r="A172" s="76"/>
      <c r="B172" s="37"/>
      <c r="C172" s="276" t="s">
        <v>539</v>
      </c>
      <c r="D172" s="278"/>
      <c r="E172" s="96"/>
      <c r="F172" s="41" t="s">
        <v>18</v>
      </c>
      <c r="G172" s="42">
        <v>4</v>
      </c>
      <c r="H172" s="1">
        <v>65000</v>
      </c>
      <c r="I172" s="43">
        <f t="shared" si="1"/>
        <v>260000</v>
      </c>
      <c r="J172" s="1">
        <v>12500</v>
      </c>
      <c r="K172" s="43">
        <f t="shared" si="2"/>
        <v>50000</v>
      </c>
      <c r="L172" s="44">
        <f t="shared" si="3"/>
        <v>77500</v>
      </c>
      <c r="M172" s="43">
        <f t="shared" si="4"/>
        <v>310000</v>
      </c>
    </row>
    <row r="173" spans="1:13" ht="30" customHeight="1" x14ac:dyDescent="0.25">
      <c r="A173" s="76"/>
      <c r="B173" s="37"/>
      <c r="C173" s="276" t="s">
        <v>540</v>
      </c>
      <c r="D173" s="278"/>
      <c r="E173" s="96"/>
      <c r="F173" s="41" t="s">
        <v>18</v>
      </c>
      <c r="G173" s="42">
        <v>1</v>
      </c>
      <c r="H173" s="1">
        <v>14400</v>
      </c>
      <c r="I173" s="43">
        <f t="shared" si="1"/>
        <v>14400</v>
      </c>
      <c r="J173" s="1">
        <v>3750</v>
      </c>
      <c r="K173" s="43">
        <f t="shared" si="2"/>
        <v>3750</v>
      </c>
      <c r="L173" s="44">
        <f t="shared" si="3"/>
        <v>18150</v>
      </c>
      <c r="M173" s="43">
        <f t="shared" si="4"/>
        <v>18150</v>
      </c>
    </row>
    <row r="174" spans="1:13" ht="30" customHeight="1" x14ac:dyDescent="0.25">
      <c r="A174" s="76"/>
      <c r="B174" s="37"/>
      <c r="C174" s="276" t="s">
        <v>541</v>
      </c>
      <c r="D174" s="278"/>
      <c r="E174" s="96"/>
      <c r="F174" s="41" t="s">
        <v>18</v>
      </c>
      <c r="G174" s="42">
        <v>4</v>
      </c>
      <c r="H174" s="1">
        <v>5500</v>
      </c>
      <c r="I174" s="43">
        <f t="shared" si="1"/>
        <v>22000</v>
      </c>
      <c r="J174" s="1">
        <v>1250</v>
      </c>
      <c r="K174" s="43">
        <f t="shared" si="2"/>
        <v>5000</v>
      </c>
      <c r="L174" s="44">
        <f t="shared" si="3"/>
        <v>6750</v>
      </c>
      <c r="M174" s="43">
        <f t="shared" si="4"/>
        <v>27000</v>
      </c>
    </row>
    <row r="175" spans="1:13" ht="30" customHeight="1" x14ac:dyDescent="0.25">
      <c r="A175" s="76"/>
      <c r="B175" s="37"/>
      <c r="C175" s="276" t="s">
        <v>542</v>
      </c>
      <c r="D175" s="278"/>
      <c r="E175" s="96"/>
      <c r="F175" s="41" t="s">
        <v>18</v>
      </c>
      <c r="G175" s="42">
        <v>4</v>
      </c>
      <c r="H175" s="1">
        <v>12250</v>
      </c>
      <c r="I175" s="43">
        <f t="shared" si="1"/>
        <v>49000</v>
      </c>
      <c r="J175" s="1">
        <v>2500</v>
      </c>
      <c r="K175" s="43">
        <f t="shared" si="2"/>
        <v>10000</v>
      </c>
      <c r="L175" s="44">
        <f t="shared" si="3"/>
        <v>14750</v>
      </c>
      <c r="M175" s="43">
        <f t="shared" si="4"/>
        <v>59000</v>
      </c>
    </row>
    <row r="176" spans="1:13" ht="46.5" customHeight="1" x14ac:dyDescent="0.25">
      <c r="A176" s="76"/>
      <c r="B176" s="37" t="s">
        <v>543</v>
      </c>
      <c r="C176" s="270" t="s">
        <v>545</v>
      </c>
      <c r="D176" s="271"/>
      <c r="E176" s="77" t="s">
        <v>544</v>
      </c>
      <c r="F176" s="97"/>
      <c r="G176" s="84"/>
      <c r="H176" s="78"/>
      <c r="I176" s="79">
        <f>SUM(I177:I183)</f>
        <v>685900</v>
      </c>
      <c r="J176" s="78"/>
      <c r="K176" s="79">
        <f>SUM(K177:K183)</f>
        <v>373950</v>
      </c>
      <c r="L176" s="78"/>
      <c r="M176" s="79">
        <f>SUM(M177:M183)</f>
        <v>1059850</v>
      </c>
    </row>
    <row r="177" spans="1:13" ht="30" customHeight="1" x14ac:dyDescent="0.25">
      <c r="A177" s="76"/>
      <c r="B177" s="359"/>
      <c r="C177" s="354" t="s">
        <v>546</v>
      </c>
      <c r="D177" s="355"/>
      <c r="E177" s="332"/>
      <c r="F177" s="335" t="s">
        <v>392</v>
      </c>
      <c r="G177" s="347">
        <v>7</v>
      </c>
      <c r="H177" s="344">
        <v>61200</v>
      </c>
      <c r="I177" s="338">
        <f t="shared" ref="I177" si="52">+H177*G177</f>
        <v>428400</v>
      </c>
      <c r="J177" s="344">
        <v>30100</v>
      </c>
      <c r="K177" s="338">
        <f>+J177*G177</f>
        <v>210700</v>
      </c>
      <c r="L177" s="367">
        <f>+H177+J177</f>
        <v>91300</v>
      </c>
      <c r="M177" s="338">
        <f>+L177*G177</f>
        <v>639100</v>
      </c>
    </row>
    <row r="178" spans="1:13" ht="30" customHeight="1" x14ac:dyDescent="0.25">
      <c r="A178" s="76"/>
      <c r="B178" s="360"/>
      <c r="C178" s="350" t="s">
        <v>547</v>
      </c>
      <c r="D178" s="351"/>
      <c r="E178" s="333"/>
      <c r="F178" s="336"/>
      <c r="G178" s="348"/>
      <c r="H178" s="345"/>
      <c r="I178" s="339"/>
      <c r="J178" s="345"/>
      <c r="K178" s="339"/>
      <c r="L178" s="368"/>
      <c r="M178" s="339"/>
    </row>
    <row r="179" spans="1:13" ht="30" customHeight="1" x14ac:dyDescent="0.25">
      <c r="A179" s="76"/>
      <c r="B179" s="360"/>
      <c r="C179" s="350" t="s">
        <v>548</v>
      </c>
      <c r="D179" s="351"/>
      <c r="E179" s="333"/>
      <c r="F179" s="336"/>
      <c r="G179" s="348"/>
      <c r="H179" s="345"/>
      <c r="I179" s="339"/>
      <c r="J179" s="345"/>
      <c r="K179" s="339"/>
      <c r="L179" s="368"/>
      <c r="M179" s="339"/>
    </row>
    <row r="180" spans="1:13" ht="30" customHeight="1" x14ac:dyDescent="0.25">
      <c r="A180" s="76"/>
      <c r="B180" s="361"/>
      <c r="C180" s="352" t="s">
        <v>549</v>
      </c>
      <c r="D180" s="353"/>
      <c r="E180" s="334"/>
      <c r="F180" s="337"/>
      <c r="G180" s="349"/>
      <c r="H180" s="346"/>
      <c r="I180" s="340"/>
      <c r="J180" s="346"/>
      <c r="K180" s="340"/>
      <c r="L180" s="371"/>
      <c r="M180" s="340"/>
    </row>
    <row r="181" spans="1:13" ht="30" customHeight="1" x14ac:dyDescent="0.25">
      <c r="A181" s="76"/>
      <c r="B181" s="37" t="s">
        <v>550</v>
      </c>
      <c r="C181" s="276" t="s">
        <v>553</v>
      </c>
      <c r="D181" s="277"/>
      <c r="E181" s="107" t="s">
        <v>544</v>
      </c>
      <c r="F181" s="41" t="s">
        <v>392</v>
      </c>
      <c r="G181" s="42">
        <v>7</v>
      </c>
      <c r="H181" s="1">
        <v>25000</v>
      </c>
      <c r="I181" s="43">
        <f t="shared" ref="I181" si="53">+H181*G181</f>
        <v>175000</v>
      </c>
      <c r="J181" s="1">
        <v>18500</v>
      </c>
      <c r="K181" s="43">
        <f t="shared" ref="K181" si="54">+J181*G181</f>
        <v>129500</v>
      </c>
      <c r="L181" s="44">
        <f t="shared" ref="L181" si="55">+J181+H181</f>
        <v>43500</v>
      </c>
      <c r="M181" s="43">
        <f t="shared" ref="M181" si="56">+L181*G181</f>
        <v>304500</v>
      </c>
    </row>
    <row r="182" spans="1:13" ht="30" customHeight="1" x14ac:dyDescent="0.25">
      <c r="A182" s="76"/>
      <c r="B182" s="37" t="s">
        <v>551</v>
      </c>
      <c r="C182" s="276" t="s">
        <v>554</v>
      </c>
      <c r="D182" s="277"/>
      <c r="E182" s="107" t="s">
        <v>544</v>
      </c>
      <c r="F182" s="41" t="s">
        <v>392</v>
      </c>
      <c r="G182" s="42">
        <v>2</v>
      </c>
      <c r="H182" s="1">
        <v>32500</v>
      </c>
      <c r="I182" s="43">
        <f t="shared" ref="I182:I183" si="57">+H182*G182</f>
        <v>65000</v>
      </c>
      <c r="J182" s="1">
        <v>12500</v>
      </c>
      <c r="K182" s="43">
        <f t="shared" ref="K182:K183" si="58">+J182*G182</f>
        <v>25000</v>
      </c>
      <c r="L182" s="44">
        <f t="shared" ref="L182:L183" si="59">+J182+H182</f>
        <v>45000</v>
      </c>
      <c r="M182" s="43">
        <f t="shared" ref="M182:M183" si="60">+L182*G182</f>
        <v>90000</v>
      </c>
    </row>
    <row r="183" spans="1:13" ht="30" customHeight="1" x14ac:dyDescent="0.25">
      <c r="A183" s="76"/>
      <c r="B183" s="37" t="s">
        <v>552</v>
      </c>
      <c r="C183" s="276" t="s">
        <v>555</v>
      </c>
      <c r="D183" s="277"/>
      <c r="E183" s="107" t="s">
        <v>544</v>
      </c>
      <c r="F183" s="41" t="s">
        <v>392</v>
      </c>
      <c r="G183" s="42">
        <v>7</v>
      </c>
      <c r="H183" s="1">
        <v>2500</v>
      </c>
      <c r="I183" s="43">
        <f t="shared" si="57"/>
        <v>17500</v>
      </c>
      <c r="J183" s="1">
        <v>1250</v>
      </c>
      <c r="K183" s="43">
        <f t="shared" si="58"/>
        <v>8750</v>
      </c>
      <c r="L183" s="44">
        <f t="shared" si="59"/>
        <v>3750</v>
      </c>
      <c r="M183" s="43">
        <f t="shared" si="60"/>
        <v>26250</v>
      </c>
    </row>
    <row r="184" spans="1:13" ht="30" customHeight="1" x14ac:dyDescent="0.25">
      <c r="A184" s="76"/>
      <c r="B184" s="37" t="s">
        <v>556</v>
      </c>
      <c r="C184" s="270" t="s">
        <v>557</v>
      </c>
      <c r="D184" s="271"/>
      <c r="E184" s="77" t="s">
        <v>2371</v>
      </c>
      <c r="F184" s="97"/>
      <c r="G184" s="84"/>
      <c r="H184" s="78"/>
      <c r="I184" s="79">
        <f>SUM(I185:I202)</f>
        <v>346000</v>
      </c>
      <c r="J184" s="78"/>
      <c r="K184" s="79">
        <f>SUM(K185:K202)</f>
        <v>27500</v>
      </c>
      <c r="L184" s="78"/>
      <c r="M184" s="79">
        <f>SUM(M185:M202)</f>
        <v>373500</v>
      </c>
    </row>
    <row r="185" spans="1:13" ht="30" customHeight="1" x14ac:dyDescent="0.25">
      <c r="A185" s="76"/>
      <c r="B185" s="359"/>
      <c r="C185" s="354" t="s">
        <v>558</v>
      </c>
      <c r="D185" s="355"/>
      <c r="E185" s="332"/>
      <c r="F185" s="335" t="s">
        <v>18</v>
      </c>
      <c r="G185" s="347">
        <v>2</v>
      </c>
      <c r="H185" s="344">
        <v>65000</v>
      </c>
      <c r="I185" s="338">
        <f t="shared" ref="I185" si="61">+H185*G185</f>
        <v>130000</v>
      </c>
      <c r="J185" s="344">
        <v>5500</v>
      </c>
      <c r="K185" s="338">
        <f>+J185*G185</f>
        <v>11000</v>
      </c>
      <c r="L185" s="367">
        <f>+H185+J185</f>
        <v>70500</v>
      </c>
      <c r="M185" s="338">
        <f>+L185*G185</f>
        <v>141000</v>
      </c>
    </row>
    <row r="186" spans="1:13" ht="30" customHeight="1" x14ac:dyDescent="0.25">
      <c r="A186" s="76"/>
      <c r="B186" s="360"/>
      <c r="C186" s="350" t="s">
        <v>559</v>
      </c>
      <c r="D186" s="351"/>
      <c r="E186" s="333"/>
      <c r="F186" s="336"/>
      <c r="G186" s="348"/>
      <c r="H186" s="345"/>
      <c r="I186" s="339"/>
      <c r="J186" s="345"/>
      <c r="K186" s="339"/>
      <c r="L186" s="368"/>
      <c r="M186" s="339"/>
    </row>
    <row r="187" spans="1:13" ht="30" customHeight="1" x14ac:dyDescent="0.25">
      <c r="A187" s="76"/>
      <c r="B187" s="360"/>
      <c r="C187" s="350" t="s">
        <v>560</v>
      </c>
      <c r="D187" s="351"/>
      <c r="E187" s="333"/>
      <c r="F187" s="336"/>
      <c r="G187" s="348"/>
      <c r="H187" s="345"/>
      <c r="I187" s="339"/>
      <c r="J187" s="345"/>
      <c r="K187" s="339"/>
      <c r="L187" s="368"/>
      <c r="M187" s="339"/>
    </row>
    <row r="188" spans="1:13" ht="30" customHeight="1" x14ac:dyDescent="0.25">
      <c r="A188" s="76"/>
      <c r="B188" s="360"/>
      <c r="C188" s="350" t="s">
        <v>561</v>
      </c>
      <c r="D188" s="351"/>
      <c r="E188" s="333"/>
      <c r="F188" s="336"/>
      <c r="G188" s="348"/>
      <c r="H188" s="345"/>
      <c r="I188" s="339"/>
      <c r="J188" s="345"/>
      <c r="K188" s="339"/>
      <c r="L188" s="368"/>
      <c r="M188" s="339"/>
    </row>
    <row r="189" spans="1:13" ht="30" customHeight="1" x14ac:dyDescent="0.25">
      <c r="A189" s="76"/>
      <c r="B189" s="360"/>
      <c r="C189" s="350" t="s">
        <v>562</v>
      </c>
      <c r="D189" s="351"/>
      <c r="E189" s="333"/>
      <c r="F189" s="336"/>
      <c r="G189" s="348"/>
      <c r="H189" s="345"/>
      <c r="I189" s="339"/>
      <c r="J189" s="345"/>
      <c r="K189" s="339"/>
      <c r="L189" s="368"/>
      <c r="M189" s="339"/>
    </row>
    <row r="190" spans="1:13" ht="30" customHeight="1" x14ac:dyDescent="0.25">
      <c r="A190" s="76"/>
      <c r="B190" s="361"/>
      <c r="C190" s="352" t="s">
        <v>563</v>
      </c>
      <c r="D190" s="353"/>
      <c r="E190" s="334"/>
      <c r="F190" s="337"/>
      <c r="G190" s="349"/>
      <c r="H190" s="346"/>
      <c r="I190" s="340"/>
      <c r="J190" s="346"/>
      <c r="K190" s="340"/>
      <c r="L190" s="371"/>
      <c r="M190" s="340"/>
    </row>
    <row r="191" spans="1:13" ht="30" customHeight="1" x14ac:dyDescent="0.25">
      <c r="A191" s="76"/>
      <c r="B191" s="359"/>
      <c r="C191" s="354" t="s">
        <v>558</v>
      </c>
      <c r="D191" s="355"/>
      <c r="E191" s="332"/>
      <c r="F191" s="335" t="s">
        <v>18</v>
      </c>
      <c r="G191" s="347">
        <v>2</v>
      </c>
      <c r="H191" s="344">
        <v>72000</v>
      </c>
      <c r="I191" s="338">
        <f t="shared" ref="I191" si="62">+H191*G191</f>
        <v>144000</v>
      </c>
      <c r="J191" s="344">
        <v>5500</v>
      </c>
      <c r="K191" s="338">
        <f>+J191*G191</f>
        <v>11000</v>
      </c>
      <c r="L191" s="367">
        <f>+H191+J191</f>
        <v>77500</v>
      </c>
      <c r="M191" s="338">
        <f>+L191*G191</f>
        <v>155000</v>
      </c>
    </row>
    <row r="192" spans="1:13" ht="30" customHeight="1" x14ac:dyDescent="0.25">
      <c r="A192" s="76"/>
      <c r="B192" s="360"/>
      <c r="C192" s="350" t="s">
        <v>559</v>
      </c>
      <c r="D192" s="351"/>
      <c r="E192" s="333"/>
      <c r="F192" s="336"/>
      <c r="G192" s="348"/>
      <c r="H192" s="345"/>
      <c r="I192" s="339"/>
      <c r="J192" s="345"/>
      <c r="K192" s="339"/>
      <c r="L192" s="368"/>
      <c r="M192" s="339"/>
    </row>
    <row r="193" spans="1:13" ht="30" customHeight="1" x14ac:dyDescent="0.25">
      <c r="A193" s="76"/>
      <c r="B193" s="360"/>
      <c r="C193" s="350" t="s">
        <v>564</v>
      </c>
      <c r="D193" s="351"/>
      <c r="E193" s="333"/>
      <c r="F193" s="336"/>
      <c r="G193" s="348"/>
      <c r="H193" s="345"/>
      <c r="I193" s="339"/>
      <c r="J193" s="345"/>
      <c r="K193" s="339"/>
      <c r="L193" s="368"/>
      <c r="M193" s="339"/>
    </row>
    <row r="194" spans="1:13" ht="30" customHeight="1" x14ac:dyDescent="0.25">
      <c r="A194" s="76"/>
      <c r="B194" s="360"/>
      <c r="C194" s="350" t="s">
        <v>565</v>
      </c>
      <c r="D194" s="351"/>
      <c r="E194" s="333"/>
      <c r="F194" s="336"/>
      <c r="G194" s="348"/>
      <c r="H194" s="345"/>
      <c r="I194" s="339"/>
      <c r="J194" s="345"/>
      <c r="K194" s="339"/>
      <c r="L194" s="368"/>
      <c r="M194" s="339"/>
    </row>
    <row r="195" spans="1:13" ht="30" customHeight="1" x14ac:dyDescent="0.25">
      <c r="A195" s="76"/>
      <c r="B195" s="360"/>
      <c r="C195" s="350" t="s">
        <v>566</v>
      </c>
      <c r="D195" s="351"/>
      <c r="E195" s="333"/>
      <c r="F195" s="336"/>
      <c r="G195" s="348"/>
      <c r="H195" s="345"/>
      <c r="I195" s="339"/>
      <c r="J195" s="345"/>
      <c r="K195" s="339"/>
      <c r="L195" s="368"/>
      <c r="M195" s="339"/>
    </row>
    <row r="196" spans="1:13" ht="30" customHeight="1" x14ac:dyDescent="0.25">
      <c r="A196" s="76"/>
      <c r="B196" s="361"/>
      <c r="C196" s="352" t="s">
        <v>567</v>
      </c>
      <c r="D196" s="353"/>
      <c r="E196" s="334"/>
      <c r="F196" s="337"/>
      <c r="G196" s="349"/>
      <c r="H196" s="346"/>
      <c r="I196" s="340"/>
      <c r="J196" s="346"/>
      <c r="K196" s="340"/>
      <c r="L196" s="371"/>
      <c r="M196" s="340"/>
    </row>
    <row r="197" spans="1:13" ht="30" customHeight="1" x14ac:dyDescent="0.25">
      <c r="A197" s="76"/>
      <c r="B197" s="359"/>
      <c r="C197" s="108" t="s">
        <v>558</v>
      </c>
      <c r="D197" s="109"/>
      <c r="E197" s="99"/>
      <c r="F197" s="335" t="s">
        <v>18</v>
      </c>
      <c r="G197" s="347">
        <v>1</v>
      </c>
      <c r="H197" s="344">
        <v>72000</v>
      </c>
      <c r="I197" s="338">
        <f t="shared" ref="I197" si="63">+H197*G197</f>
        <v>72000</v>
      </c>
      <c r="J197" s="344">
        <v>5500</v>
      </c>
      <c r="K197" s="338">
        <f>+J197*G197</f>
        <v>5500</v>
      </c>
      <c r="L197" s="367">
        <f>+H197+J197</f>
        <v>77500</v>
      </c>
      <c r="M197" s="338">
        <f>+L197*G197</f>
        <v>77500</v>
      </c>
    </row>
    <row r="198" spans="1:13" ht="30" customHeight="1" x14ac:dyDescent="0.25">
      <c r="A198" s="76"/>
      <c r="B198" s="360"/>
      <c r="C198" s="110" t="s">
        <v>559</v>
      </c>
      <c r="D198" s="111"/>
      <c r="E198" s="101"/>
      <c r="F198" s="336"/>
      <c r="G198" s="348"/>
      <c r="H198" s="345"/>
      <c r="I198" s="339"/>
      <c r="J198" s="345"/>
      <c r="K198" s="339"/>
      <c r="L198" s="368"/>
      <c r="M198" s="339"/>
    </row>
    <row r="199" spans="1:13" ht="30" customHeight="1" x14ac:dyDescent="0.25">
      <c r="A199" s="76"/>
      <c r="B199" s="360"/>
      <c r="C199" s="110" t="s">
        <v>2372</v>
      </c>
      <c r="D199" s="111"/>
      <c r="E199" s="101"/>
      <c r="F199" s="336"/>
      <c r="G199" s="348"/>
      <c r="H199" s="345"/>
      <c r="I199" s="339"/>
      <c r="J199" s="345"/>
      <c r="K199" s="339"/>
      <c r="L199" s="368"/>
      <c r="M199" s="339"/>
    </row>
    <row r="200" spans="1:13" ht="30" customHeight="1" x14ac:dyDescent="0.25">
      <c r="A200" s="76"/>
      <c r="B200" s="360"/>
      <c r="C200" s="110" t="s">
        <v>2373</v>
      </c>
      <c r="D200" s="111"/>
      <c r="E200" s="101"/>
      <c r="F200" s="336"/>
      <c r="G200" s="348"/>
      <c r="H200" s="345"/>
      <c r="I200" s="339"/>
      <c r="J200" s="345"/>
      <c r="K200" s="339"/>
      <c r="L200" s="368"/>
      <c r="M200" s="339"/>
    </row>
    <row r="201" spans="1:13" ht="30" customHeight="1" x14ac:dyDescent="0.25">
      <c r="A201" s="76"/>
      <c r="B201" s="360"/>
      <c r="C201" s="110" t="s">
        <v>2374</v>
      </c>
      <c r="D201" s="111"/>
      <c r="E201" s="101"/>
      <c r="F201" s="336"/>
      <c r="G201" s="348"/>
      <c r="H201" s="345"/>
      <c r="I201" s="339"/>
      <c r="J201" s="345"/>
      <c r="K201" s="339"/>
      <c r="L201" s="368"/>
      <c r="M201" s="339"/>
    </row>
    <row r="202" spans="1:13" ht="30" customHeight="1" x14ac:dyDescent="0.25">
      <c r="A202" s="76"/>
      <c r="B202" s="361"/>
      <c r="C202" s="112" t="s">
        <v>567</v>
      </c>
      <c r="D202" s="113"/>
      <c r="E202" s="103"/>
      <c r="F202" s="337"/>
      <c r="G202" s="349"/>
      <c r="H202" s="346"/>
      <c r="I202" s="340"/>
      <c r="J202" s="346"/>
      <c r="K202" s="340"/>
      <c r="L202" s="371"/>
      <c r="M202" s="340"/>
    </row>
    <row r="203" spans="1:13" ht="30" customHeight="1" x14ac:dyDescent="0.25">
      <c r="A203" s="76"/>
      <c r="B203" s="37" t="s">
        <v>569</v>
      </c>
      <c r="C203" s="270" t="s">
        <v>568</v>
      </c>
      <c r="D203" s="271"/>
      <c r="E203" s="77" t="s">
        <v>570</v>
      </c>
      <c r="F203" s="97"/>
      <c r="G203" s="84"/>
      <c r="H203" s="78"/>
      <c r="I203" s="79">
        <f>SUM(I204:I209)</f>
        <v>152578.79999999999</v>
      </c>
      <c r="J203" s="78"/>
      <c r="K203" s="79">
        <f>SUM(K204:K209)</f>
        <v>21859.200000000004</v>
      </c>
      <c r="L203" s="78"/>
      <c r="M203" s="79">
        <f>SUM(M204:M209)</f>
        <v>174438</v>
      </c>
    </row>
    <row r="204" spans="1:13" ht="30" customHeight="1" x14ac:dyDescent="0.25">
      <c r="A204" s="76"/>
      <c r="B204" s="359"/>
      <c r="C204" s="382" t="s">
        <v>571</v>
      </c>
      <c r="D204" s="104" t="s">
        <v>572</v>
      </c>
      <c r="E204" s="332"/>
      <c r="F204" s="41" t="s">
        <v>392</v>
      </c>
      <c r="G204" s="42">
        <v>20</v>
      </c>
      <c r="H204" s="1">
        <v>2158.2000000000003</v>
      </c>
      <c r="I204" s="43">
        <f t="shared" ref="I204:I209" si="64">+H204*G204</f>
        <v>43164.000000000007</v>
      </c>
      <c r="J204" s="1">
        <v>455.40000000000009</v>
      </c>
      <c r="K204" s="43">
        <f t="shared" ref="K204:K209" si="65">+J204*G204</f>
        <v>9108.0000000000018</v>
      </c>
      <c r="L204" s="44">
        <f t="shared" ref="L204:L209" si="66">+J204+H204</f>
        <v>2613.6000000000004</v>
      </c>
      <c r="M204" s="43">
        <f t="shared" ref="M204:M209" si="67">+L204*G204</f>
        <v>52272.000000000007</v>
      </c>
    </row>
    <row r="205" spans="1:13" ht="30" customHeight="1" x14ac:dyDescent="0.25">
      <c r="A205" s="76"/>
      <c r="B205" s="360"/>
      <c r="C205" s="383"/>
      <c r="D205" s="105" t="s">
        <v>573</v>
      </c>
      <c r="E205" s="333"/>
      <c r="F205" s="41" t="s">
        <v>392</v>
      </c>
      <c r="G205" s="42">
        <v>4</v>
      </c>
      <c r="H205" s="1">
        <v>2498.1000000000004</v>
      </c>
      <c r="I205" s="43">
        <f t="shared" si="64"/>
        <v>9992.4000000000015</v>
      </c>
      <c r="J205" s="1">
        <v>455.40000000000009</v>
      </c>
      <c r="K205" s="43">
        <f t="shared" si="65"/>
        <v>1821.6000000000004</v>
      </c>
      <c r="L205" s="44">
        <f t="shared" si="66"/>
        <v>2953.5000000000005</v>
      </c>
      <c r="M205" s="43">
        <f t="shared" si="67"/>
        <v>11814.000000000002</v>
      </c>
    </row>
    <row r="206" spans="1:13" ht="30" customHeight="1" x14ac:dyDescent="0.25">
      <c r="A206" s="76"/>
      <c r="B206" s="360"/>
      <c r="C206" s="383"/>
      <c r="D206" s="105" t="s">
        <v>574</v>
      </c>
      <c r="E206" s="333"/>
      <c r="F206" s="41" t="s">
        <v>392</v>
      </c>
      <c r="G206" s="42">
        <v>2</v>
      </c>
      <c r="H206" s="1">
        <v>2930.3999999999996</v>
      </c>
      <c r="I206" s="43">
        <f t="shared" si="64"/>
        <v>5860.7999999999993</v>
      </c>
      <c r="J206" s="1">
        <v>455.40000000000009</v>
      </c>
      <c r="K206" s="43">
        <f t="shared" si="65"/>
        <v>910.80000000000018</v>
      </c>
      <c r="L206" s="44">
        <f t="shared" si="66"/>
        <v>3385.7999999999997</v>
      </c>
      <c r="M206" s="43">
        <f t="shared" si="67"/>
        <v>6771.5999999999995</v>
      </c>
    </row>
    <row r="207" spans="1:13" ht="30" customHeight="1" x14ac:dyDescent="0.25">
      <c r="A207" s="76"/>
      <c r="B207" s="360"/>
      <c r="C207" s="383"/>
      <c r="D207" s="105" t="s">
        <v>575</v>
      </c>
      <c r="E207" s="333"/>
      <c r="F207" s="41" t="s">
        <v>392</v>
      </c>
      <c r="G207" s="42">
        <v>2</v>
      </c>
      <c r="H207" s="1">
        <v>3405.6000000000004</v>
      </c>
      <c r="I207" s="43">
        <f t="shared" si="64"/>
        <v>6811.2000000000007</v>
      </c>
      <c r="J207" s="1">
        <v>455.40000000000009</v>
      </c>
      <c r="K207" s="43">
        <f t="shared" si="65"/>
        <v>910.80000000000018</v>
      </c>
      <c r="L207" s="44">
        <f t="shared" si="66"/>
        <v>3861.0000000000005</v>
      </c>
      <c r="M207" s="43">
        <f t="shared" si="67"/>
        <v>7722.0000000000009</v>
      </c>
    </row>
    <row r="208" spans="1:13" ht="30" customHeight="1" x14ac:dyDescent="0.25">
      <c r="A208" s="76"/>
      <c r="B208" s="360"/>
      <c r="C208" s="383"/>
      <c r="D208" s="105" t="s">
        <v>576</v>
      </c>
      <c r="E208" s="333"/>
      <c r="F208" s="41" t="s">
        <v>392</v>
      </c>
      <c r="G208" s="42">
        <v>4</v>
      </c>
      <c r="H208" s="1">
        <v>3973.2000000000007</v>
      </c>
      <c r="I208" s="43">
        <f t="shared" si="64"/>
        <v>15892.800000000003</v>
      </c>
      <c r="J208" s="1">
        <v>455.40000000000009</v>
      </c>
      <c r="K208" s="43">
        <f t="shared" si="65"/>
        <v>1821.6000000000004</v>
      </c>
      <c r="L208" s="44">
        <f t="shared" si="66"/>
        <v>4428.6000000000004</v>
      </c>
      <c r="M208" s="43">
        <f t="shared" si="67"/>
        <v>17714.400000000001</v>
      </c>
    </row>
    <row r="209" spans="1:13" ht="30" customHeight="1" x14ac:dyDescent="0.25">
      <c r="A209" s="76"/>
      <c r="B209" s="361"/>
      <c r="C209" s="384"/>
      <c r="D209" s="105" t="s">
        <v>577</v>
      </c>
      <c r="E209" s="334"/>
      <c r="F209" s="41" t="s">
        <v>392</v>
      </c>
      <c r="G209" s="42">
        <v>16</v>
      </c>
      <c r="H209" s="1">
        <v>4428.5999999999995</v>
      </c>
      <c r="I209" s="43">
        <f t="shared" si="64"/>
        <v>70857.599999999991</v>
      </c>
      <c r="J209" s="1">
        <v>455.40000000000009</v>
      </c>
      <c r="K209" s="43">
        <f t="shared" si="65"/>
        <v>7286.4000000000015</v>
      </c>
      <c r="L209" s="44">
        <f t="shared" si="66"/>
        <v>4884</v>
      </c>
      <c r="M209" s="43">
        <f t="shared" si="67"/>
        <v>78144</v>
      </c>
    </row>
    <row r="210" spans="1:13" ht="30" customHeight="1" x14ac:dyDescent="0.25">
      <c r="A210" s="76"/>
      <c r="B210" s="37" t="s">
        <v>578</v>
      </c>
      <c r="C210" s="270" t="s">
        <v>579</v>
      </c>
      <c r="D210" s="271"/>
      <c r="E210" s="77" t="s">
        <v>570</v>
      </c>
      <c r="F210" s="97"/>
      <c r="G210" s="84"/>
      <c r="H210" s="78"/>
      <c r="I210" s="79">
        <f>SUM(I211)</f>
        <v>14388</v>
      </c>
      <c r="J210" s="78"/>
      <c r="K210" s="79">
        <f>SUM(K211)</f>
        <v>1478.3999999999996</v>
      </c>
      <c r="L210" s="78"/>
      <c r="M210" s="79">
        <f>SUM(M211)</f>
        <v>15866.4</v>
      </c>
    </row>
    <row r="211" spans="1:13" ht="30" customHeight="1" x14ac:dyDescent="0.25">
      <c r="A211" s="76"/>
      <c r="B211" s="70"/>
      <c r="C211" s="276" t="s">
        <v>580</v>
      </c>
      <c r="D211" s="278"/>
      <c r="E211" s="114"/>
      <c r="F211" s="41" t="s">
        <v>392</v>
      </c>
      <c r="G211" s="42">
        <v>2</v>
      </c>
      <c r="H211" s="1">
        <v>7194</v>
      </c>
      <c r="I211" s="43">
        <f t="shared" ref="I211" si="68">+H211*G211</f>
        <v>14388</v>
      </c>
      <c r="J211" s="1">
        <v>739.19999999999982</v>
      </c>
      <c r="K211" s="43">
        <f t="shared" ref="K211" si="69">+J211*G211</f>
        <v>1478.3999999999996</v>
      </c>
      <c r="L211" s="44">
        <f t="shared" ref="L211" si="70">+J211+H211</f>
        <v>7933.2</v>
      </c>
      <c r="M211" s="43">
        <f t="shared" ref="M211" si="71">+L211*G211</f>
        <v>15866.4</v>
      </c>
    </row>
    <row r="212" spans="1:13" ht="46.5" customHeight="1" x14ac:dyDescent="0.25">
      <c r="A212" s="76"/>
      <c r="B212" s="37" t="s">
        <v>588</v>
      </c>
      <c r="C212" s="270" t="s">
        <v>581</v>
      </c>
      <c r="D212" s="271"/>
      <c r="E212" s="77" t="s">
        <v>570</v>
      </c>
      <c r="F212" s="97"/>
      <c r="G212" s="84"/>
      <c r="H212" s="78"/>
      <c r="I212" s="79">
        <f>SUM(I213:I220)</f>
        <v>268910.39999999997</v>
      </c>
      <c r="J212" s="78"/>
      <c r="K212" s="79">
        <f>SUM(K213:K220)</f>
        <v>60588.000000000007</v>
      </c>
      <c r="L212" s="78"/>
      <c r="M212" s="79">
        <f>SUM(M213:M220)</f>
        <v>329498.40000000008</v>
      </c>
    </row>
    <row r="213" spans="1:13" ht="30" customHeight="1" x14ac:dyDescent="0.25">
      <c r="A213" s="76"/>
      <c r="B213" s="359"/>
      <c r="C213" s="354" t="s">
        <v>582</v>
      </c>
      <c r="D213" s="355"/>
      <c r="E213" s="332"/>
      <c r="F213" s="41" t="s">
        <v>392</v>
      </c>
      <c r="G213" s="42">
        <v>1</v>
      </c>
      <c r="H213" s="1">
        <v>22704</v>
      </c>
      <c r="I213" s="43">
        <f t="shared" ref="I213" si="72">+H213*G213</f>
        <v>22704</v>
      </c>
      <c r="J213" s="1">
        <v>3029.3999999999996</v>
      </c>
      <c r="K213" s="43">
        <f t="shared" ref="K213" si="73">+J213*G213</f>
        <v>3029.3999999999996</v>
      </c>
      <c r="L213" s="44">
        <f t="shared" ref="L213" si="74">+J213+H213</f>
        <v>25733.4</v>
      </c>
      <c r="M213" s="43">
        <f t="shared" ref="M213" si="75">+L213*G213</f>
        <v>25733.4</v>
      </c>
    </row>
    <row r="214" spans="1:13" ht="30" customHeight="1" x14ac:dyDescent="0.25">
      <c r="A214" s="76"/>
      <c r="B214" s="360"/>
      <c r="C214" s="350" t="s">
        <v>583</v>
      </c>
      <c r="D214" s="351"/>
      <c r="E214" s="333"/>
      <c r="F214" s="41" t="s">
        <v>392</v>
      </c>
      <c r="G214" s="42">
        <v>8</v>
      </c>
      <c r="H214" s="1">
        <v>22704</v>
      </c>
      <c r="I214" s="43">
        <f t="shared" ref="I214:I220" si="76">+H214*G214</f>
        <v>181632</v>
      </c>
      <c r="J214" s="1">
        <v>3029.3999999999996</v>
      </c>
      <c r="K214" s="43">
        <f t="shared" ref="K214:K220" si="77">+J214*G214</f>
        <v>24235.199999999997</v>
      </c>
      <c r="L214" s="44">
        <f t="shared" ref="L214:L220" si="78">+J214+H214</f>
        <v>25733.4</v>
      </c>
      <c r="M214" s="43">
        <f t="shared" ref="M214:M220" si="79">+L214*G214</f>
        <v>205867.2</v>
      </c>
    </row>
    <row r="215" spans="1:13" ht="30" customHeight="1" x14ac:dyDescent="0.25">
      <c r="A215" s="76"/>
      <c r="B215" s="360"/>
      <c r="C215" s="350" t="s">
        <v>584</v>
      </c>
      <c r="D215" s="351"/>
      <c r="E215" s="333"/>
      <c r="F215" s="41" t="s">
        <v>392</v>
      </c>
      <c r="G215" s="42">
        <v>4</v>
      </c>
      <c r="H215" s="1">
        <v>5299.7999999999993</v>
      </c>
      <c r="I215" s="43">
        <f t="shared" si="76"/>
        <v>21199.199999999997</v>
      </c>
      <c r="J215" s="1">
        <v>3029.3999999999996</v>
      </c>
      <c r="K215" s="43">
        <f t="shared" si="77"/>
        <v>12117.599999999999</v>
      </c>
      <c r="L215" s="44">
        <f t="shared" si="78"/>
        <v>8329.1999999999989</v>
      </c>
      <c r="M215" s="43">
        <f t="shared" si="79"/>
        <v>33316.799999999996</v>
      </c>
    </row>
    <row r="216" spans="1:13" ht="30" customHeight="1" x14ac:dyDescent="0.25">
      <c r="A216" s="76"/>
      <c r="B216" s="360"/>
      <c r="C216" s="350" t="s">
        <v>585</v>
      </c>
      <c r="D216" s="351"/>
      <c r="E216" s="333"/>
      <c r="F216" s="41" t="s">
        <v>392</v>
      </c>
      <c r="G216" s="42">
        <v>2</v>
      </c>
      <c r="H216" s="1">
        <v>7392</v>
      </c>
      <c r="I216" s="43">
        <f t="shared" si="76"/>
        <v>14784</v>
      </c>
      <c r="J216" s="1">
        <v>3029.3999999999996</v>
      </c>
      <c r="K216" s="43">
        <f t="shared" si="77"/>
        <v>6058.7999999999993</v>
      </c>
      <c r="L216" s="44">
        <f t="shared" si="78"/>
        <v>10421.4</v>
      </c>
      <c r="M216" s="43">
        <f t="shared" si="79"/>
        <v>20842.8</v>
      </c>
    </row>
    <row r="217" spans="1:13" ht="30" customHeight="1" x14ac:dyDescent="0.25">
      <c r="A217" s="76"/>
      <c r="B217" s="360"/>
      <c r="C217" s="350" t="s">
        <v>586</v>
      </c>
      <c r="D217" s="351"/>
      <c r="E217" s="333"/>
      <c r="F217" s="41" t="s">
        <v>392</v>
      </c>
      <c r="G217" s="42">
        <v>1</v>
      </c>
      <c r="H217" s="1">
        <v>7392</v>
      </c>
      <c r="I217" s="43">
        <f t="shared" si="76"/>
        <v>7392</v>
      </c>
      <c r="J217" s="1">
        <v>3029.3999999999996</v>
      </c>
      <c r="K217" s="43">
        <f t="shared" si="77"/>
        <v>3029.3999999999996</v>
      </c>
      <c r="L217" s="44">
        <f t="shared" si="78"/>
        <v>10421.4</v>
      </c>
      <c r="M217" s="43">
        <f t="shared" si="79"/>
        <v>10421.4</v>
      </c>
    </row>
    <row r="218" spans="1:13" ht="30" customHeight="1" x14ac:dyDescent="0.25">
      <c r="A218" s="76"/>
      <c r="B218" s="360"/>
      <c r="C218" s="350" t="s">
        <v>587</v>
      </c>
      <c r="D218" s="351"/>
      <c r="E218" s="333"/>
      <c r="F218" s="41" t="s">
        <v>392</v>
      </c>
      <c r="G218" s="42">
        <v>1</v>
      </c>
      <c r="H218" s="1">
        <v>5299.7999999999993</v>
      </c>
      <c r="I218" s="43">
        <f t="shared" si="76"/>
        <v>5299.7999999999993</v>
      </c>
      <c r="J218" s="1">
        <v>3029.3999999999996</v>
      </c>
      <c r="K218" s="43">
        <f t="shared" si="77"/>
        <v>3029.3999999999996</v>
      </c>
      <c r="L218" s="44">
        <f t="shared" si="78"/>
        <v>8329.1999999999989</v>
      </c>
      <c r="M218" s="43">
        <f t="shared" si="79"/>
        <v>8329.1999999999989</v>
      </c>
    </row>
    <row r="219" spans="1:13" ht="30" customHeight="1" x14ac:dyDescent="0.25">
      <c r="A219" s="76"/>
      <c r="B219" s="360"/>
      <c r="C219" s="350" t="s">
        <v>584</v>
      </c>
      <c r="D219" s="351"/>
      <c r="E219" s="333"/>
      <c r="F219" s="41" t="s">
        <v>392</v>
      </c>
      <c r="G219" s="42">
        <v>2</v>
      </c>
      <c r="H219" s="1">
        <v>5299.7999999999993</v>
      </c>
      <c r="I219" s="43">
        <f t="shared" si="76"/>
        <v>10599.599999999999</v>
      </c>
      <c r="J219" s="1">
        <v>3029.3999999999996</v>
      </c>
      <c r="K219" s="43">
        <f t="shared" si="77"/>
        <v>6058.7999999999993</v>
      </c>
      <c r="L219" s="44">
        <f t="shared" si="78"/>
        <v>8329.1999999999989</v>
      </c>
      <c r="M219" s="43">
        <f t="shared" si="79"/>
        <v>16658.399999999998</v>
      </c>
    </row>
    <row r="220" spans="1:13" ht="30" customHeight="1" x14ac:dyDescent="0.25">
      <c r="A220" s="76"/>
      <c r="B220" s="361"/>
      <c r="C220" s="352" t="s">
        <v>585</v>
      </c>
      <c r="D220" s="353"/>
      <c r="E220" s="334"/>
      <c r="F220" s="41" t="s">
        <v>392</v>
      </c>
      <c r="G220" s="42">
        <v>1</v>
      </c>
      <c r="H220" s="1">
        <v>5299.7999999999993</v>
      </c>
      <c r="I220" s="43">
        <f t="shared" si="76"/>
        <v>5299.7999999999993</v>
      </c>
      <c r="J220" s="1">
        <v>3029.3999999999996</v>
      </c>
      <c r="K220" s="43">
        <f t="shared" si="77"/>
        <v>3029.3999999999996</v>
      </c>
      <c r="L220" s="44">
        <f t="shared" si="78"/>
        <v>8329.1999999999989</v>
      </c>
      <c r="M220" s="43">
        <f t="shared" si="79"/>
        <v>8329.1999999999989</v>
      </c>
    </row>
    <row r="221" spans="1:13" ht="46.5" customHeight="1" x14ac:dyDescent="0.25">
      <c r="A221" s="76"/>
      <c r="B221" s="37" t="s">
        <v>589</v>
      </c>
      <c r="C221" s="270" t="s">
        <v>590</v>
      </c>
      <c r="D221" s="271"/>
      <c r="E221" s="77" t="s">
        <v>591</v>
      </c>
      <c r="F221" s="97"/>
      <c r="G221" s="84"/>
      <c r="H221" s="78"/>
      <c r="I221" s="79">
        <f>SUM(I222:I227)</f>
        <v>1370120.4</v>
      </c>
      <c r="J221" s="78"/>
      <c r="K221" s="79">
        <f>SUM(K222:K227)</f>
        <v>505850.4</v>
      </c>
      <c r="L221" s="78"/>
      <c r="M221" s="79">
        <f>SUM(M222:M227)</f>
        <v>1875970.7999999998</v>
      </c>
    </row>
    <row r="222" spans="1:13" ht="30" customHeight="1" x14ac:dyDescent="0.25">
      <c r="A222" s="76"/>
      <c r="B222" s="359"/>
      <c r="C222" s="354" t="s">
        <v>592</v>
      </c>
      <c r="D222" s="355"/>
      <c r="E222" s="332"/>
      <c r="F222" s="41" t="s">
        <v>596</v>
      </c>
      <c r="G222" s="42">
        <v>250</v>
      </c>
      <c r="H222" s="1">
        <v>2003.76</v>
      </c>
      <c r="I222" s="43">
        <f t="shared" ref="I222:I227" si="80">+H222*G222</f>
        <v>500940</v>
      </c>
      <c r="J222" s="1">
        <v>633.6</v>
      </c>
      <c r="K222" s="43">
        <f t="shared" ref="K222:K227" si="81">+J222*G222</f>
        <v>158400</v>
      </c>
      <c r="L222" s="44">
        <f t="shared" ref="L222:L227" si="82">+J222+H222</f>
        <v>2637.36</v>
      </c>
      <c r="M222" s="43">
        <f t="shared" ref="M222:M227" si="83">+L222*G222</f>
        <v>659340</v>
      </c>
    </row>
    <row r="223" spans="1:13" ht="30" customHeight="1" x14ac:dyDescent="0.25">
      <c r="A223" s="76"/>
      <c r="B223" s="360"/>
      <c r="C223" s="350" t="s">
        <v>593</v>
      </c>
      <c r="D223" s="351"/>
      <c r="E223" s="333"/>
      <c r="F223" s="41" t="s">
        <v>596</v>
      </c>
      <c r="G223" s="42">
        <v>280</v>
      </c>
      <c r="H223" s="1">
        <v>2090.8799999999997</v>
      </c>
      <c r="I223" s="43">
        <f t="shared" si="80"/>
        <v>585446.39999999991</v>
      </c>
      <c r="J223" s="1">
        <v>633.6</v>
      </c>
      <c r="K223" s="43">
        <f t="shared" si="81"/>
        <v>177408</v>
      </c>
      <c r="L223" s="44">
        <f t="shared" si="82"/>
        <v>2724.4799999999996</v>
      </c>
      <c r="M223" s="43">
        <f t="shared" si="83"/>
        <v>762854.39999999991</v>
      </c>
    </row>
    <row r="224" spans="1:13" ht="30" customHeight="1" x14ac:dyDescent="0.25">
      <c r="A224" s="76"/>
      <c r="B224" s="360"/>
      <c r="C224" s="350" t="s">
        <v>594</v>
      </c>
      <c r="D224" s="351"/>
      <c r="E224" s="333"/>
      <c r="F224" s="41" t="s">
        <v>596</v>
      </c>
      <c r="G224" s="42">
        <v>20</v>
      </c>
      <c r="H224" s="1">
        <v>2181.96</v>
      </c>
      <c r="I224" s="43">
        <f t="shared" si="80"/>
        <v>43639.199999999997</v>
      </c>
      <c r="J224" s="1">
        <v>633.6</v>
      </c>
      <c r="K224" s="43">
        <f t="shared" si="81"/>
        <v>12672</v>
      </c>
      <c r="L224" s="44">
        <f t="shared" si="82"/>
        <v>2815.56</v>
      </c>
      <c r="M224" s="43">
        <f t="shared" si="83"/>
        <v>56311.199999999997</v>
      </c>
    </row>
    <row r="225" spans="1:13" ht="30" customHeight="1" x14ac:dyDescent="0.25">
      <c r="A225" s="76"/>
      <c r="B225" s="360"/>
      <c r="C225" s="350" t="s">
        <v>595</v>
      </c>
      <c r="D225" s="351"/>
      <c r="E225" s="333"/>
      <c r="F225" s="41" t="s">
        <v>596</v>
      </c>
      <c r="G225" s="42">
        <v>50</v>
      </c>
      <c r="H225" s="1">
        <v>2360.16</v>
      </c>
      <c r="I225" s="43">
        <f t="shared" si="80"/>
        <v>118008</v>
      </c>
      <c r="J225" s="1">
        <v>633.6</v>
      </c>
      <c r="K225" s="43">
        <f t="shared" si="81"/>
        <v>31680</v>
      </c>
      <c r="L225" s="44">
        <f t="shared" si="82"/>
        <v>2993.7599999999998</v>
      </c>
      <c r="M225" s="43">
        <f t="shared" si="83"/>
        <v>149688</v>
      </c>
    </row>
    <row r="226" spans="1:13" ht="53.25" customHeight="1" x14ac:dyDescent="0.25">
      <c r="A226" s="76"/>
      <c r="B226" s="360"/>
      <c r="C226" s="377" t="s">
        <v>598</v>
      </c>
      <c r="D226" s="378"/>
      <c r="E226" s="379" t="s">
        <v>599</v>
      </c>
      <c r="F226" s="41" t="s">
        <v>596</v>
      </c>
      <c r="G226" s="42">
        <v>200</v>
      </c>
      <c r="H226" s="1">
        <v>419.76</v>
      </c>
      <c r="I226" s="43">
        <f t="shared" si="80"/>
        <v>83952</v>
      </c>
      <c r="J226" s="1">
        <v>546.48</v>
      </c>
      <c r="K226" s="43">
        <f t="shared" si="81"/>
        <v>109296</v>
      </c>
      <c r="L226" s="44">
        <f t="shared" si="82"/>
        <v>966.24</v>
      </c>
      <c r="M226" s="43">
        <f t="shared" si="83"/>
        <v>193248</v>
      </c>
    </row>
    <row r="227" spans="1:13" ht="53.25" customHeight="1" x14ac:dyDescent="0.25">
      <c r="A227" s="76"/>
      <c r="B227" s="361"/>
      <c r="C227" s="373" t="s">
        <v>597</v>
      </c>
      <c r="D227" s="374"/>
      <c r="E227" s="381"/>
      <c r="F227" s="41" t="s">
        <v>596</v>
      </c>
      <c r="G227" s="42">
        <v>15</v>
      </c>
      <c r="H227" s="1">
        <v>2542.3200000000002</v>
      </c>
      <c r="I227" s="43">
        <f t="shared" si="80"/>
        <v>38134.800000000003</v>
      </c>
      <c r="J227" s="1">
        <v>1092.96</v>
      </c>
      <c r="K227" s="43">
        <f t="shared" si="81"/>
        <v>16394.400000000001</v>
      </c>
      <c r="L227" s="44">
        <f t="shared" si="82"/>
        <v>3635.28</v>
      </c>
      <c r="M227" s="43">
        <f t="shared" si="83"/>
        <v>54529.200000000004</v>
      </c>
    </row>
    <row r="228" spans="1:13" ht="30" customHeight="1" x14ac:dyDescent="0.25">
      <c r="A228" s="76"/>
      <c r="B228" s="37" t="s">
        <v>600</v>
      </c>
      <c r="C228" s="270" t="s">
        <v>601</v>
      </c>
      <c r="D228" s="271"/>
      <c r="E228" s="77" t="s">
        <v>602</v>
      </c>
      <c r="F228" s="97"/>
      <c r="G228" s="84"/>
      <c r="H228" s="78"/>
      <c r="I228" s="79">
        <f>SUM(I229:I233)</f>
        <v>26064.720000000001</v>
      </c>
      <c r="J228" s="78"/>
      <c r="K228" s="79">
        <f>SUM(K229:K233)</f>
        <v>15523.2</v>
      </c>
      <c r="L228" s="78"/>
      <c r="M228" s="79">
        <f>SUM(M229:M233)</f>
        <v>41587.919999999998</v>
      </c>
    </row>
    <row r="229" spans="1:13" ht="30" customHeight="1" x14ac:dyDescent="0.25">
      <c r="A229" s="76"/>
      <c r="B229" s="359"/>
      <c r="C229" s="354" t="s">
        <v>603</v>
      </c>
      <c r="D229" s="355"/>
      <c r="E229" s="379"/>
      <c r="F229" s="41" t="s">
        <v>77</v>
      </c>
      <c r="G229" s="42">
        <v>5</v>
      </c>
      <c r="H229" s="1">
        <v>364.32</v>
      </c>
      <c r="I229" s="43">
        <f t="shared" ref="I229:I233" si="84">+H229*G229</f>
        <v>1821.6</v>
      </c>
      <c r="J229" s="1">
        <v>277.2</v>
      </c>
      <c r="K229" s="43">
        <f t="shared" ref="K229:K233" si="85">+J229*G229</f>
        <v>1386</v>
      </c>
      <c r="L229" s="44">
        <f t="shared" ref="L229:L233" si="86">+J229+H229</f>
        <v>641.52</v>
      </c>
      <c r="M229" s="43">
        <f t="shared" ref="M229:M233" si="87">+L229*G229</f>
        <v>3207.6</v>
      </c>
    </row>
    <row r="230" spans="1:13" ht="30" customHeight="1" x14ac:dyDescent="0.25">
      <c r="A230" s="76"/>
      <c r="B230" s="360"/>
      <c r="C230" s="350" t="s">
        <v>604</v>
      </c>
      <c r="D230" s="351"/>
      <c r="E230" s="380"/>
      <c r="F230" s="41" t="s">
        <v>77</v>
      </c>
      <c r="G230" s="42">
        <v>1</v>
      </c>
      <c r="H230" s="1">
        <v>403.91999999999996</v>
      </c>
      <c r="I230" s="43">
        <f t="shared" si="84"/>
        <v>403.91999999999996</v>
      </c>
      <c r="J230" s="1">
        <v>277.2</v>
      </c>
      <c r="K230" s="43">
        <f t="shared" si="85"/>
        <v>277.2</v>
      </c>
      <c r="L230" s="44">
        <f t="shared" si="86"/>
        <v>681.11999999999989</v>
      </c>
      <c r="M230" s="43">
        <f t="shared" si="87"/>
        <v>681.11999999999989</v>
      </c>
    </row>
    <row r="231" spans="1:13" ht="30" customHeight="1" x14ac:dyDescent="0.25">
      <c r="A231" s="76"/>
      <c r="B231" s="360"/>
      <c r="C231" s="350" t="s">
        <v>605</v>
      </c>
      <c r="D231" s="351"/>
      <c r="E231" s="380"/>
      <c r="F231" s="41" t="s">
        <v>77</v>
      </c>
      <c r="G231" s="42">
        <v>20</v>
      </c>
      <c r="H231" s="1">
        <v>435.6</v>
      </c>
      <c r="I231" s="43">
        <f t="shared" si="84"/>
        <v>8712</v>
      </c>
      <c r="J231" s="1">
        <v>277.2</v>
      </c>
      <c r="K231" s="43">
        <f t="shared" si="85"/>
        <v>5544</v>
      </c>
      <c r="L231" s="44">
        <f t="shared" si="86"/>
        <v>712.8</v>
      </c>
      <c r="M231" s="43">
        <f t="shared" si="87"/>
        <v>14256</v>
      </c>
    </row>
    <row r="232" spans="1:13" ht="30" customHeight="1" x14ac:dyDescent="0.25">
      <c r="A232" s="76"/>
      <c r="B232" s="360"/>
      <c r="C232" s="350" t="s">
        <v>606</v>
      </c>
      <c r="D232" s="351"/>
      <c r="E232" s="380"/>
      <c r="F232" s="41" t="s">
        <v>77</v>
      </c>
      <c r="G232" s="42">
        <v>20</v>
      </c>
      <c r="H232" s="1">
        <v>475.20000000000005</v>
      </c>
      <c r="I232" s="43">
        <f t="shared" si="84"/>
        <v>9504</v>
      </c>
      <c r="J232" s="1">
        <v>277.2</v>
      </c>
      <c r="K232" s="43">
        <f t="shared" si="85"/>
        <v>5544</v>
      </c>
      <c r="L232" s="44">
        <f t="shared" si="86"/>
        <v>752.40000000000009</v>
      </c>
      <c r="M232" s="43">
        <f t="shared" si="87"/>
        <v>15048.000000000002</v>
      </c>
    </row>
    <row r="233" spans="1:13" ht="30" customHeight="1" x14ac:dyDescent="0.25">
      <c r="A233" s="76"/>
      <c r="B233" s="361"/>
      <c r="C233" s="352" t="s">
        <v>607</v>
      </c>
      <c r="D233" s="353"/>
      <c r="E233" s="381"/>
      <c r="F233" s="41" t="s">
        <v>77</v>
      </c>
      <c r="G233" s="42">
        <v>10</v>
      </c>
      <c r="H233" s="1">
        <v>562.31999999999994</v>
      </c>
      <c r="I233" s="43">
        <f t="shared" si="84"/>
        <v>5623.1999999999989</v>
      </c>
      <c r="J233" s="1">
        <v>277.2</v>
      </c>
      <c r="K233" s="43">
        <f t="shared" si="85"/>
        <v>2772</v>
      </c>
      <c r="L233" s="44">
        <f t="shared" si="86"/>
        <v>839.52</v>
      </c>
      <c r="M233" s="43">
        <f t="shared" si="87"/>
        <v>8395.2000000000007</v>
      </c>
    </row>
    <row r="234" spans="1:13" ht="30" customHeight="1" x14ac:dyDescent="0.25">
      <c r="A234" s="76"/>
      <c r="B234" s="37" t="s">
        <v>608</v>
      </c>
      <c r="C234" s="270" t="s">
        <v>609</v>
      </c>
      <c r="D234" s="271"/>
      <c r="E234" s="77" t="s">
        <v>570</v>
      </c>
      <c r="F234" s="97"/>
      <c r="G234" s="84"/>
      <c r="H234" s="78"/>
      <c r="I234" s="79">
        <f>SUM(I235:I241)</f>
        <v>262278.71999999997</v>
      </c>
      <c r="J234" s="78"/>
      <c r="K234" s="79">
        <f>SUM(K235:K241)</f>
        <v>42625.440000000002</v>
      </c>
      <c r="L234" s="78"/>
      <c r="M234" s="79">
        <f>SUM(M235:M241)</f>
        <v>304904.16000000003</v>
      </c>
    </row>
    <row r="235" spans="1:13" ht="30" customHeight="1" x14ac:dyDescent="0.25">
      <c r="A235" s="76"/>
      <c r="B235" s="359"/>
      <c r="C235" s="354" t="s">
        <v>610</v>
      </c>
      <c r="D235" s="355"/>
      <c r="E235" s="379"/>
      <c r="F235" s="41" t="s">
        <v>392</v>
      </c>
      <c r="G235" s="42">
        <v>21</v>
      </c>
      <c r="H235" s="1">
        <v>6177.6</v>
      </c>
      <c r="I235" s="43">
        <f t="shared" ref="I235" si="88">+H235*G235</f>
        <v>129729.60000000001</v>
      </c>
      <c r="J235" s="1">
        <v>1092.96</v>
      </c>
      <c r="K235" s="43">
        <f t="shared" ref="K235" si="89">+J235*G235</f>
        <v>22952.16</v>
      </c>
      <c r="L235" s="44">
        <f t="shared" ref="L235" si="90">+J235+H235</f>
        <v>7270.56</v>
      </c>
      <c r="M235" s="43">
        <f t="shared" ref="M235" si="91">+L235*G235</f>
        <v>152681.76</v>
      </c>
    </row>
    <row r="236" spans="1:13" ht="30" customHeight="1" x14ac:dyDescent="0.25">
      <c r="A236" s="76"/>
      <c r="B236" s="360"/>
      <c r="C236" s="350" t="s">
        <v>611</v>
      </c>
      <c r="D236" s="351"/>
      <c r="E236" s="380"/>
      <c r="F236" s="41" t="s">
        <v>392</v>
      </c>
      <c r="G236" s="42">
        <v>2</v>
      </c>
      <c r="H236" s="1">
        <v>6177.6</v>
      </c>
      <c r="I236" s="43">
        <f t="shared" ref="I236:I241" si="92">+H236*G236</f>
        <v>12355.2</v>
      </c>
      <c r="J236" s="1">
        <v>1092.96</v>
      </c>
      <c r="K236" s="43">
        <f t="shared" ref="K236:K241" si="93">+J236*G236</f>
        <v>2185.92</v>
      </c>
      <c r="L236" s="44">
        <f t="shared" ref="L236:L241" si="94">+J236+H236</f>
        <v>7270.56</v>
      </c>
      <c r="M236" s="43">
        <f t="shared" ref="M236:M241" si="95">+L236*G236</f>
        <v>14541.12</v>
      </c>
    </row>
    <row r="237" spans="1:13" ht="30" customHeight="1" x14ac:dyDescent="0.25">
      <c r="A237" s="76"/>
      <c r="B237" s="360"/>
      <c r="C237" s="350" t="s">
        <v>612</v>
      </c>
      <c r="D237" s="351"/>
      <c r="E237" s="380"/>
      <c r="F237" s="41" t="s">
        <v>392</v>
      </c>
      <c r="G237" s="42">
        <v>1</v>
      </c>
      <c r="H237" s="1">
        <v>6549.84</v>
      </c>
      <c r="I237" s="43">
        <f t="shared" si="92"/>
        <v>6549.84</v>
      </c>
      <c r="J237" s="1">
        <v>1092.96</v>
      </c>
      <c r="K237" s="43">
        <f t="shared" si="93"/>
        <v>1092.96</v>
      </c>
      <c r="L237" s="44">
        <f t="shared" si="94"/>
        <v>7642.8</v>
      </c>
      <c r="M237" s="43">
        <f t="shared" si="95"/>
        <v>7642.8</v>
      </c>
    </row>
    <row r="238" spans="1:13" ht="30" customHeight="1" x14ac:dyDescent="0.25">
      <c r="A238" s="76"/>
      <c r="B238" s="360"/>
      <c r="C238" s="350" t="s">
        <v>613</v>
      </c>
      <c r="D238" s="351"/>
      <c r="E238" s="380"/>
      <c r="F238" s="41" t="s">
        <v>392</v>
      </c>
      <c r="G238" s="42">
        <v>2</v>
      </c>
      <c r="H238" s="1">
        <v>6549.84</v>
      </c>
      <c r="I238" s="43">
        <f t="shared" si="92"/>
        <v>13099.68</v>
      </c>
      <c r="J238" s="1">
        <v>1092.96</v>
      </c>
      <c r="K238" s="43">
        <f t="shared" si="93"/>
        <v>2185.92</v>
      </c>
      <c r="L238" s="44">
        <f t="shared" si="94"/>
        <v>7642.8</v>
      </c>
      <c r="M238" s="43">
        <f t="shared" si="95"/>
        <v>15285.6</v>
      </c>
    </row>
    <row r="239" spans="1:13" ht="30" customHeight="1" x14ac:dyDescent="0.25">
      <c r="A239" s="76"/>
      <c r="B239" s="360"/>
      <c r="C239" s="350" t="s">
        <v>611</v>
      </c>
      <c r="D239" s="351"/>
      <c r="E239" s="380"/>
      <c r="F239" s="41" t="s">
        <v>392</v>
      </c>
      <c r="G239" s="42">
        <v>4</v>
      </c>
      <c r="H239" s="1">
        <v>6811.2000000000007</v>
      </c>
      <c r="I239" s="43">
        <f t="shared" si="92"/>
        <v>27244.800000000003</v>
      </c>
      <c r="J239" s="1">
        <v>1092.96</v>
      </c>
      <c r="K239" s="43">
        <f t="shared" si="93"/>
        <v>4371.84</v>
      </c>
      <c r="L239" s="44">
        <f t="shared" si="94"/>
        <v>7904.1600000000008</v>
      </c>
      <c r="M239" s="43">
        <f t="shared" si="95"/>
        <v>31616.640000000003</v>
      </c>
    </row>
    <row r="240" spans="1:13" ht="30" customHeight="1" x14ac:dyDescent="0.25">
      <c r="A240" s="76"/>
      <c r="B240" s="360"/>
      <c r="C240" s="350" t="s">
        <v>614</v>
      </c>
      <c r="D240" s="351"/>
      <c r="E240" s="380"/>
      <c r="F240" s="41" t="s">
        <v>392</v>
      </c>
      <c r="G240" s="42">
        <v>5</v>
      </c>
      <c r="H240" s="1">
        <v>7626.96</v>
      </c>
      <c r="I240" s="43">
        <f t="shared" si="92"/>
        <v>38134.800000000003</v>
      </c>
      <c r="J240" s="1">
        <v>1092.96</v>
      </c>
      <c r="K240" s="43">
        <f t="shared" si="93"/>
        <v>5464.8</v>
      </c>
      <c r="L240" s="44">
        <f t="shared" si="94"/>
        <v>8719.92</v>
      </c>
      <c r="M240" s="43">
        <f t="shared" si="95"/>
        <v>43599.6</v>
      </c>
    </row>
    <row r="241" spans="1:13" ht="30" customHeight="1" x14ac:dyDescent="0.25">
      <c r="A241" s="76"/>
      <c r="B241" s="361"/>
      <c r="C241" s="352" t="s">
        <v>615</v>
      </c>
      <c r="D241" s="353"/>
      <c r="E241" s="381"/>
      <c r="F241" s="41" t="s">
        <v>392</v>
      </c>
      <c r="G241" s="42">
        <v>4</v>
      </c>
      <c r="H241" s="1">
        <v>8791.2000000000007</v>
      </c>
      <c r="I241" s="43">
        <f t="shared" si="92"/>
        <v>35164.800000000003</v>
      </c>
      <c r="J241" s="1">
        <v>1092.96</v>
      </c>
      <c r="K241" s="43">
        <f t="shared" si="93"/>
        <v>4371.84</v>
      </c>
      <c r="L241" s="44">
        <f t="shared" si="94"/>
        <v>9884.16</v>
      </c>
      <c r="M241" s="43">
        <f t="shared" si="95"/>
        <v>39536.639999999999</v>
      </c>
    </row>
    <row r="242" spans="1:13" ht="46.5" customHeight="1" x14ac:dyDescent="0.25">
      <c r="A242" s="76"/>
      <c r="B242" s="37" t="s">
        <v>616</v>
      </c>
      <c r="C242" s="270" t="s">
        <v>617</v>
      </c>
      <c r="D242" s="271"/>
      <c r="E242" s="77"/>
      <c r="F242" s="97"/>
      <c r="G242" s="84"/>
      <c r="H242" s="78"/>
      <c r="I242" s="79">
        <f>SUM(I243)</f>
        <v>200280.96000000002</v>
      </c>
      <c r="J242" s="78"/>
      <c r="K242" s="79">
        <f>SUM(K243)</f>
        <v>42146.280000000006</v>
      </c>
      <c r="L242" s="78"/>
      <c r="M242" s="79">
        <f>SUM(M243)</f>
        <v>242427.24000000005</v>
      </c>
    </row>
    <row r="243" spans="1:13" ht="30" customHeight="1" x14ac:dyDescent="0.25">
      <c r="A243" s="76"/>
      <c r="B243" s="70"/>
      <c r="C243" s="357" t="s">
        <v>618</v>
      </c>
      <c r="D243" s="358"/>
      <c r="E243" s="117"/>
      <c r="F243" s="41" t="s">
        <v>392</v>
      </c>
      <c r="G243" s="42">
        <v>29</v>
      </c>
      <c r="H243" s="1">
        <v>6906.2400000000007</v>
      </c>
      <c r="I243" s="43">
        <f t="shared" ref="I243" si="96">+H243*G243</f>
        <v>200280.96000000002</v>
      </c>
      <c r="J243" s="1">
        <v>1453.3200000000002</v>
      </c>
      <c r="K243" s="43">
        <f t="shared" ref="K243" si="97">+J243*G243</f>
        <v>42146.280000000006</v>
      </c>
      <c r="L243" s="44">
        <f t="shared" ref="L243" si="98">+J243+H243</f>
        <v>8359.5600000000013</v>
      </c>
      <c r="M243" s="43">
        <f t="shared" ref="M243" si="99">+L243*G243</f>
        <v>242427.24000000005</v>
      </c>
    </row>
    <row r="244" spans="1:13" ht="30" customHeight="1" x14ac:dyDescent="0.25">
      <c r="A244" s="76"/>
      <c r="B244" s="37" t="s">
        <v>619</v>
      </c>
      <c r="C244" s="270" t="s">
        <v>621</v>
      </c>
      <c r="D244" s="271"/>
      <c r="E244" s="77"/>
      <c r="F244" s="97"/>
      <c r="G244" s="84"/>
      <c r="H244" s="78"/>
      <c r="I244" s="79">
        <f>SUM(I245)</f>
        <v>696960</v>
      </c>
      <c r="J244" s="78"/>
      <c r="K244" s="79">
        <f>SUM(K245)</f>
        <v>79833.600000000006</v>
      </c>
      <c r="L244" s="78"/>
      <c r="M244" s="79">
        <f>SUM(M245)</f>
        <v>776793.59999999998</v>
      </c>
    </row>
    <row r="245" spans="1:13" ht="30" customHeight="1" x14ac:dyDescent="0.25">
      <c r="A245" s="76"/>
      <c r="B245" s="70"/>
      <c r="C245" s="329" t="s">
        <v>620</v>
      </c>
      <c r="D245" s="358"/>
      <c r="E245" s="117"/>
      <c r="F245" s="41" t="s">
        <v>392</v>
      </c>
      <c r="G245" s="42">
        <v>8</v>
      </c>
      <c r="H245" s="1">
        <v>87120</v>
      </c>
      <c r="I245" s="43">
        <f t="shared" ref="I245" si="100">+H245*G245</f>
        <v>696960</v>
      </c>
      <c r="J245" s="1">
        <v>9979.2000000000007</v>
      </c>
      <c r="K245" s="43">
        <f t="shared" ref="K245" si="101">+J245*G245</f>
        <v>79833.600000000006</v>
      </c>
      <c r="L245" s="44">
        <f t="shared" ref="L245" si="102">+J245+H245</f>
        <v>97099.199999999997</v>
      </c>
      <c r="M245" s="43">
        <f t="shared" ref="M245" si="103">+L245*G245</f>
        <v>776793.59999999998</v>
      </c>
    </row>
    <row r="246" spans="1:13" ht="30" customHeight="1" x14ac:dyDescent="0.25">
      <c r="A246" s="76"/>
      <c r="B246" s="37" t="s">
        <v>622</v>
      </c>
      <c r="C246" s="270" t="s">
        <v>623</v>
      </c>
      <c r="D246" s="271"/>
      <c r="E246" s="77"/>
      <c r="F246" s="97"/>
      <c r="G246" s="84"/>
      <c r="H246" s="78"/>
      <c r="I246" s="79">
        <f>SUM(I247)</f>
        <v>10929.6</v>
      </c>
      <c r="J246" s="78"/>
      <c r="K246" s="79">
        <f>SUM(K247)</f>
        <v>1817.64</v>
      </c>
      <c r="L246" s="78"/>
      <c r="M246" s="79">
        <f>SUM(M247)</f>
        <v>12747.24</v>
      </c>
    </row>
    <row r="247" spans="1:13" ht="30" customHeight="1" x14ac:dyDescent="0.25">
      <c r="A247" s="76"/>
      <c r="B247" s="70"/>
      <c r="C247" s="329" t="s">
        <v>624</v>
      </c>
      <c r="D247" s="358"/>
      <c r="E247" s="117"/>
      <c r="F247" s="41" t="s">
        <v>392</v>
      </c>
      <c r="G247" s="42">
        <v>1</v>
      </c>
      <c r="H247" s="1">
        <v>10929.6</v>
      </c>
      <c r="I247" s="43">
        <f t="shared" ref="I247" si="104">+H247*G247</f>
        <v>10929.6</v>
      </c>
      <c r="J247" s="1">
        <v>1817.64</v>
      </c>
      <c r="K247" s="43">
        <f t="shared" ref="K247" si="105">+J247*G247</f>
        <v>1817.64</v>
      </c>
      <c r="L247" s="44">
        <f t="shared" ref="L247" si="106">+J247+H247</f>
        <v>12747.24</v>
      </c>
      <c r="M247" s="43">
        <f t="shared" ref="M247" si="107">+L247*G247</f>
        <v>12747.24</v>
      </c>
    </row>
    <row r="248" spans="1:13" ht="30" customHeight="1" x14ac:dyDescent="0.25">
      <c r="A248" s="76"/>
      <c r="B248" s="37" t="s">
        <v>625</v>
      </c>
      <c r="C248" s="270" t="s">
        <v>626</v>
      </c>
      <c r="D248" s="271"/>
      <c r="E248" s="77" t="s">
        <v>627</v>
      </c>
      <c r="F248" s="97"/>
      <c r="G248" s="84"/>
      <c r="H248" s="78"/>
      <c r="I248" s="79">
        <f>SUM(I249)</f>
        <v>7999.2000000000007</v>
      </c>
      <c r="J248" s="78"/>
      <c r="K248" s="79">
        <f>SUM(K249)</f>
        <v>1817.64</v>
      </c>
      <c r="L248" s="78"/>
      <c r="M248" s="79">
        <f>SUM(M249)</f>
        <v>9816.84</v>
      </c>
    </row>
    <row r="249" spans="1:13" ht="30" customHeight="1" x14ac:dyDescent="0.25">
      <c r="A249" s="76"/>
      <c r="B249" s="70"/>
      <c r="C249" s="329" t="s">
        <v>624</v>
      </c>
      <c r="D249" s="358"/>
      <c r="E249" s="117"/>
      <c r="F249" s="41" t="s">
        <v>392</v>
      </c>
      <c r="G249" s="42">
        <v>1</v>
      </c>
      <c r="H249" s="1">
        <v>7999.2000000000007</v>
      </c>
      <c r="I249" s="43">
        <f t="shared" ref="I249" si="108">+H249*G249</f>
        <v>7999.2000000000007</v>
      </c>
      <c r="J249" s="1">
        <v>1817.64</v>
      </c>
      <c r="K249" s="43">
        <f t="shared" ref="K249" si="109">+J249*G249</f>
        <v>1817.64</v>
      </c>
      <c r="L249" s="44">
        <f t="shared" ref="L249" si="110">+J249+H249</f>
        <v>9816.84</v>
      </c>
      <c r="M249" s="43">
        <f t="shared" ref="M249" si="111">+L249*G249</f>
        <v>9816.84</v>
      </c>
    </row>
    <row r="250" spans="1:13" ht="46.5" customHeight="1" x14ac:dyDescent="0.25">
      <c r="A250" s="76"/>
      <c r="B250" s="37" t="s">
        <v>628</v>
      </c>
      <c r="C250" s="270" t="s">
        <v>630</v>
      </c>
      <c r="D250" s="271"/>
      <c r="E250" s="77" t="s">
        <v>629</v>
      </c>
      <c r="F250" s="97"/>
      <c r="G250" s="84"/>
      <c r="H250" s="78"/>
      <c r="I250" s="79">
        <f>SUM(I251)</f>
        <v>123552</v>
      </c>
      <c r="J250" s="78"/>
      <c r="K250" s="79">
        <f>SUM(K251)</f>
        <v>14572.8</v>
      </c>
      <c r="L250" s="78"/>
      <c r="M250" s="79">
        <f>SUM(M251)</f>
        <v>138124.79999999999</v>
      </c>
    </row>
    <row r="251" spans="1:13" ht="30" customHeight="1" x14ac:dyDescent="0.25">
      <c r="A251" s="76"/>
      <c r="B251" s="70"/>
      <c r="C251" s="329" t="s">
        <v>631</v>
      </c>
      <c r="D251" s="358"/>
      <c r="E251" s="117"/>
      <c r="F251" s="41" t="s">
        <v>392</v>
      </c>
      <c r="G251" s="42">
        <v>1</v>
      </c>
      <c r="H251" s="1">
        <v>123552</v>
      </c>
      <c r="I251" s="43">
        <f t="shared" ref="I251" si="112">+H251*G251</f>
        <v>123552</v>
      </c>
      <c r="J251" s="1">
        <v>14572.8</v>
      </c>
      <c r="K251" s="43">
        <f t="shared" ref="K251" si="113">+J251*G251</f>
        <v>14572.8</v>
      </c>
      <c r="L251" s="44">
        <f t="shared" ref="L251" si="114">+J251+H251</f>
        <v>138124.79999999999</v>
      </c>
      <c r="M251" s="43">
        <f t="shared" ref="M251" si="115">+L251*G251</f>
        <v>138124.79999999999</v>
      </c>
    </row>
    <row r="252" spans="1:13" ht="30" customHeight="1" x14ac:dyDescent="0.25">
      <c r="A252" s="76"/>
      <c r="B252" s="37" t="s">
        <v>632</v>
      </c>
      <c r="C252" s="270" t="s">
        <v>633</v>
      </c>
      <c r="D252" s="271"/>
      <c r="E252" s="77" t="s">
        <v>570</v>
      </c>
      <c r="F252" s="97"/>
      <c r="G252" s="84"/>
      <c r="H252" s="78"/>
      <c r="I252" s="79">
        <f>SUM(I253)</f>
        <v>9991.0800000000017</v>
      </c>
      <c r="J252" s="78"/>
      <c r="K252" s="79">
        <f>SUM(K253)</f>
        <v>3643.2</v>
      </c>
      <c r="L252" s="78"/>
      <c r="M252" s="79">
        <f>SUM(M253)</f>
        <v>13634.280000000002</v>
      </c>
    </row>
    <row r="253" spans="1:13" ht="30" customHeight="1" x14ac:dyDescent="0.25">
      <c r="A253" s="76"/>
      <c r="B253" s="70"/>
      <c r="C253" s="329" t="s">
        <v>634</v>
      </c>
      <c r="D253" s="358"/>
      <c r="E253" s="117"/>
      <c r="F253" s="41" t="s">
        <v>392</v>
      </c>
      <c r="G253" s="42">
        <v>1</v>
      </c>
      <c r="H253" s="1">
        <v>9991.0800000000017</v>
      </c>
      <c r="I253" s="43">
        <f t="shared" ref="I253" si="116">+H253*G253</f>
        <v>9991.0800000000017</v>
      </c>
      <c r="J253" s="1">
        <v>3643.2</v>
      </c>
      <c r="K253" s="43">
        <f t="shared" ref="K253" si="117">+J253*G253</f>
        <v>3643.2</v>
      </c>
      <c r="L253" s="44">
        <f t="shared" ref="L253" si="118">+J253+H253</f>
        <v>13634.280000000002</v>
      </c>
      <c r="M253" s="43">
        <f t="shared" ref="M253" si="119">+L253*G253</f>
        <v>13634.280000000002</v>
      </c>
    </row>
    <row r="254" spans="1:13" ht="30" customHeight="1" x14ac:dyDescent="0.25">
      <c r="A254" s="76"/>
      <c r="B254" s="37" t="s">
        <v>635</v>
      </c>
      <c r="C254" s="270" t="s">
        <v>636</v>
      </c>
      <c r="D254" s="271"/>
      <c r="E254" s="77" t="s">
        <v>570</v>
      </c>
      <c r="F254" s="97"/>
      <c r="G254" s="84"/>
      <c r="H254" s="78"/>
      <c r="I254" s="79">
        <f>SUM(I255)</f>
        <v>11800.8</v>
      </c>
      <c r="J254" s="78"/>
      <c r="K254" s="79">
        <f>SUM(K255)</f>
        <v>3643.2</v>
      </c>
      <c r="L254" s="78"/>
      <c r="M254" s="79">
        <f>SUM(M255)</f>
        <v>15444</v>
      </c>
    </row>
    <row r="255" spans="1:13" ht="30" customHeight="1" x14ac:dyDescent="0.25">
      <c r="A255" s="76"/>
      <c r="B255" s="70"/>
      <c r="C255" s="329" t="s">
        <v>634</v>
      </c>
      <c r="D255" s="358"/>
      <c r="E255" s="117"/>
      <c r="F255" s="41" t="s">
        <v>392</v>
      </c>
      <c r="G255" s="42">
        <v>1</v>
      </c>
      <c r="H255" s="1">
        <v>11800.8</v>
      </c>
      <c r="I255" s="43">
        <f t="shared" ref="I255" si="120">+H255*G255</f>
        <v>11800.8</v>
      </c>
      <c r="J255" s="1">
        <v>3643.2</v>
      </c>
      <c r="K255" s="43">
        <f t="shared" ref="K255" si="121">+J255*G255</f>
        <v>3643.2</v>
      </c>
      <c r="L255" s="44">
        <f t="shared" ref="L255" si="122">+J255+H255</f>
        <v>15444</v>
      </c>
      <c r="M255" s="43">
        <f t="shared" ref="M255" si="123">+L255*G255</f>
        <v>15444</v>
      </c>
    </row>
    <row r="256" spans="1:13" ht="30" customHeight="1" x14ac:dyDescent="0.25">
      <c r="A256" s="76"/>
      <c r="B256" s="37" t="s">
        <v>637</v>
      </c>
      <c r="C256" s="270" t="s">
        <v>638</v>
      </c>
      <c r="D256" s="271"/>
      <c r="E256" s="77" t="s">
        <v>570</v>
      </c>
      <c r="F256" s="97"/>
      <c r="G256" s="84"/>
      <c r="H256" s="78"/>
      <c r="I256" s="79">
        <f>SUM(I257)</f>
        <v>11800.8</v>
      </c>
      <c r="J256" s="78"/>
      <c r="K256" s="79">
        <f>SUM(K257)</f>
        <v>3643.2</v>
      </c>
      <c r="L256" s="78"/>
      <c r="M256" s="79">
        <f>SUM(M257)</f>
        <v>15444</v>
      </c>
    </row>
    <row r="257" spans="1:13" ht="30" customHeight="1" thickBot="1" x14ac:dyDescent="0.3">
      <c r="A257" s="76"/>
      <c r="B257" s="70"/>
      <c r="C257" s="329" t="s">
        <v>634</v>
      </c>
      <c r="D257" s="358"/>
      <c r="E257" s="117"/>
      <c r="F257" s="41" t="s">
        <v>392</v>
      </c>
      <c r="G257" s="42">
        <v>1</v>
      </c>
      <c r="H257" s="1">
        <v>11800.8</v>
      </c>
      <c r="I257" s="43">
        <f t="shared" ref="I257" si="124">+H257*G257</f>
        <v>11800.8</v>
      </c>
      <c r="J257" s="1">
        <v>3643.2</v>
      </c>
      <c r="K257" s="43">
        <f t="shared" ref="K257" si="125">+J257*G257</f>
        <v>3643.2</v>
      </c>
      <c r="L257" s="44">
        <f t="shared" ref="L257" si="126">+J257+H257</f>
        <v>15444</v>
      </c>
      <c r="M257" s="43">
        <f t="shared" ref="M257" si="127">+L257*G257</f>
        <v>15444</v>
      </c>
    </row>
    <row r="258" spans="1:13" ht="37.5" customHeight="1" thickTop="1" thickBot="1" x14ac:dyDescent="0.3">
      <c r="A258" s="53"/>
      <c r="B258" s="54" t="s">
        <v>639</v>
      </c>
      <c r="C258" s="272" t="s">
        <v>640</v>
      </c>
      <c r="D258" s="273"/>
      <c r="E258" s="273"/>
      <c r="F258" s="31"/>
      <c r="G258" s="32"/>
      <c r="H258" s="33"/>
      <c r="I258" s="34">
        <f>+I259+I279+I301+I314+I320+I329+I337+I346+I351+I359+I365+I368+I373+I375+I378+I384+I393+I396+I399+I403+I406+I408+I410+I415+I418+I420+I422+I424+I426+I428+I430+I439+I441+I443+I445+I447</f>
        <v>11131145.7345</v>
      </c>
      <c r="J258" s="33"/>
      <c r="K258" s="34">
        <f>+K259+K279+K301+K314+K320+K329+K337+K346+K351+K359+K365+K368+K373+K375+K378+K384+K393+K396+K399+K403+K406+K408+K410+K415+K418+K420+K422+K424+K426+K428+K430+K439+K441+K443+K445+K447</f>
        <v>2462647.5249999999</v>
      </c>
      <c r="L258" s="35"/>
      <c r="M258" s="34">
        <f>+M259+M279+M301+M314+M320+M329+M337+M346+M351+M359+M365+M368+M373+M375+M378+M384+M393+M396+M399+M403+M406+M408+M410+M415+M418+M420+M422+M424+M426+M428+M430+M439+M441+M443+M445+M447</f>
        <v>13593793.259500001</v>
      </c>
    </row>
    <row r="259" spans="1:13" ht="30" customHeight="1" thickTop="1" x14ac:dyDescent="0.25">
      <c r="A259" s="69"/>
      <c r="B259" s="70" t="s">
        <v>641</v>
      </c>
      <c r="C259" s="274" t="s">
        <v>642</v>
      </c>
      <c r="D259" s="275"/>
      <c r="E259" s="71"/>
      <c r="F259" s="90"/>
      <c r="G259" s="73"/>
      <c r="H259" s="74"/>
      <c r="I259" s="75">
        <f>SUM(I260:I278)</f>
        <v>0</v>
      </c>
      <c r="J259" s="74"/>
      <c r="K259" s="75">
        <f>SUM(K260:K278)</f>
        <v>146916</v>
      </c>
      <c r="L259" s="74"/>
      <c r="M259" s="75">
        <f>SUM(M260:M278)</f>
        <v>146916</v>
      </c>
    </row>
    <row r="260" spans="1:13" ht="30" customHeight="1" x14ac:dyDescent="0.25">
      <c r="A260" s="76"/>
      <c r="B260" s="359"/>
      <c r="C260" s="276" t="s">
        <v>644</v>
      </c>
      <c r="D260" s="278"/>
      <c r="E260" s="332" t="s">
        <v>643</v>
      </c>
      <c r="F260" s="41" t="s">
        <v>663</v>
      </c>
      <c r="G260" s="42">
        <v>6</v>
      </c>
      <c r="H260" s="118"/>
      <c r="I260" s="43">
        <f>+H260*G260</f>
        <v>0</v>
      </c>
      <c r="J260" s="1">
        <v>2100</v>
      </c>
      <c r="K260" s="43">
        <f>+J260*G260</f>
        <v>12600</v>
      </c>
      <c r="L260" s="44">
        <f>+J260+H260</f>
        <v>2100</v>
      </c>
      <c r="M260" s="43">
        <f>+L260*G260</f>
        <v>12600</v>
      </c>
    </row>
    <row r="261" spans="1:13" ht="30" customHeight="1" x14ac:dyDescent="0.25">
      <c r="A261" s="76"/>
      <c r="B261" s="360"/>
      <c r="C261" s="276" t="s">
        <v>645</v>
      </c>
      <c r="D261" s="278"/>
      <c r="E261" s="333"/>
      <c r="F261" s="41" t="s">
        <v>663</v>
      </c>
      <c r="G261" s="42">
        <v>3</v>
      </c>
      <c r="H261" s="118"/>
      <c r="I261" s="43">
        <f t="shared" ref="I261:I278" si="128">+H261*G261</f>
        <v>0</v>
      </c>
      <c r="J261" s="1">
        <v>581</v>
      </c>
      <c r="K261" s="43">
        <f t="shared" ref="K261:K278" si="129">+J261*G261</f>
        <v>1743</v>
      </c>
      <c r="L261" s="44">
        <f t="shared" ref="L261:L278" si="130">+J261+H261</f>
        <v>581</v>
      </c>
      <c r="M261" s="43">
        <f t="shared" ref="M261:M278" si="131">+L261*G261</f>
        <v>1743</v>
      </c>
    </row>
    <row r="262" spans="1:13" ht="30" customHeight="1" x14ac:dyDescent="0.25">
      <c r="A262" s="76"/>
      <c r="B262" s="360"/>
      <c r="C262" s="276" t="s">
        <v>646</v>
      </c>
      <c r="D262" s="278"/>
      <c r="E262" s="333"/>
      <c r="F262" s="41" t="s">
        <v>663</v>
      </c>
      <c r="G262" s="42">
        <v>9</v>
      </c>
      <c r="H262" s="118"/>
      <c r="I262" s="43">
        <f t="shared" si="128"/>
        <v>0</v>
      </c>
      <c r="J262" s="1">
        <v>2800</v>
      </c>
      <c r="K262" s="43">
        <f t="shared" si="129"/>
        <v>25200</v>
      </c>
      <c r="L262" s="44">
        <f t="shared" si="130"/>
        <v>2800</v>
      </c>
      <c r="M262" s="43">
        <f t="shared" si="131"/>
        <v>25200</v>
      </c>
    </row>
    <row r="263" spans="1:13" ht="30" customHeight="1" x14ac:dyDescent="0.25">
      <c r="A263" s="76"/>
      <c r="B263" s="360"/>
      <c r="C263" s="276" t="s">
        <v>647</v>
      </c>
      <c r="D263" s="278"/>
      <c r="E263" s="333"/>
      <c r="F263" s="41" t="s">
        <v>663</v>
      </c>
      <c r="G263" s="42">
        <v>9</v>
      </c>
      <c r="H263" s="118"/>
      <c r="I263" s="43">
        <f t="shared" si="128"/>
        <v>0</v>
      </c>
      <c r="J263" s="1">
        <v>581</v>
      </c>
      <c r="K263" s="43">
        <f t="shared" si="129"/>
        <v>5229</v>
      </c>
      <c r="L263" s="44">
        <f t="shared" si="130"/>
        <v>581</v>
      </c>
      <c r="M263" s="43">
        <f t="shared" si="131"/>
        <v>5229</v>
      </c>
    </row>
    <row r="264" spans="1:13" ht="30" customHeight="1" x14ac:dyDescent="0.25">
      <c r="A264" s="76"/>
      <c r="B264" s="360"/>
      <c r="C264" s="276" t="s">
        <v>648</v>
      </c>
      <c r="D264" s="278"/>
      <c r="E264" s="333"/>
      <c r="F264" s="41" t="s">
        <v>663</v>
      </c>
      <c r="G264" s="42">
        <v>9</v>
      </c>
      <c r="H264" s="118"/>
      <c r="I264" s="43">
        <f t="shared" si="128"/>
        <v>0</v>
      </c>
      <c r="J264" s="1">
        <v>581</v>
      </c>
      <c r="K264" s="43">
        <f t="shared" si="129"/>
        <v>5229</v>
      </c>
      <c r="L264" s="44">
        <f t="shared" si="130"/>
        <v>581</v>
      </c>
      <c r="M264" s="43">
        <f t="shared" si="131"/>
        <v>5229</v>
      </c>
    </row>
    <row r="265" spans="1:13" ht="30" customHeight="1" x14ac:dyDescent="0.25">
      <c r="A265" s="76"/>
      <c r="B265" s="360"/>
      <c r="C265" s="276" t="s">
        <v>649</v>
      </c>
      <c r="D265" s="278"/>
      <c r="E265" s="333"/>
      <c r="F265" s="41" t="s">
        <v>663</v>
      </c>
      <c r="G265" s="42">
        <v>10</v>
      </c>
      <c r="H265" s="118"/>
      <c r="I265" s="43">
        <f t="shared" si="128"/>
        <v>0</v>
      </c>
      <c r="J265" s="1">
        <v>2100</v>
      </c>
      <c r="K265" s="43">
        <f t="shared" si="129"/>
        <v>21000</v>
      </c>
      <c r="L265" s="44">
        <f t="shared" si="130"/>
        <v>2100</v>
      </c>
      <c r="M265" s="43">
        <f t="shared" si="131"/>
        <v>21000</v>
      </c>
    </row>
    <row r="266" spans="1:13" ht="30" customHeight="1" x14ac:dyDescent="0.25">
      <c r="A266" s="76"/>
      <c r="B266" s="360"/>
      <c r="C266" s="276" t="s">
        <v>650</v>
      </c>
      <c r="D266" s="278"/>
      <c r="E266" s="333"/>
      <c r="F266" s="41" t="s">
        <v>663</v>
      </c>
      <c r="G266" s="42">
        <v>3</v>
      </c>
      <c r="H266" s="118"/>
      <c r="I266" s="43">
        <f t="shared" si="128"/>
        <v>0</v>
      </c>
      <c r="J266" s="1">
        <v>2800</v>
      </c>
      <c r="K266" s="43">
        <f t="shared" si="129"/>
        <v>8400</v>
      </c>
      <c r="L266" s="44">
        <f t="shared" si="130"/>
        <v>2800</v>
      </c>
      <c r="M266" s="43">
        <f t="shared" si="131"/>
        <v>8400</v>
      </c>
    </row>
    <row r="267" spans="1:13" ht="30" customHeight="1" x14ac:dyDescent="0.25">
      <c r="A267" s="76"/>
      <c r="B267" s="360"/>
      <c r="C267" s="276" t="s">
        <v>651</v>
      </c>
      <c r="D267" s="278"/>
      <c r="E267" s="333"/>
      <c r="F267" s="41" t="s">
        <v>663</v>
      </c>
      <c r="G267" s="42">
        <v>14</v>
      </c>
      <c r="H267" s="118"/>
      <c r="I267" s="43">
        <f t="shared" si="128"/>
        <v>0</v>
      </c>
      <c r="J267" s="1">
        <v>581</v>
      </c>
      <c r="K267" s="43">
        <f t="shared" si="129"/>
        <v>8134</v>
      </c>
      <c r="L267" s="44">
        <f t="shared" si="130"/>
        <v>581</v>
      </c>
      <c r="M267" s="43">
        <f t="shared" si="131"/>
        <v>8134</v>
      </c>
    </row>
    <row r="268" spans="1:13" ht="30" customHeight="1" x14ac:dyDescent="0.25">
      <c r="A268" s="76"/>
      <c r="B268" s="360"/>
      <c r="C268" s="276" t="s">
        <v>652</v>
      </c>
      <c r="D268" s="278"/>
      <c r="E268" s="333"/>
      <c r="F268" s="41" t="s">
        <v>663</v>
      </c>
      <c r="G268" s="42">
        <v>14</v>
      </c>
      <c r="H268" s="118"/>
      <c r="I268" s="43">
        <f t="shared" si="128"/>
        <v>0</v>
      </c>
      <c r="J268" s="1">
        <v>581</v>
      </c>
      <c r="K268" s="43">
        <f t="shared" si="129"/>
        <v>8134</v>
      </c>
      <c r="L268" s="44">
        <f t="shared" si="130"/>
        <v>581</v>
      </c>
      <c r="M268" s="43">
        <f t="shared" si="131"/>
        <v>8134</v>
      </c>
    </row>
    <row r="269" spans="1:13" ht="30" customHeight="1" x14ac:dyDescent="0.25">
      <c r="A269" s="76"/>
      <c r="B269" s="360"/>
      <c r="C269" s="276" t="s">
        <v>653</v>
      </c>
      <c r="D269" s="278"/>
      <c r="E269" s="333"/>
      <c r="F269" s="41" t="s">
        <v>663</v>
      </c>
      <c r="G269" s="42">
        <v>6</v>
      </c>
      <c r="H269" s="118"/>
      <c r="I269" s="43">
        <f t="shared" si="128"/>
        <v>0</v>
      </c>
      <c r="J269" s="1">
        <v>2100</v>
      </c>
      <c r="K269" s="43">
        <f t="shared" si="129"/>
        <v>12600</v>
      </c>
      <c r="L269" s="44">
        <f t="shared" si="130"/>
        <v>2100</v>
      </c>
      <c r="M269" s="43">
        <f t="shared" si="131"/>
        <v>12600</v>
      </c>
    </row>
    <row r="270" spans="1:13" ht="30" customHeight="1" x14ac:dyDescent="0.25">
      <c r="A270" s="76"/>
      <c r="B270" s="360"/>
      <c r="C270" s="276" t="s">
        <v>654</v>
      </c>
      <c r="D270" s="278"/>
      <c r="E270" s="333"/>
      <c r="F270" s="41" t="s">
        <v>663</v>
      </c>
      <c r="G270" s="42">
        <v>6</v>
      </c>
      <c r="H270" s="118"/>
      <c r="I270" s="43">
        <f t="shared" si="128"/>
        <v>0</v>
      </c>
      <c r="J270" s="1">
        <v>581</v>
      </c>
      <c r="K270" s="43">
        <f t="shared" si="129"/>
        <v>3486</v>
      </c>
      <c r="L270" s="44">
        <f t="shared" si="130"/>
        <v>581</v>
      </c>
      <c r="M270" s="43">
        <f t="shared" si="131"/>
        <v>3486</v>
      </c>
    </row>
    <row r="271" spans="1:13" ht="30" customHeight="1" x14ac:dyDescent="0.25">
      <c r="A271" s="76"/>
      <c r="B271" s="360"/>
      <c r="C271" s="276" t="s">
        <v>655</v>
      </c>
      <c r="D271" s="278"/>
      <c r="E271" s="333"/>
      <c r="F271" s="41" t="s">
        <v>663</v>
      </c>
      <c r="G271" s="42">
        <v>6</v>
      </c>
      <c r="H271" s="118"/>
      <c r="I271" s="43">
        <f t="shared" si="128"/>
        <v>0</v>
      </c>
      <c r="J271" s="1">
        <v>581</v>
      </c>
      <c r="K271" s="43">
        <f t="shared" si="129"/>
        <v>3486</v>
      </c>
      <c r="L271" s="44">
        <f t="shared" si="130"/>
        <v>581</v>
      </c>
      <c r="M271" s="43">
        <f t="shared" si="131"/>
        <v>3486</v>
      </c>
    </row>
    <row r="272" spans="1:13" ht="30" customHeight="1" x14ac:dyDescent="0.25">
      <c r="A272" s="76"/>
      <c r="B272" s="360"/>
      <c r="C272" s="276" t="s">
        <v>656</v>
      </c>
      <c r="D272" s="278"/>
      <c r="E272" s="333"/>
      <c r="F272" s="41" t="s">
        <v>663</v>
      </c>
      <c r="G272" s="42">
        <v>6</v>
      </c>
      <c r="H272" s="118"/>
      <c r="I272" s="43">
        <f t="shared" si="128"/>
        <v>0</v>
      </c>
      <c r="J272" s="1">
        <v>2800</v>
      </c>
      <c r="K272" s="43">
        <f t="shared" si="129"/>
        <v>16800</v>
      </c>
      <c r="L272" s="44">
        <f t="shared" si="130"/>
        <v>2800</v>
      </c>
      <c r="M272" s="43">
        <f t="shared" si="131"/>
        <v>16800</v>
      </c>
    </row>
    <row r="273" spans="1:13" ht="30" customHeight="1" x14ac:dyDescent="0.25">
      <c r="A273" s="76"/>
      <c r="B273" s="360"/>
      <c r="C273" s="276" t="s">
        <v>657</v>
      </c>
      <c r="D273" s="278"/>
      <c r="E273" s="333"/>
      <c r="F273" s="41" t="s">
        <v>663</v>
      </c>
      <c r="G273" s="42">
        <v>6</v>
      </c>
      <c r="H273" s="118"/>
      <c r="I273" s="43">
        <f t="shared" si="128"/>
        <v>0</v>
      </c>
      <c r="J273" s="1">
        <v>1162</v>
      </c>
      <c r="K273" s="43">
        <f t="shared" si="129"/>
        <v>6972</v>
      </c>
      <c r="L273" s="44">
        <f t="shared" si="130"/>
        <v>1162</v>
      </c>
      <c r="M273" s="43">
        <f t="shared" si="131"/>
        <v>6972</v>
      </c>
    </row>
    <row r="274" spans="1:13" ht="30" customHeight="1" x14ac:dyDescent="0.25">
      <c r="A274" s="76"/>
      <c r="B274" s="360"/>
      <c r="C274" s="276" t="s">
        <v>658</v>
      </c>
      <c r="D274" s="278"/>
      <c r="E274" s="333"/>
      <c r="F274" s="41" t="s">
        <v>663</v>
      </c>
      <c r="G274" s="42">
        <v>1</v>
      </c>
      <c r="H274" s="118"/>
      <c r="I274" s="43">
        <f t="shared" si="128"/>
        <v>0</v>
      </c>
      <c r="J274" s="1">
        <v>2800</v>
      </c>
      <c r="K274" s="43">
        <f t="shared" si="129"/>
        <v>2800</v>
      </c>
      <c r="L274" s="44">
        <f t="shared" si="130"/>
        <v>2800</v>
      </c>
      <c r="M274" s="43">
        <f t="shared" si="131"/>
        <v>2800</v>
      </c>
    </row>
    <row r="275" spans="1:13" ht="30" customHeight="1" x14ac:dyDescent="0.25">
      <c r="A275" s="76"/>
      <c r="B275" s="360"/>
      <c r="C275" s="276" t="s">
        <v>659</v>
      </c>
      <c r="D275" s="278"/>
      <c r="E275" s="333"/>
      <c r="F275" s="41" t="s">
        <v>663</v>
      </c>
      <c r="G275" s="42">
        <v>1</v>
      </c>
      <c r="H275" s="118"/>
      <c r="I275" s="43">
        <f t="shared" si="128"/>
        <v>0</v>
      </c>
      <c r="J275" s="1">
        <v>581</v>
      </c>
      <c r="K275" s="43">
        <f t="shared" si="129"/>
        <v>581</v>
      </c>
      <c r="L275" s="44">
        <f t="shared" si="130"/>
        <v>581</v>
      </c>
      <c r="M275" s="43">
        <f t="shared" si="131"/>
        <v>581</v>
      </c>
    </row>
    <row r="276" spans="1:13" ht="30" customHeight="1" x14ac:dyDescent="0.25">
      <c r="A276" s="76"/>
      <c r="B276" s="360"/>
      <c r="C276" s="276" t="s">
        <v>660</v>
      </c>
      <c r="D276" s="278"/>
      <c r="E276" s="333"/>
      <c r="F276" s="41" t="s">
        <v>663</v>
      </c>
      <c r="G276" s="42">
        <v>1</v>
      </c>
      <c r="H276" s="118"/>
      <c r="I276" s="43">
        <f t="shared" si="128"/>
        <v>0</v>
      </c>
      <c r="J276" s="1">
        <v>1141</v>
      </c>
      <c r="K276" s="43">
        <f t="shared" si="129"/>
        <v>1141</v>
      </c>
      <c r="L276" s="44">
        <f t="shared" si="130"/>
        <v>1141</v>
      </c>
      <c r="M276" s="43">
        <f t="shared" si="131"/>
        <v>1141</v>
      </c>
    </row>
    <row r="277" spans="1:13" ht="30" customHeight="1" x14ac:dyDescent="0.25">
      <c r="A277" s="76"/>
      <c r="B277" s="360"/>
      <c r="C277" s="276" t="s">
        <v>661</v>
      </c>
      <c r="D277" s="278"/>
      <c r="E277" s="333"/>
      <c r="F277" s="41" t="s">
        <v>663</v>
      </c>
      <c r="G277" s="42">
        <v>1</v>
      </c>
      <c r="H277" s="118"/>
      <c r="I277" s="43">
        <f t="shared" si="128"/>
        <v>0</v>
      </c>
      <c r="J277" s="1">
        <v>2800</v>
      </c>
      <c r="K277" s="43">
        <f t="shared" si="129"/>
        <v>2800</v>
      </c>
      <c r="L277" s="44">
        <f t="shared" si="130"/>
        <v>2800</v>
      </c>
      <c r="M277" s="43">
        <f t="shared" si="131"/>
        <v>2800</v>
      </c>
    </row>
    <row r="278" spans="1:13" ht="30" customHeight="1" x14ac:dyDescent="0.25">
      <c r="A278" s="76"/>
      <c r="B278" s="361"/>
      <c r="C278" s="276" t="s">
        <v>662</v>
      </c>
      <c r="D278" s="278"/>
      <c r="E278" s="334"/>
      <c r="F278" s="41" t="s">
        <v>663</v>
      </c>
      <c r="G278" s="42">
        <v>1</v>
      </c>
      <c r="H278" s="118"/>
      <c r="I278" s="43">
        <f t="shared" si="128"/>
        <v>0</v>
      </c>
      <c r="J278" s="1">
        <v>581</v>
      </c>
      <c r="K278" s="43">
        <f t="shared" si="129"/>
        <v>581</v>
      </c>
      <c r="L278" s="44">
        <f t="shared" si="130"/>
        <v>581</v>
      </c>
      <c r="M278" s="43">
        <f t="shared" si="131"/>
        <v>581</v>
      </c>
    </row>
    <row r="279" spans="1:13" ht="30" customHeight="1" x14ac:dyDescent="0.25">
      <c r="A279" s="76"/>
      <c r="B279" s="37" t="s">
        <v>665</v>
      </c>
      <c r="C279" s="270" t="s">
        <v>664</v>
      </c>
      <c r="D279" s="271"/>
      <c r="E279" s="77" t="s">
        <v>681</v>
      </c>
      <c r="F279" s="97"/>
      <c r="G279" s="84"/>
      <c r="H279" s="78"/>
      <c r="I279" s="79">
        <f>SUM(I280:I300)</f>
        <v>970000</v>
      </c>
      <c r="J279" s="78"/>
      <c r="K279" s="79">
        <f>SUM(K280:K300)</f>
        <v>87000</v>
      </c>
      <c r="L279" s="78"/>
      <c r="M279" s="79">
        <f>SUM(M280:M300)</f>
        <v>1057000</v>
      </c>
    </row>
    <row r="280" spans="1:13" ht="30" customHeight="1" x14ac:dyDescent="0.25">
      <c r="A280" s="76"/>
      <c r="B280" s="359"/>
      <c r="C280" s="354" t="s">
        <v>666</v>
      </c>
      <c r="D280" s="355"/>
      <c r="E280" s="332"/>
      <c r="F280" s="335" t="s">
        <v>18</v>
      </c>
      <c r="G280" s="347">
        <v>1</v>
      </c>
      <c r="H280" s="344">
        <v>350000</v>
      </c>
      <c r="I280" s="338">
        <f t="shared" ref="I280" si="132">+H280*G280</f>
        <v>350000</v>
      </c>
      <c r="J280" s="344">
        <v>29000</v>
      </c>
      <c r="K280" s="338">
        <f>+J280*G280</f>
        <v>29000</v>
      </c>
      <c r="L280" s="367">
        <f>+H280+J280</f>
        <v>379000</v>
      </c>
      <c r="M280" s="338">
        <f>+L280*G280</f>
        <v>379000</v>
      </c>
    </row>
    <row r="281" spans="1:13" ht="30" customHeight="1" x14ac:dyDescent="0.25">
      <c r="A281" s="76"/>
      <c r="B281" s="360"/>
      <c r="C281" s="350" t="s">
        <v>667</v>
      </c>
      <c r="D281" s="351"/>
      <c r="E281" s="333"/>
      <c r="F281" s="336"/>
      <c r="G281" s="348"/>
      <c r="H281" s="345"/>
      <c r="I281" s="339"/>
      <c r="J281" s="345"/>
      <c r="K281" s="339"/>
      <c r="L281" s="368"/>
      <c r="M281" s="339"/>
    </row>
    <row r="282" spans="1:13" ht="30" customHeight="1" x14ac:dyDescent="0.25">
      <c r="A282" s="76"/>
      <c r="B282" s="360"/>
      <c r="C282" s="350" t="s">
        <v>668</v>
      </c>
      <c r="D282" s="351"/>
      <c r="E282" s="333"/>
      <c r="F282" s="336"/>
      <c r="G282" s="348"/>
      <c r="H282" s="345"/>
      <c r="I282" s="339"/>
      <c r="J282" s="345"/>
      <c r="K282" s="339"/>
      <c r="L282" s="368"/>
      <c r="M282" s="339"/>
    </row>
    <row r="283" spans="1:13" ht="30" customHeight="1" x14ac:dyDescent="0.25">
      <c r="A283" s="76"/>
      <c r="B283" s="360"/>
      <c r="C283" s="350" t="s">
        <v>669</v>
      </c>
      <c r="D283" s="351"/>
      <c r="E283" s="333"/>
      <c r="F283" s="336"/>
      <c r="G283" s="348"/>
      <c r="H283" s="345"/>
      <c r="I283" s="339"/>
      <c r="J283" s="345"/>
      <c r="K283" s="339"/>
      <c r="L283" s="368"/>
      <c r="M283" s="339"/>
    </row>
    <row r="284" spans="1:13" ht="30" customHeight="1" x14ac:dyDescent="0.25">
      <c r="A284" s="76"/>
      <c r="B284" s="360"/>
      <c r="C284" s="350" t="s">
        <v>670</v>
      </c>
      <c r="D284" s="351"/>
      <c r="E284" s="333"/>
      <c r="F284" s="336"/>
      <c r="G284" s="348"/>
      <c r="H284" s="345"/>
      <c r="I284" s="339"/>
      <c r="J284" s="345"/>
      <c r="K284" s="339"/>
      <c r="L284" s="368"/>
      <c r="M284" s="339"/>
    </row>
    <row r="285" spans="1:13" ht="30" customHeight="1" x14ac:dyDescent="0.25">
      <c r="A285" s="76"/>
      <c r="B285" s="360"/>
      <c r="C285" s="350" t="s">
        <v>671</v>
      </c>
      <c r="D285" s="351"/>
      <c r="E285" s="333"/>
      <c r="F285" s="336"/>
      <c r="G285" s="348"/>
      <c r="H285" s="345"/>
      <c r="I285" s="339"/>
      <c r="J285" s="345"/>
      <c r="K285" s="339"/>
      <c r="L285" s="368"/>
      <c r="M285" s="339"/>
    </row>
    <row r="286" spans="1:13" ht="30" customHeight="1" x14ac:dyDescent="0.25">
      <c r="A286" s="76"/>
      <c r="B286" s="361"/>
      <c r="C286" s="352" t="s">
        <v>672</v>
      </c>
      <c r="D286" s="353"/>
      <c r="E286" s="334"/>
      <c r="F286" s="337"/>
      <c r="G286" s="349"/>
      <c r="H286" s="346"/>
      <c r="I286" s="340"/>
      <c r="J286" s="346"/>
      <c r="K286" s="340"/>
      <c r="L286" s="371"/>
      <c r="M286" s="340"/>
    </row>
    <row r="287" spans="1:13" ht="30" customHeight="1" x14ac:dyDescent="0.25">
      <c r="A287" s="76"/>
      <c r="B287" s="359"/>
      <c r="C287" s="354" t="s">
        <v>673</v>
      </c>
      <c r="D287" s="355"/>
      <c r="E287" s="332"/>
      <c r="F287" s="335" t="s">
        <v>18</v>
      </c>
      <c r="G287" s="347">
        <v>1</v>
      </c>
      <c r="H287" s="344">
        <v>310000</v>
      </c>
      <c r="I287" s="338">
        <f t="shared" ref="I287" si="133">+H287*G287</f>
        <v>310000</v>
      </c>
      <c r="J287" s="344">
        <v>29000</v>
      </c>
      <c r="K287" s="338">
        <f>+J287*G287</f>
        <v>29000</v>
      </c>
      <c r="L287" s="367">
        <f>+H287+J287</f>
        <v>339000</v>
      </c>
      <c r="M287" s="338">
        <f>+L287*G287</f>
        <v>339000</v>
      </c>
    </row>
    <row r="288" spans="1:13" ht="30" customHeight="1" x14ac:dyDescent="0.25">
      <c r="A288" s="76"/>
      <c r="B288" s="360"/>
      <c r="C288" s="350" t="s">
        <v>667</v>
      </c>
      <c r="D288" s="351"/>
      <c r="E288" s="333"/>
      <c r="F288" s="336"/>
      <c r="G288" s="348"/>
      <c r="H288" s="345"/>
      <c r="I288" s="339"/>
      <c r="J288" s="345"/>
      <c r="K288" s="339"/>
      <c r="L288" s="368"/>
      <c r="M288" s="339"/>
    </row>
    <row r="289" spans="1:13" ht="30" customHeight="1" x14ac:dyDescent="0.25">
      <c r="A289" s="76"/>
      <c r="B289" s="360"/>
      <c r="C289" s="350" t="s">
        <v>668</v>
      </c>
      <c r="D289" s="351"/>
      <c r="E289" s="333"/>
      <c r="F289" s="336"/>
      <c r="G289" s="348"/>
      <c r="H289" s="345"/>
      <c r="I289" s="339"/>
      <c r="J289" s="345"/>
      <c r="K289" s="339"/>
      <c r="L289" s="368"/>
      <c r="M289" s="339"/>
    </row>
    <row r="290" spans="1:13" ht="30" customHeight="1" x14ac:dyDescent="0.25">
      <c r="A290" s="76"/>
      <c r="B290" s="360"/>
      <c r="C290" s="350" t="s">
        <v>669</v>
      </c>
      <c r="D290" s="351"/>
      <c r="E290" s="333"/>
      <c r="F290" s="336"/>
      <c r="G290" s="348"/>
      <c r="H290" s="345"/>
      <c r="I290" s="339"/>
      <c r="J290" s="345"/>
      <c r="K290" s="339"/>
      <c r="L290" s="368"/>
      <c r="M290" s="339"/>
    </row>
    <row r="291" spans="1:13" ht="30" customHeight="1" x14ac:dyDescent="0.25">
      <c r="A291" s="76"/>
      <c r="B291" s="360"/>
      <c r="C291" s="350" t="s">
        <v>674</v>
      </c>
      <c r="D291" s="351"/>
      <c r="E291" s="333"/>
      <c r="F291" s="336"/>
      <c r="G291" s="348"/>
      <c r="H291" s="345"/>
      <c r="I291" s="339"/>
      <c r="J291" s="345"/>
      <c r="K291" s="339"/>
      <c r="L291" s="368"/>
      <c r="M291" s="339"/>
    </row>
    <row r="292" spans="1:13" ht="30" customHeight="1" x14ac:dyDescent="0.25">
      <c r="A292" s="76"/>
      <c r="B292" s="360"/>
      <c r="C292" s="350" t="s">
        <v>675</v>
      </c>
      <c r="D292" s="351"/>
      <c r="E292" s="333"/>
      <c r="F292" s="336"/>
      <c r="G292" s="348"/>
      <c r="H292" s="345"/>
      <c r="I292" s="339"/>
      <c r="J292" s="345"/>
      <c r="K292" s="339"/>
      <c r="L292" s="368"/>
      <c r="M292" s="339"/>
    </row>
    <row r="293" spans="1:13" ht="30" customHeight="1" x14ac:dyDescent="0.25">
      <c r="A293" s="76"/>
      <c r="B293" s="361"/>
      <c r="C293" s="352" t="s">
        <v>676</v>
      </c>
      <c r="D293" s="353"/>
      <c r="E293" s="334"/>
      <c r="F293" s="337"/>
      <c r="G293" s="349"/>
      <c r="H293" s="346"/>
      <c r="I293" s="340"/>
      <c r="J293" s="346"/>
      <c r="K293" s="340"/>
      <c r="L293" s="371"/>
      <c r="M293" s="340"/>
    </row>
    <row r="294" spans="1:13" ht="30" customHeight="1" x14ac:dyDescent="0.25">
      <c r="A294" s="76"/>
      <c r="B294" s="359"/>
      <c r="C294" s="354" t="s">
        <v>677</v>
      </c>
      <c r="D294" s="355"/>
      <c r="E294" s="332"/>
      <c r="F294" s="335" t="s">
        <v>18</v>
      </c>
      <c r="G294" s="347">
        <v>1</v>
      </c>
      <c r="H294" s="344">
        <v>310000</v>
      </c>
      <c r="I294" s="338">
        <f t="shared" ref="I294" si="134">+H294*G294</f>
        <v>310000</v>
      </c>
      <c r="J294" s="344">
        <v>29000</v>
      </c>
      <c r="K294" s="338">
        <f>+J294*G294</f>
        <v>29000</v>
      </c>
      <c r="L294" s="367">
        <f>+H294+J294</f>
        <v>339000</v>
      </c>
      <c r="M294" s="338">
        <f>+L294*G294</f>
        <v>339000</v>
      </c>
    </row>
    <row r="295" spans="1:13" ht="30" customHeight="1" x14ac:dyDescent="0.25">
      <c r="A295" s="76"/>
      <c r="B295" s="360"/>
      <c r="C295" s="350" t="s">
        <v>667</v>
      </c>
      <c r="D295" s="351"/>
      <c r="E295" s="333"/>
      <c r="F295" s="336"/>
      <c r="G295" s="348"/>
      <c r="H295" s="345"/>
      <c r="I295" s="339"/>
      <c r="J295" s="345"/>
      <c r="K295" s="339"/>
      <c r="L295" s="368"/>
      <c r="M295" s="339"/>
    </row>
    <row r="296" spans="1:13" ht="30" customHeight="1" x14ac:dyDescent="0.25">
      <c r="A296" s="76"/>
      <c r="B296" s="360"/>
      <c r="C296" s="350" t="s">
        <v>668</v>
      </c>
      <c r="D296" s="351"/>
      <c r="E296" s="333"/>
      <c r="F296" s="336"/>
      <c r="G296" s="348"/>
      <c r="H296" s="345"/>
      <c r="I296" s="339"/>
      <c r="J296" s="345"/>
      <c r="K296" s="339"/>
      <c r="L296" s="368"/>
      <c r="M296" s="339"/>
    </row>
    <row r="297" spans="1:13" ht="30" customHeight="1" x14ac:dyDescent="0.25">
      <c r="A297" s="76"/>
      <c r="B297" s="360"/>
      <c r="C297" s="350" t="s">
        <v>669</v>
      </c>
      <c r="D297" s="351"/>
      <c r="E297" s="333"/>
      <c r="F297" s="336"/>
      <c r="G297" s="348"/>
      <c r="H297" s="345"/>
      <c r="I297" s="339"/>
      <c r="J297" s="345"/>
      <c r="K297" s="339"/>
      <c r="L297" s="368"/>
      <c r="M297" s="339"/>
    </row>
    <row r="298" spans="1:13" ht="30" customHeight="1" x14ac:dyDescent="0.25">
      <c r="A298" s="76"/>
      <c r="B298" s="360"/>
      <c r="C298" s="350" t="s">
        <v>678</v>
      </c>
      <c r="D298" s="351"/>
      <c r="E298" s="333"/>
      <c r="F298" s="336"/>
      <c r="G298" s="348"/>
      <c r="H298" s="345"/>
      <c r="I298" s="339"/>
      <c r="J298" s="345"/>
      <c r="K298" s="339"/>
      <c r="L298" s="368"/>
      <c r="M298" s="339"/>
    </row>
    <row r="299" spans="1:13" ht="30" customHeight="1" x14ac:dyDescent="0.25">
      <c r="A299" s="76"/>
      <c r="B299" s="360"/>
      <c r="C299" s="350" t="s">
        <v>675</v>
      </c>
      <c r="D299" s="351"/>
      <c r="E299" s="333"/>
      <c r="F299" s="336"/>
      <c r="G299" s="348"/>
      <c r="H299" s="345"/>
      <c r="I299" s="339"/>
      <c r="J299" s="345"/>
      <c r="K299" s="339"/>
      <c r="L299" s="368"/>
      <c r="M299" s="339"/>
    </row>
    <row r="300" spans="1:13" ht="30" customHeight="1" x14ac:dyDescent="0.25">
      <c r="A300" s="76"/>
      <c r="B300" s="361"/>
      <c r="C300" s="352" t="s">
        <v>672</v>
      </c>
      <c r="D300" s="353"/>
      <c r="E300" s="334"/>
      <c r="F300" s="337"/>
      <c r="G300" s="349"/>
      <c r="H300" s="346"/>
      <c r="I300" s="340"/>
      <c r="J300" s="346"/>
      <c r="K300" s="340"/>
      <c r="L300" s="371"/>
      <c r="M300" s="340"/>
    </row>
    <row r="301" spans="1:13" ht="30" customHeight="1" x14ac:dyDescent="0.25">
      <c r="A301" s="76"/>
      <c r="B301" s="37" t="s">
        <v>679</v>
      </c>
      <c r="C301" s="270" t="s">
        <v>680</v>
      </c>
      <c r="D301" s="271"/>
      <c r="E301" s="77" t="s">
        <v>681</v>
      </c>
      <c r="F301" s="97"/>
      <c r="G301" s="84"/>
      <c r="H301" s="78"/>
      <c r="I301" s="79">
        <f>SUM(I302:I313)</f>
        <v>400000</v>
      </c>
      <c r="J301" s="78"/>
      <c r="K301" s="79">
        <f>SUM(K302:K313)</f>
        <v>50000</v>
      </c>
      <c r="L301" s="78"/>
      <c r="M301" s="79">
        <f>SUM(M302:M313)</f>
        <v>450000</v>
      </c>
    </row>
    <row r="302" spans="1:13" ht="30" customHeight="1" x14ac:dyDescent="0.25">
      <c r="A302" s="76"/>
      <c r="B302" s="359"/>
      <c r="C302" s="354" t="s">
        <v>682</v>
      </c>
      <c r="D302" s="355"/>
      <c r="E302" s="332" t="s">
        <v>688</v>
      </c>
      <c r="F302" s="335" t="s">
        <v>18</v>
      </c>
      <c r="G302" s="347">
        <v>1</v>
      </c>
      <c r="H302" s="344">
        <v>225000</v>
      </c>
      <c r="I302" s="338">
        <f t="shared" ref="I302" si="135">+H302*G302</f>
        <v>225000</v>
      </c>
      <c r="J302" s="344">
        <v>25000</v>
      </c>
      <c r="K302" s="338">
        <f>+J302*G302</f>
        <v>25000</v>
      </c>
      <c r="L302" s="367">
        <f>+H302+J302</f>
        <v>250000</v>
      </c>
      <c r="M302" s="338">
        <f>+L302*G302</f>
        <v>250000</v>
      </c>
    </row>
    <row r="303" spans="1:13" ht="30" customHeight="1" x14ac:dyDescent="0.25">
      <c r="A303" s="76"/>
      <c r="B303" s="360"/>
      <c r="C303" s="350" t="s">
        <v>683</v>
      </c>
      <c r="D303" s="351"/>
      <c r="E303" s="333"/>
      <c r="F303" s="336"/>
      <c r="G303" s="348"/>
      <c r="H303" s="345"/>
      <c r="I303" s="339"/>
      <c r="J303" s="345"/>
      <c r="K303" s="339"/>
      <c r="L303" s="368"/>
      <c r="M303" s="339"/>
    </row>
    <row r="304" spans="1:13" ht="30" customHeight="1" x14ac:dyDescent="0.25">
      <c r="A304" s="76"/>
      <c r="B304" s="360"/>
      <c r="C304" s="350" t="s">
        <v>684</v>
      </c>
      <c r="D304" s="351"/>
      <c r="E304" s="333"/>
      <c r="F304" s="336"/>
      <c r="G304" s="348"/>
      <c r="H304" s="345"/>
      <c r="I304" s="339"/>
      <c r="J304" s="345"/>
      <c r="K304" s="339"/>
      <c r="L304" s="368"/>
      <c r="M304" s="339"/>
    </row>
    <row r="305" spans="1:13" ht="30" customHeight="1" x14ac:dyDescent="0.25">
      <c r="A305" s="76"/>
      <c r="B305" s="360"/>
      <c r="C305" s="350" t="s">
        <v>685</v>
      </c>
      <c r="D305" s="351"/>
      <c r="E305" s="333"/>
      <c r="F305" s="336"/>
      <c r="G305" s="348"/>
      <c r="H305" s="345"/>
      <c r="I305" s="339"/>
      <c r="J305" s="345"/>
      <c r="K305" s="339"/>
      <c r="L305" s="368"/>
      <c r="M305" s="339"/>
    </row>
    <row r="306" spans="1:13" ht="30" customHeight="1" x14ac:dyDescent="0.25">
      <c r="A306" s="76"/>
      <c r="B306" s="360"/>
      <c r="C306" s="350" t="s">
        <v>686</v>
      </c>
      <c r="D306" s="351"/>
      <c r="E306" s="333"/>
      <c r="F306" s="336"/>
      <c r="G306" s="348"/>
      <c r="H306" s="345"/>
      <c r="I306" s="339"/>
      <c r="J306" s="345"/>
      <c r="K306" s="339"/>
      <c r="L306" s="368"/>
      <c r="M306" s="339"/>
    </row>
    <row r="307" spans="1:13" ht="30" customHeight="1" x14ac:dyDescent="0.25">
      <c r="A307" s="76"/>
      <c r="B307" s="361"/>
      <c r="C307" s="352" t="s">
        <v>687</v>
      </c>
      <c r="D307" s="353"/>
      <c r="E307" s="333"/>
      <c r="F307" s="337"/>
      <c r="G307" s="349"/>
      <c r="H307" s="346"/>
      <c r="I307" s="340"/>
      <c r="J307" s="346"/>
      <c r="K307" s="340"/>
      <c r="L307" s="371"/>
      <c r="M307" s="340"/>
    </row>
    <row r="308" spans="1:13" ht="30" customHeight="1" x14ac:dyDescent="0.25">
      <c r="A308" s="76"/>
      <c r="B308" s="359"/>
      <c r="C308" s="375" t="s">
        <v>689</v>
      </c>
      <c r="D308" s="376"/>
      <c r="E308" s="333"/>
      <c r="F308" s="335" t="s">
        <v>18</v>
      </c>
      <c r="G308" s="347">
        <v>1</v>
      </c>
      <c r="H308" s="344">
        <v>175000</v>
      </c>
      <c r="I308" s="338">
        <f t="shared" ref="I308" si="136">+H308*G308</f>
        <v>175000</v>
      </c>
      <c r="J308" s="344">
        <v>25000</v>
      </c>
      <c r="K308" s="338">
        <f>+J308*G308</f>
        <v>25000</v>
      </c>
      <c r="L308" s="367">
        <f>+H308+J308</f>
        <v>200000</v>
      </c>
      <c r="M308" s="338">
        <f>+L308*G308</f>
        <v>200000</v>
      </c>
    </row>
    <row r="309" spans="1:13" ht="30" customHeight="1" x14ac:dyDescent="0.25">
      <c r="A309" s="76"/>
      <c r="B309" s="360"/>
      <c r="C309" s="377" t="s">
        <v>690</v>
      </c>
      <c r="D309" s="378"/>
      <c r="E309" s="333"/>
      <c r="F309" s="336"/>
      <c r="G309" s="348"/>
      <c r="H309" s="345"/>
      <c r="I309" s="339"/>
      <c r="J309" s="345"/>
      <c r="K309" s="339"/>
      <c r="L309" s="368"/>
      <c r="M309" s="339"/>
    </row>
    <row r="310" spans="1:13" ht="30" customHeight="1" x14ac:dyDescent="0.25">
      <c r="A310" s="76"/>
      <c r="B310" s="360"/>
      <c r="C310" s="377" t="s">
        <v>684</v>
      </c>
      <c r="D310" s="378"/>
      <c r="E310" s="333"/>
      <c r="F310" s="336"/>
      <c r="G310" s="348"/>
      <c r="H310" s="345"/>
      <c r="I310" s="339"/>
      <c r="J310" s="345"/>
      <c r="K310" s="339"/>
      <c r="L310" s="368"/>
      <c r="M310" s="339"/>
    </row>
    <row r="311" spans="1:13" ht="30" customHeight="1" x14ac:dyDescent="0.25">
      <c r="A311" s="76"/>
      <c r="B311" s="360"/>
      <c r="C311" s="377" t="s">
        <v>691</v>
      </c>
      <c r="D311" s="378"/>
      <c r="E311" s="333"/>
      <c r="F311" s="336"/>
      <c r="G311" s="348"/>
      <c r="H311" s="345"/>
      <c r="I311" s="339"/>
      <c r="J311" s="345"/>
      <c r="K311" s="339"/>
      <c r="L311" s="368"/>
      <c r="M311" s="339"/>
    </row>
    <row r="312" spans="1:13" ht="30" customHeight="1" x14ac:dyDescent="0.25">
      <c r="A312" s="76"/>
      <c r="B312" s="360"/>
      <c r="C312" s="377" t="s">
        <v>692</v>
      </c>
      <c r="D312" s="378"/>
      <c r="E312" s="333"/>
      <c r="F312" s="336"/>
      <c r="G312" s="348"/>
      <c r="H312" s="345"/>
      <c r="I312" s="339"/>
      <c r="J312" s="345"/>
      <c r="K312" s="339"/>
      <c r="L312" s="368"/>
      <c r="M312" s="339"/>
    </row>
    <row r="313" spans="1:13" ht="30" customHeight="1" x14ac:dyDescent="0.25">
      <c r="A313" s="76"/>
      <c r="B313" s="361"/>
      <c r="C313" s="373" t="s">
        <v>693</v>
      </c>
      <c r="D313" s="374"/>
      <c r="E313" s="334"/>
      <c r="F313" s="337"/>
      <c r="G313" s="349"/>
      <c r="H313" s="346"/>
      <c r="I313" s="340"/>
      <c r="J313" s="346"/>
      <c r="K313" s="340"/>
      <c r="L313" s="371"/>
      <c r="M313" s="340"/>
    </row>
    <row r="314" spans="1:13" ht="30" customHeight="1" x14ac:dyDescent="0.25">
      <c r="A314" s="76"/>
      <c r="B314" s="37" t="s">
        <v>695</v>
      </c>
      <c r="C314" s="270" t="s">
        <v>694</v>
      </c>
      <c r="D314" s="356"/>
      <c r="E314" s="77" t="s">
        <v>696</v>
      </c>
      <c r="F314" s="97"/>
      <c r="G314" s="84"/>
      <c r="H314" s="78"/>
      <c r="I314" s="79">
        <f>SUM(I315)</f>
        <v>150000</v>
      </c>
      <c r="J314" s="78"/>
      <c r="K314" s="79">
        <f>SUM(K315)</f>
        <v>25000</v>
      </c>
      <c r="L314" s="78"/>
      <c r="M314" s="79">
        <f>SUM(M315)</f>
        <v>175000</v>
      </c>
    </row>
    <row r="315" spans="1:13" ht="30" customHeight="1" x14ac:dyDescent="0.25">
      <c r="A315" s="76"/>
      <c r="B315" s="98"/>
      <c r="C315" s="354" t="s">
        <v>697</v>
      </c>
      <c r="D315" s="355"/>
      <c r="E315" s="332"/>
      <c r="F315" s="335" t="s">
        <v>18</v>
      </c>
      <c r="G315" s="347">
        <v>1</v>
      </c>
      <c r="H315" s="344">
        <v>150000</v>
      </c>
      <c r="I315" s="338">
        <f t="shared" ref="I315" si="137">+H315*G315</f>
        <v>150000</v>
      </c>
      <c r="J315" s="344">
        <v>25000</v>
      </c>
      <c r="K315" s="338">
        <f>+J315*G315</f>
        <v>25000</v>
      </c>
      <c r="L315" s="367">
        <f>+H315+J315</f>
        <v>175000</v>
      </c>
      <c r="M315" s="338">
        <f>+L315*G315</f>
        <v>175000</v>
      </c>
    </row>
    <row r="316" spans="1:13" ht="30" customHeight="1" x14ac:dyDescent="0.25">
      <c r="A316" s="76"/>
      <c r="B316" s="100"/>
      <c r="C316" s="350" t="s">
        <v>698</v>
      </c>
      <c r="D316" s="351"/>
      <c r="E316" s="333"/>
      <c r="F316" s="336"/>
      <c r="G316" s="348"/>
      <c r="H316" s="345"/>
      <c r="I316" s="339"/>
      <c r="J316" s="345"/>
      <c r="K316" s="339"/>
      <c r="L316" s="368"/>
      <c r="M316" s="339"/>
    </row>
    <row r="317" spans="1:13" ht="30" customHeight="1" x14ac:dyDescent="0.25">
      <c r="A317" s="76"/>
      <c r="B317" s="100"/>
      <c r="C317" s="350" t="s">
        <v>699</v>
      </c>
      <c r="D317" s="351"/>
      <c r="E317" s="333"/>
      <c r="F317" s="336"/>
      <c r="G317" s="348"/>
      <c r="H317" s="345"/>
      <c r="I317" s="339"/>
      <c r="J317" s="345"/>
      <c r="K317" s="339"/>
      <c r="L317" s="368"/>
      <c r="M317" s="339"/>
    </row>
    <row r="318" spans="1:13" ht="30" customHeight="1" x14ac:dyDescent="0.25">
      <c r="A318" s="76"/>
      <c r="B318" s="100"/>
      <c r="C318" s="350" t="s">
        <v>700</v>
      </c>
      <c r="D318" s="351"/>
      <c r="E318" s="333"/>
      <c r="F318" s="336"/>
      <c r="G318" s="348"/>
      <c r="H318" s="345"/>
      <c r="I318" s="339"/>
      <c r="J318" s="345"/>
      <c r="K318" s="339"/>
      <c r="L318" s="368"/>
      <c r="M318" s="339"/>
    </row>
    <row r="319" spans="1:13" ht="30" customHeight="1" x14ac:dyDescent="0.25">
      <c r="A319" s="76"/>
      <c r="B319" s="102"/>
      <c r="C319" s="352" t="s">
        <v>701</v>
      </c>
      <c r="D319" s="353"/>
      <c r="E319" s="334"/>
      <c r="F319" s="337"/>
      <c r="G319" s="349"/>
      <c r="H319" s="346"/>
      <c r="I319" s="340"/>
      <c r="J319" s="346"/>
      <c r="K319" s="340"/>
      <c r="L319" s="371"/>
      <c r="M319" s="340"/>
    </row>
    <row r="320" spans="1:13" ht="30" customHeight="1" x14ac:dyDescent="0.25">
      <c r="A320" s="76"/>
      <c r="B320" s="37" t="s">
        <v>702</v>
      </c>
      <c r="C320" s="270" t="s">
        <v>703</v>
      </c>
      <c r="D320" s="356"/>
      <c r="E320" s="77" t="s">
        <v>704</v>
      </c>
      <c r="F320" s="97"/>
      <c r="G320" s="84"/>
      <c r="H320" s="78"/>
      <c r="I320" s="79">
        <f>SUM(I321:I328)</f>
        <v>58000</v>
      </c>
      <c r="J320" s="78"/>
      <c r="K320" s="79">
        <f>SUM(K321:K328)</f>
        <v>10500</v>
      </c>
      <c r="L320" s="78"/>
      <c r="M320" s="79">
        <f>SUM(M321:M328)</f>
        <v>68500</v>
      </c>
    </row>
    <row r="321" spans="1:13" ht="30" customHeight="1" x14ac:dyDescent="0.25">
      <c r="A321" s="76"/>
      <c r="B321" s="98"/>
      <c r="C321" s="354" t="s">
        <v>705</v>
      </c>
      <c r="D321" s="355"/>
      <c r="E321" s="332"/>
      <c r="F321" s="335" t="s">
        <v>392</v>
      </c>
      <c r="G321" s="347">
        <v>1</v>
      </c>
      <c r="H321" s="344">
        <v>22000</v>
      </c>
      <c r="I321" s="338">
        <f t="shared" ref="I321" si="138">+H321*G321</f>
        <v>22000</v>
      </c>
      <c r="J321" s="344">
        <v>3500</v>
      </c>
      <c r="K321" s="338">
        <f>+J321*G321</f>
        <v>3500</v>
      </c>
      <c r="L321" s="367">
        <f>+H321+J321</f>
        <v>25500</v>
      </c>
      <c r="M321" s="338">
        <f>+L321*G321</f>
        <v>25500</v>
      </c>
    </row>
    <row r="322" spans="1:13" ht="30" customHeight="1" x14ac:dyDescent="0.25">
      <c r="A322" s="76"/>
      <c r="B322" s="100"/>
      <c r="C322" s="350" t="s">
        <v>706</v>
      </c>
      <c r="D322" s="351"/>
      <c r="E322" s="333"/>
      <c r="F322" s="336"/>
      <c r="G322" s="348"/>
      <c r="H322" s="345"/>
      <c r="I322" s="339"/>
      <c r="J322" s="345"/>
      <c r="K322" s="339"/>
      <c r="L322" s="368"/>
      <c r="M322" s="339"/>
    </row>
    <row r="323" spans="1:13" ht="30" customHeight="1" x14ac:dyDescent="0.25">
      <c r="A323" s="76"/>
      <c r="B323" s="100"/>
      <c r="C323" s="350" t="s">
        <v>707</v>
      </c>
      <c r="D323" s="351"/>
      <c r="E323" s="333"/>
      <c r="F323" s="336"/>
      <c r="G323" s="348"/>
      <c r="H323" s="345"/>
      <c r="I323" s="339"/>
      <c r="J323" s="345"/>
      <c r="K323" s="339"/>
      <c r="L323" s="368"/>
      <c r="M323" s="339"/>
    </row>
    <row r="324" spans="1:13" ht="30" customHeight="1" x14ac:dyDescent="0.25">
      <c r="A324" s="76"/>
      <c r="B324" s="102"/>
      <c r="C324" s="352" t="s">
        <v>708</v>
      </c>
      <c r="D324" s="353"/>
      <c r="E324" s="334"/>
      <c r="F324" s="337"/>
      <c r="G324" s="349"/>
      <c r="H324" s="346"/>
      <c r="I324" s="340"/>
      <c r="J324" s="346"/>
      <c r="K324" s="340"/>
      <c r="L324" s="371"/>
      <c r="M324" s="340"/>
    </row>
    <row r="325" spans="1:13" ht="30" customHeight="1" x14ac:dyDescent="0.25">
      <c r="A325" s="76"/>
      <c r="B325" s="98"/>
      <c r="C325" s="354" t="s">
        <v>709</v>
      </c>
      <c r="D325" s="355"/>
      <c r="E325" s="332"/>
      <c r="F325" s="335" t="s">
        <v>392</v>
      </c>
      <c r="G325" s="347">
        <v>2</v>
      </c>
      <c r="H325" s="344">
        <v>18000</v>
      </c>
      <c r="I325" s="338">
        <f t="shared" ref="I325" si="139">+H325*G325</f>
        <v>36000</v>
      </c>
      <c r="J325" s="344">
        <v>3500</v>
      </c>
      <c r="K325" s="338">
        <f>+J325*G325</f>
        <v>7000</v>
      </c>
      <c r="L325" s="367">
        <f>+H325+J325</f>
        <v>21500</v>
      </c>
      <c r="M325" s="338">
        <f>+L325*G325</f>
        <v>43000</v>
      </c>
    </row>
    <row r="326" spans="1:13" ht="30" customHeight="1" x14ac:dyDescent="0.25">
      <c r="A326" s="76"/>
      <c r="B326" s="100"/>
      <c r="C326" s="350" t="s">
        <v>706</v>
      </c>
      <c r="D326" s="351"/>
      <c r="E326" s="333"/>
      <c r="F326" s="336"/>
      <c r="G326" s="348"/>
      <c r="H326" s="345"/>
      <c r="I326" s="339"/>
      <c r="J326" s="345"/>
      <c r="K326" s="339"/>
      <c r="L326" s="368"/>
      <c r="M326" s="339"/>
    </row>
    <row r="327" spans="1:13" ht="30" customHeight="1" x14ac:dyDescent="0.25">
      <c r="A327" s="76"/>
      <c r="B327" s="100"/>
      <c r="C327" s="350" t="s">
        <v>707</v>
      </c>
      <c r="D327" s="351"/>
      <c r="E327" s="333"/>
      <c r="F327" s="336"/>
      <c r="G327" s="348"/>
      <c r="H327" s="345"/>
      <c r="I327" s="339"/>
      <c r="J327" s="345"/>
      <c r="K327" s="339"/>
      <c r="L327" s="368"/>
      <c r="M327" s="339"/>
    </row>
    <row r="328" spans="1:13" ht="30" customHeight="1" x14ac:dyDescent="0.25">
      <c r="A328" s="76"/>
      <c r="B328" s="102"/>
      <c r="C328" s="352" t="s">
        <v>710</v>
      </c>
      <c r="D328" s="353"/>
      <c r="E328" s="334"/>
      <c r="F328" s="337"/>
      <c r="G328" s="349"/>
      <c r="H328" s="346"/>
      <c r="I328" s="340"/>
      <c r="J328" s="346"/>
      <c r="K328" s="340"/>
      <c r="L328" s="371"/>
      <c r="M328" s="340"/>
    </row>
    <row r="329" spans="1:13" ht="30" customHeight="1" x14ac:dyDescent="0.25">
      <c r="A329" s="76"/>
      <c r="B329" s="37" t="s">
        <v>712</v>
      </c>
      <c r="C329" s="270" t="s">
        <v>711</v>
      </c>
      <c r="D329" s="356"/>
      <c r="E329" s="77" t="s">
        <v>704</v>
      </c>
      <c r="F329" s="97"/>
      <c r="G329" s="84"/>
      <c r="H329" s="78"/>
      <c r="I329" s="79">
        <f>SUM(I330)</f>
        <v>120000</v>
      </c>
      <c r="J329" s="78"/>
      <c r="K329" s="79">
        <f>SUM(K330)</f>
        <v>25000</v>
      </c>
      <c r="L329" s="78"/>
      <c r="M329" s="79">
        <f>SUM(M330)</f>
        <v>145000</v>
      </c>
    </row>
    <row r="330" spans="1:13" ht="30" customHeight="1" x14ac:dyDescent="0.25">
      <c r="A330" s="76"/>
      <c r="B330" s="98"/>
      <c r="C330" s="354" t="s">
        <v>713</v>
      </c>
      <c r="D330" s="355"/>
      <c r="E330" s="332"/>
      <c r="F330" s="335" t="s">
        <v>663</v>
      </c>
      <c r="G330" s="347">
        <v>1</v>
      </c>
      <c r="H330" s="344">
        <v>120000</v>
      </c>
      <c r="I330" s="338">
        <f t="shared" ref="I330" si="140">+H330*G330</f>
        <v>120000</v>
      </c>
      <c r="J330" s="344">
        <v>25000</v>
      </c>
      <c r="K330" s="338">
        <f>+J330*G330</f>
        <v>25000</v>
      </c>
      <c r="L330" s="367">
        <f>+H330+J330</f>
        <v>145000</v>
      </c>
      <c r="M330" s="338">
        <f>+L330*G330</f>
        <v>145000</v>
      </c>
    </row>
    <row r="331" spans="1:13" ht="30" customHeight="1" x14ac:dyDescent="0.25">
      <c r="A331" s="76"/>
      <c r="B331" s="100"/>
      <c r="C331" s="350" t="s">
        <v>714</v>
      </c>
      <c r="D331" s="351"/>
      <c r="E331" s="333"/>
      <c r="F331" s="336"/>
      <c r="G331" s="348"/>
      <c r="H331" s="345"/>
      <c r="I331" s="339"/>
      <c r="J331" s="345"/>
      <c r="K331" s="339"/>
      <c r="L331" s="368"/>
      <c r="M331" s="339"/>
    </row>
    <row r="332" spans="1:13" ht="30" customHeight="1" x14ac:dyDescent="0.25">
      <c r="A332" s="76"/>
      <c r="B332" s="100"/>
      <c r="C332" s="350" t="s">
        <v>715</v>
      </c>
      <c r="D332" s="351"/>
      <c r="E332" s="333"/>
      <c r="F332" s="336"/>
      <c r="G332" s="348"/>
      <c r="H332" s="345"/>
      <c r="I332" s="339"/>
      <c r="J332" s="345"/>
      <c r="K332" s="339"/>
      <c r="L332" s="368"/>
      <c r="M332" s="339"/>
    </row>
    <row r="333" spans="1:13" ht="30" customHeight="1" x14ac:dyDescent="0.25">
      <c r="A333" s="76"/>
      <c r="B333" s="100"/>
      <c r="C333" s="350" t="s">
        <v>716</v>
      </c>
      <c r="D333" s="351"/>
      <c r="E333" s="333"/>
      <c r="F333" s="336"/>
      <c r="G333" s="348"/>
      <c r="H333" s="345"/>
      <c r="I333" s="339"/>
      <c r="J333" s="345"/>
      <c r="K333" s="339"/>
      <c r="L333" s="368"/>
      <c r="M333" s="339"/>
    </row>
    <row r="334" spans="1:13" ht="30" customHeight="1" x14ac:dyDescent="0.25">
      <c r="A334" s="76"/>
      <c r="B334" s="100"/>
      <c r="C334" s="350" t="s">
        <v>717</v>
      </c>
      <c r="D334" s="351"/>
      <c r="E334" s="333"/>
      <c r="F334" s="336"/>
      <c r="G334" s="348"/>
      <c r="H334" s="345"/>
      <c r="I334" s="339"/>
      <c r="J334" s="345"/>
      <c r="K334" s="339"/>
      <c r="L334" s="368"/>
      <c r="M334" s="339"/>
    </row>
    <row r="335" spans="1:13" ht="30" customHeight="1" x14ac:dyDescent="0.25">
      <c r="A335" s="76"/>
      <c r="B335" s="100"/>
      <c r="C335" s="350" t="s">
        <v>718</v>
      </c>
      <c r="D335" s="351"/>
      <c r="E335" s="333"/>
      <c r="F335" s="336"/>
      <c r="G335" s="348"/>
      <c r="H335" s="345"/>
      <c r="I335" s="339"/>
      <c r="J335" s="345"/>
      <c r="K335" s="339"/>
      <c r="L335" s="368"/>
      <c r="M335" s="339"/>
    </row>
    <row r="336" spans="1:13" ht="30" customHeight="1" x14ac:dyDescent="0.25">
      <c r="A336" s="76"/>
      <c r="B336" s="102"/>
      <c r="C336" s="352" t="s">
        <v>719</v>
      </c>
      <c r="D336" s="353"/>
      <c r="E336" s="334"/>
      <c r="F336" s="337"/>
      <c r="G336" s="349"/>
      <c r="H336" s="346"/>
      <c r="I336" s="340"/>
      <c r="J336" s="346"/>
      <c r="K336" s="340"/>
      <c r="L336" s="371"/>
      <c r="M336" s="340"/>
    </row>
    <row r="337" spans="1:13" ht="30" customHeight="1" x14ac:dyDescent="0.25">
      <c r="A337" s="76"/>
      <c r="B337" s="37" t="s">
        <v>720</v>
      </c>
      <c r="C337" s="270" t="s">
        <v>721</v>
      </c>
      <c r="D337" s="356"/>
      <c r="E337" s="77" t="s">
        <v>722</v>
      </c>
      <c r="F337" s="97"/>
      <c r="G337" s="84"/>
      <c r="H337" s="78"/>
      <c r="I337" s="79">
        <f>SUM(I338:I345)</f>
        <v>203567.85</v>
      </c>
      <c r="J337" s="78"/>
      <c r="K337" s="79">
        <f>SUM(K338:K345)</f>
        <v>249539.4</v>
      </c>
      <c r="L337" s="78"/>
      <c r="M337" s="79">
        <f>SUM(M338:M345)</f>
        <v>453107.25</v>
      </c>
    </row>
    <row r="338" spans="1:13" ht="30" customHeight="1" x14ac:dyDescent="0.25">
      <c r="A338" s="76"/>
      <c r="B338" s="359"/>
      <c r="C338" s="354" t="s">
        <v>723</v>
      </c>
      <c r="D338" s="355"/>
      <c r="E338" s="332"/>
      <c r="F338" s="41" t="s">
        <v>77</v>
      </c>
      <c r="G338" s="42">
        <v>25</v>
      </c>
      <c r="H338" s="234">
        <v>185</v>
      </c>
      <c r="I338" s="43">
        <f t="shared" ref="I338" si="141">+H338*G338</f>
        <v>4625</v>
      </c>
      <c r="J338" s="1">
        <v>350</v>
      </c>
      <c r="K338" s="43">
        <f t="shared" ref="K338" si="142">+J338*G338</f>
        <v>8750</v>
      </c>
      <c r="L338" s="44">
        <f t="shared" ref="L338" si="143">+J338+H338</f>
        <v>535</v>
      </c>
      <c r="M338" s="43">
        <f t="shared" ref="M338" si="144">+L338*G338</f>
        <v>13375</v>
      </c>
    </row>
    <row r="339" spans="1:13" ht="30" customHeight="1" x14ac:dyDescent="0.25">
      <c r="A339" s="76"/>
      <c r="B339" s="360"/>
      <c r="C339" s="350" t="s">
        <v>724</v>
      </c>
      <c r="D339" s="351"/>
      <c r="E339" s="333"/>
      <c r="F339" s="41" t="s">
        <v>77</v>
      </c>
      <c r="G339" s="42">
        <v>5</v>
      </c>
      <c r="H339" s="234">
        <v>282</v>
      </c>
      <c r="I339" s="43">
        <f t="shared" ref="I339:I344" si="145">+H339*G339</f>
        <v>1410</v>
      </c>
      <c r="J339" s="1">
        <v>462</v>
      </c>
      <c r="K339" s="43">
        <f t="shared" ref="K339:K344" si="146">+J339*G339</f>
        <v>2310</v>
      </c>
      <c r="L339" s="44">
        <f t="shared" ref="L339:L344" si="147">+J339+H339</f>
        <v>744</v>
      </c>
      <c r="M339" s="43">
        <f t="shared" ref="M339:M344" si="148">+L339*G339</f>
        <v>3720</v>
      </c>
    </row>
    <row r="340" spans="1:13" ht="30" customHeight="1" x14ac:dyDescent="0.25">
      <c r="A340" s="76"/>
      <c r="B340" s="360"/>
      <c r="C340" s="350" t="s">
        <v>725</v>
      </c>
      <c r="D340" s="351"/>
      <c r="E340" s="333"/>
      <c r="F340" s="41" t="s">
        <v>77</v>
      </c>
      <c r="G340" s="42">
        <v>40</v>
      </c>
      <c r="H340" s="234">
        <v>362</v>
      </c>
      <c r="I340" s="43">
        <f t="shared" si="145"/>
        <v>14480</v>
      </c>
      <c r="J340" s="1">
        <v>552</v>
      </c>
      <c r="K340" s="43">
        <f t="shared" si="146"/>
        <v>22080</v>
      </c>
      <c r="L340" s="44">
        <f t="shared" si="147"/>
        <v>914</v>
      </c>
      <c r="M340" s="43">
        <f t="shared" si="148"/>
        <v>36560</v>
      </c>
    </row>
    <row r="341" spans="1:13" ht="30" customHeight="1" x14ac:dyDescent="0.25">
      <c r="A341" s="76"/>
      <c r="B341" s="360"/>
      <c r="C341" s="350" t="s">
        <v>726</v>
      </c>
      <c r="D341" s="351"/>
      <c r="E341" s="333"/>
      <c r="F341" s="41" t="s">
        <v>77</v>
      </c>
      <c r="G341" s="42">
        <v>50</v>
      </c>
      <c r="H341" s="234">
        <v>416</v>
      </c>
      <c r="I341" s="43">
        <f t="shared" si="145"/>
        <v>20800</v>
      </c>
      <c r="J341" s="1">
        <v>672</v>
      </c>
      <c r="K341" s="43">
        <f t="shared" si="146"/>
        <v>33600</v>
      </c>
      <c r="L341" s="44">
        <f t="shared" si="147"/>
        <v>1088</v>
      </c>
      <c r="M341" s="43">
        <f t="shared" si="148"/>
        <v>54400</v>
      </c>
    </row>
    <row r="342" spans="1:13" ht="30" customHeight="1" x14ac:dyDescent="0.25">
      <c r="A342" s="76"/>
      <c r="B342" s="360"/>
      <c r="C342" s="350" t="s">
        <v>727</v>
      </c>
      <c r="D342" s="351"/>
      <c r="E342" s="333"/>
      <c r="F342" s="41" t="s">
        <v>77</v>
      </c>
      <c r="G342" s="42">
        <v>100</v>
      </c>
      <c r="H342" s="234">
        <v>580</v>
      </c>
      <c r="I342" s="43">
        <f t="shared" si="145"/>
        <v>58000</v>
      </c>
      <c r="J342" s="1">
        <v>732</v>
      </c>
      <c r="K342" s="43">
        <f t="shared" si="146"/>
        <v>73200</v>
      </c>
      <c r="L342" s="44">
        <f t="shared" si="147"/>
        <v>1312</v>
      </c>
      <c r="M342" s="43">
        <f t="shared" si="148"/>
        <v>131200</v>
      </c>
    </row>
    <row r="343" spans="1:13" ht="30" customHeight="1" x14ac:dyDescent="0.25">
      <c r="A343" s="76"/>
      <c r="B343" s="360"/>
      <c r="C343" s="350" t="s">
        <v>728</v>
      </c>
      <c r="D343" s="351"/>
      <c r="E343" s="333"/>
      <c r="F343" s="41" t="s">
        <v>77</v>
      </c>
      <c r="G343" s="42">
        <v>3</v>
      </c>
      <c r="H343" s="234">
        <v>742</v>
      </c>
      <c r="I343" s="43">
        <f t="shared" si="145"/>
        <v>2226</v>
      </c>
      <c r="J343" s="1">
        <v>768</v>
      </c>
      <c r="K343" s="43">
        <f t="shared" si="146"/>
        <v>2304</v>
      </c>
      <c r="L343" s="44">
        <f t="shared" si="147"/>
        <v>1510</v>
      </c>
      <c r="M343" s="43">
        <f t="shared" si="148"/>
        <v>4530</v>
      </c>
    </row>
    <row r="344" spans="1:13" ht="30" customHeight="1" x14ac:dyDescent="0.25">
      <c r="A344" s="76"/>
      <c r="B344" s="360"/>
      <c r="C344" s="352" t="s">
        <v>729</v>
      </c>
      <c r="D344" s="353"/>
      <c r="E344" s="333"/>
      <c r="F344" s="41" t="s">
        <v>77</v>
      </c>
      <c r="G344" s="42">
        <v>50</v>
      </c>
      <c r="H344" s="234">
        <v>985</v>
      </c>
      <c r="I344" s="43">
        <f t="shared" si="145"/>
        <v>49250</v>
      </c>
      <c r="J344" s="1">
        <v>852</v>
      </c>
      <c r="K344" s="43">
        <f t="shared" si="146"/>
        <v>42600</v>
      </c>
      <c r="L344" s="44">
        <f t="shared" si="147"/>
        <v>1837</v>
      </c>
      <c r="M344" s="43">
        <f t="shared" si="148"/>
        <v>91850</v>
      </c>
    </row>
    <row r="345" spans="1:13" ht="30" customHeight="1" x14ac:dyDescent="0.25">
      <c r="A345" s="76"/>
      <c r="B345" s="361"/>
      <c r="C345" s="276" t="s">
        <v>730</v>
      </c>
      <c r="D345" s="278"/>
      <c r="E345" s="334"/>
      <c r="F345" s="41" t="s">
        <v>731</v>
      </c>
      <c r="G345" s="4">
        <v>0.35</v>
      </c>
      <c r="H345" s="119"/>
      <c r="I345" s="120">
        <f>SUM(I338:I344)*G345</f>
        <v>52776.85</v>
      </c>
      <c r="J345" s="119"/>
      <c r="K345" s="120">
        <f>SUM(K338:K344)*G345</f>
        <v>64695.399999999994</v>
      </c>
      <c r="L345" s="121"/>
      <c r="M345" s="120">
        <f>+I345+K345</f>
        <v>117472.25</v>
      </c>
    </row>
    <row r="346" spans="1:13" ht="42.75" customHeight="1" x14ac:dyDescent="0.25">
      <c r="A346" s="76"/>
      <c r="B346" s="37" t="s">
        <v>733</v>
      </c>
      <c r="C346" s="270" t="s">
        <v>732</v>
      </c>
      <c r="D346" s="356"/>
      <c r="E346" s="77" t="s">
        <v>734</v>
      </c>
      <c r="F346" s="97"/>
      <c r="G346" s="84"/>
      <c r="H346" s="78"/>
      <c r="I346" s="79">
        <f>SUM(I347:I350)</f>
        <v>28477.749999999996</v>
      </c>
      <c r="J346" s="78"/>
      <c r="K346" s="79">
        <f>SUM(K347:K350)</f>
        <v>47700</v>
      </c>
      <c r="L346" s="78"/>
      <c r="M346" s="79">
        <f>SUM(M347:M350)</f>
        <v>76177.75</v>
      </c>
    </row>
    <row r="347" spans="1:13" ht="30" customHeight="1" x14ac:dyDescent="0.25">
      <c r="A347" s="76"/>
      <c r="B347" s="359"/>
      <c r="C347" s="372" t="s">
        <v>735</v>
      </c>
      <c r="D347" s="372"/>
      <c r="E347" s="332"/>
      <c r="F347" s="41" t="s">
        <v>77</v>
      </c>
      <c r="G347" s="42">
        <v>120</v>
      </c>
      <c r="H347" s="1">
        <v>89.949999999999989</v>
      </c>
      <c r="I347" s="43">
        <f t="shared" ref="I347:I350" si="149">+H347*G347</f>
        <v>10793.999999999998</v>
      </c>
      <c r="J347" s="1">
        <v>172.5</v>
      </c>
      <c r="K347" s="43">
        <f t="shared" ref="K347:K350" si="150">+J347*G347</f>
        <v>20700</v>
      </c>
      <c r="L347" s="44">
        <f t="shared" ref="L347:L350" si="151">+J347+H347</f>
        <v>262.45</v>
      </c>
      <c r="M347" s="43">
        <f t="shared" ref="M347:M350" si="152">+L347*G347</f>
        <v>31494</v>
      </c>
    </row>
    <row r="348" spans="1:13" ht="30" customHeight="1" x14ac:dyDescent="0.25">
      <c r="A348" s="76"/>
      <c r="B348" s="360"/>
      <c r="C348" s="372" t="s">
        <v>736</v>
      </c>
      <c r="D348" s="372"/>
      <c r="E348" s="333"/>
      <c r="F348" s="41" t="s">
        <v>77</v>
      </c>
      <c r="G348" s="42">
        <v>50</v>
      </c>
      <c r="H348" s="1">
        <v>99.574999999999989</v>
      </c>
      <c r="I348" s="43">
        <f t="shared" si="149"/>
        <v>4978.7499999999991</v>
      </c>
      <c r="J348" s="1">
        <v>176.25</v>
      </c>
      <c r="K348" s="43">
        <f t="shared" si="150"/>
        <v>8812.5</v>
      </c>
      <c r="L348" s="44">
        <f t="shared" si="151"/>
        <v>275.82499999999999</v>
      </c>
      <c r="M348" s="43">
        <f t="shared" si="152"/>
        <v>13791.25</v>
      </c>
    </row>
    <row r="349" spans="1:13" ht="30" customHeight="1" x14ac:dyDescent="0.25">
      <c r="A349" s="76"/>
      <c r="B349" s="360"/>
      <c r="C349" s="372" t="s">
        <v>737</v>
      </c>
      <c r="D349" s="372"/>
      <c r="E349" s="333"/>
      <c r="F349" s="41" t="s">
        <v>77</v>
      </c>
      <c r="G349" s="42">
        <v>50</v>
      </c>
      <c r="H349" s="1">
        <v>120.925</v>
      </c>
      <c r="I349" s="43">
        <f t="shared" si="149"/>
        <v>6046.25</v>
      </c>
      <c r="J349" s="1">
        <v>180</v>
      </c>
      <c r="K349" s="43">
        <f t="shared" si="150"/>
        <v>9000</v>
      </c>
      <c r="L349" s="44">
        <f t="shared" si="151"/>
        <v>300.92500000000001</v>
      </c>
      <c r="M349" s="43">
        <f t="shared" si="152"/>
        <v>15046.25</v>
      </c>
    </row>
    <row r="350" spans="1:13" ht="30" customHeight="1" x14ac:dyDescent="0.25">
      <c r="A350" s="76"/>
      <c r="B350" s="361"/>
      <c r="C350" s="372" t="s">
        <v>738</v>
      </c>
      <c r="D350" s="372"/>
      <c r="E350" s="334"/>
      <c r="F350" s="41" t="s">
        <v>77</v>
      </c>
      <c r="G350" s="42">
        <v>50</v>
      </c>
      <c r="H350" s="1">
        <v>133.17499999999998</v>
      </c>
      <c r="I350" s="43">
        <f t="shared" si="149"/>
        <v>6658.7499999999991</v>
      </c>
      <c r="J350" s="1">
        <v>183.75</v>
      </c>
      <c r="K350" s="43">
        <f t="shared" si="150"/>
        <v>9187.5</v>
      </c>
      <c r="L350" s="44">
        <f t="shared" si="151"/>
        <v>316.92499999999995</v>
      </c>
      <c r="M350" s="43">
        <f t="shared" si="152"/>
        <v>15846.249999999998</v>
      </c>
    </row>
    <row r="351" spans="1:13" ht="30" customHeight="1" x14ac:dyDescent="0.25">
      <c r="A351" s="76"/>
      <c r="B351" s="37" t="s">
        <v>747</v>
      </c>
      <c r="C351" s="270" t="s">
        <v>739</v>
      </c>
      <c r="D351" s="356"/>
      <c r="E351" s="77" t="s">
        <v>740</v>
      </c>
      <c r="F351" s="97"/>
      <c r="G351" s="84"/>
      <c r="H351" s="78"/>
      <c r="I351" s="79">
        <f>SUM(I352:I358)</f>
        <v>117587.997</v>
      </c>
      <c r="J351" s="78"/>
      <c r="K351" s="79">
        <f>SUM(K352:K358)</f>
        <v>189145.125</v>
      </c>
      <c r="L351" s="78"/>
      <c r="M351" s="79">
        <f>SUM(M352:M358)</f>
        <v>306733.12199999997</v>
      </c>
    </row>
    <row r="352" spans="1:13" ht="30" customHeight="1" x14ac:dyDescent="0.25">
      <c r="A352" s="76"/>
      <c r="B352" s="359"/>
      <c r="C352" s="372" t="s">
        <v>741</v>
      </c>
      <c r="D352" s="372"/>
      <c r="E352" s="332"/>
      <c r="F352" s="41" t="s">
        <v>77</v>
      </c>
      <c r="G352" s="42">
        <v>120</v>
      </c>
      <c r="H352" s="234">
        <v>65.63</v>
      </c>
      <c r="I352" s="43">
        <f t="shared" ref="I352:I357" si="153">+H352*G352</f>
        <v>7875.5999999999995</v>
      </c>
      <c r="J352" s="1">
        <v>200</v>
      </c>
      <c r="K352" s="43">
        <f t="shared" ref="K352:K357" si="154">+J352*G352</f>
        <v>24000</v>
      </c>
      <c r="L352" s="44">
        <f t="shared" ref="L352:L357" si="155">+J352+H352</f>
        <v>265.63</v>
      </c>
      <c r="M352" s="43">
        <f t="shared" ref="M352:M357" si="156">+L352*G352</f>
        <v>31875.599999999999</v>
      </c>
    </row>
    <row r="353" spans="1:13" ht="30" customHeight="1" x14ac:dyDescent="0.25">
      <c r="A353" s="76"/>
      <c r="B353" s="360"/>
      <c r="C353" s="372" t="s">
        <v>742</v>
      </c>
      <c r="D353" s="372"/>
      <c r="E353" s="333"/>
      <c r="F353" s="41" t="s">
        <v>77</v>
      </c>
      <c r="G353" s="42">
        <v>300</v>
      </c>
      <c r="H353" s="234">
        <v>93.32</v>
      </c>
      <c r="I353" s="43">
        <f t="shared" si="153"/>
        <v>27995.999999999996</v>
      </c>
      <c r="J353" s="1">
        <v>200</v>
      </c>
      <c r="K353" s="43">
        <f t="shared" si="154"/>
        <v>60000</v>
      </c>
      <c r="L353" s="44">
        <f t="shared" si="155"/>
        <v>293.32</v>
      </c>
      <c r="M353" s="43">
        <f t="shared" si="156"/>
        <v>87996</v>
      </c>
    </row>
    <row r="354" spans="1:13" ht="30" customHeight="1" x14ac:dyDescent="0.25">
      <c r="A354" s="76"/>
      <c r="B354" s="360"/>
      <c r="C354" s="372" t="s">
        <v>746</v>
      </c>
      <c r="D354" s="372"/>
      <c r="E354" s="333"/>
      <c r="F354" s="41" t="s">
        <v>77</v>
      </c>
      <c r="G354" s="42">
        <v>125</v>
      </c>
      <c r="H354" s="234">
        <v>165.9</v>
      </c>
      <c r="I354" s="43">
        <f t="shared" si="153"/>
        <v>20737.5</v>
      </c>
      <c r="J354" s="1">
        <v>237.5</v>
      </c>
      <c r="K354" s="43">
        <f t="shared" si="154"/>
        <v>29687.5</v>
      </c>
      <c r="L354" s="44">
        <f t="shared" si="155"/>
        <v>403.4</v>
      </c>
      <c r="M354" s="43">
        <f t="shared" si="156"/>
        <v>50425</v>
      </c>
    </row>
    <row r="355" spans="1:13" ht="30" customHeight="1" x14ac:dyDescent="0.25">
      <c r="A355" s="76"/>
      <c r="B355" s="360"/>
      <c r="C355" s="372" t="s">
        <v>743</v>
      </c>
      <c r="D355" s="372"/>
      <c r="E355" s="333"/>
      <c r="F355" s="41" t="s">
        <v>77</v>
      </c>
      <c r="G355" s="42">
        <v>40</v>
      </c>
      <c r="H355" s="234">
        <v>248.41</v>
      </c>
      <c r="I355" s="43">
        <f t="shared" si="153"/>
        <v>9936.4</v>
      </c>
      <c r="J355" s="1">
        <v>270</v>
      </c>
      <c r="K355" s="43">
        <f t="shared" si="154"/>
        <v>10800</v>
      </c>
      <c r="L355" s="44">
        <f t="shared" si="155"/>
        <v>518.41</v>
      </c>
      <c r="M355" s="43">
        <f t="shared" si="156"/>
        <v>20736.399999999998</v>
      </c>
    </row>
    <row r="356" spans="1:13" ht="30" customHeight="1" x14ac:dyDescent="0.25">
      <c r="A356" s="76"/>
      <c r="B356" s="360"/>
      <c r="C356" s="372" t="s">
        <v>744</v>
      </c>
      <c r="D356" s="372"/>
      <c r="E356" s="333"/>
      <c r="F356" s="41" t="s">
        <v>77</v>
      </c>
      <c r="G356" s="42">
        <v>50</v>
      </c>
      <c r="H356" s="234">
        <v>398.42</v>
      </c>
      <c r="I356" s="43">
        <f t="shared" si="153"/>
        <v>19921</v>
      </c>
      <c r="J356" s="1">
        <v>305</v>
      </c>
      <c r="K356" s="43">
        <f t="shared" si="154"/>
        <v>15250</v>
      </c>
      <c r="L356" s="44">
        <f t="shared" si="155"/>
        <v>703.42000000000007</v>
      </c>
      <c r="M356" s="43">
        <f t="shared" si="156"/>
        <v>35171</v>
      </c>
    </row>
    <row r="357" spans="1:13" ht="30" customHeight="1" x14ac:dyDescent="0.25">
      <c r="A357" s="76"/>
      <c r="B357" s="360"/>
      <c r="C357" s="372" t="s">
        <v>745</v>
      </c>
      <c r="D357" s="372"/>
      <c r="E357" s="333"/>
      <c r="F357" s="41" t="s">
        <v>77</v>
      </c>
      <c r="G357" s="42">
        <v>1</v>
      </c>
      <c r="H357" s="234">
        <v>635.72</v>
      </c>
      <c r="I357" s="43">
        <f t="shared" si="153"/>
        <v>635.72</v>
      </c>
      <c r="J357" s="1">
        <v>370</v>
      </c>
      <c r="K357" s="43">
        <f t="shared" si="154"/>
        <v>370</v>
      </c>
      <c r="L357" s="44">
        <f t="shared" si="155"/>
        <v>1005.72</v>
      </c>
      <c r="M357" s="43">
        <f t="shared" si="156"/>
        <v>1005.72</v>
      </c>
    </row>
    <row r="358" spans="1:13" ht="30" customHeight="1" x14ac:dyDescent="0.25">
      <c r="A358" s="76"/>
      <c r="B358" s="361"/>
      <c r="C358" s="276" t="s">
        <v>730</v>
      </c>
      <c r="D358" s="278"/>
      <c r="E358" s="334"/>
      <c r="F358" s="41" t="s">
        <v>731</v>
      </c>
      <c r="G358" s="4">
        <v>0.35</v>
      </c>
      <c r="H358" s="119"/>
      <c r="I358" s="120">
        <f>SUM(I352:I357)*G358</f>
        <v>30485.776999999998</v>
      </c>
      <c r="J358" s="119"/>
      <c r="K358" s="120">
        <f>SUM(K352:K357)*G358</f>
        <v>49037.625</v>
      </c>
      <c r="L358" s="121"/>
      <c r="M358" s="120">
        <f>+I358+K358</f>
        <v>79523.402000000002</v>
      </c>
    </row>
    <row r="359" spans="1:13" ht="30" customHeight="1" x14ac:dyDescent="0.25">
      <c r="A359" s="76"/>
      <c r="B359" s="37" t="s">
        <v>748</v>
      </c>
      <c r="C359" s="270" t="s">
        <v>749</v>
      </c>
      <c r="D359" s="356"/>
      <c r="E359" s="77" t="s">
        <v>740</v>
      </c>
      <c r="F359" s="97"/>
      <c r="G359" s="84"/>
      <c r="H359" s="78"/>
      <c r="I359" s="79">
        <f>SUM(I360:I364)</f>
        <v>197821.57500000001</v>
      </c>
      <c r="J359" s="78"/>
      <c r="K359" s="79">
        <f>SUM(K360:K364)</f>
        <v>213090.75</v>
      </c>
      <c r="L359" s="78"/>
      <c r="M359" s="79">
        <f>SUM(M360:M364)</f>
        <v>410912.32500000001</v>
      </c>
    </row>
    <row r="360" spans="1:13" ht="30" customHeight="1" x14ac:dyDescent="0.25">
      <c r="A360" s="76"/>
      <c r="B360" s="359"/>
      <c r="C360" s="372" t="s">
        <v>763</v>
      </c>
      <c r="D360" s="372"/>
      <c r="E360" s="332"/>
      <c r="F360" s="41" t="s">
        <v>77</v>
      </c>
      <c r="G360" s="42">
        <v>250</v>
      </c>
      <c r="H360" s="1">
        <v>251.99999999999997</v>
      </c>
      <c r="I360" s="43">
        <f t="shared" ref="I360:I363" si="157">+H360*G360</f>
        <v>62999.999999999993</v>
      </c>
      <c r="J360" s="1">
        <v>320</v>
      </c>
      <c r="K360" s="43">
        <f t="shared" ref="K360:K363" si="158">+J360*G360</f>
        <v>80000</v>
      </c>
      <c r="L360" s="44">
        <f t="shared" ref="L360:L363" si="159">+J360+H360</f>
        <v>572</v>
      </c>
      <c r="M360" s="43">
        <f t="shared" ref="M360:M363" si="160">+L360*G360</f>
        <v>143000</v>
      </c>
    </row>
    <row r="361" spans="1:13" ht="30" customHeight="1" x14ac:dyDescent="0.25">
      <c r="A361" s="76"/>
      <c r="B361" s="360"/>
      <c r="C361" s="372" t="s">
        <v>764</v>
      </c>
      <c r="D361" s="372"/>
      <c r="E361" s="333"/>
      <c r="F361" s="41" t="s">
        <v>77</v>
      </c>
      <c r="G361" s="42">
        <v>200</v>
      </c>
      <c r="H361" s="1">
        <v>411.25</v>
      </c>
      <c r="I361" s="43">
        <f t="shared" si="157"/>
        <v>82250</v>
      </c>
      <c r="J361" s="1">
        <v>385</v>
      </c>
      <c r="K361" s="43">
        <f t="shared" si="158"/>
        <v>77000</v>
      </c>
      <c r="L361" s="44">
        <f t="shared" si="159"/>
        <v>796.25</v>
      </c>
      <c r="M361" s="43">
        <f t="shared" si="160"/>
        <v>159250</v>
      </c>
    </row>
    <row r="362" spans="1:13" ht="30" customHeight="1" x14ac:dyDescent="0.25">
      <c r="A362" s="76"/>
      <c r="B362" s="360"/>
      <c r="C362" s="372" t="s">
        <v>765</v>
      </c>
      <c r="D362" s="372"/>
      <c r="E362" s="333"/>
      <c r="F362" s="41" t="s">
        <v>77</v>
      </c>
      <c r="G362" s="42">
        <v>1</v>
      </c>
      <c r="H362" s="1">
        <v>525</v>
      </c>
      <c r="I362" s="43">
        <f t="shared" si="157"/>
        <v>525</v>
      </c>
      <c r="J362" s="1">
        <v>405</v>
      </c>
      <c r="K362" s="43">
        <f t="shared" si="158"/>
        <v>405</v>
      </c>
      <c r="L362" s="44">
        <f t="shared" si="159"/>
        <v>930</v>
      </c>
      <c r="M362" s="43">
        <f t="shared" si="160"/>
        <v>930</v>
      </c>
    </row>
    <row r="363" spans="1:13" ht="30" customHeight="1" x14ac:dyDescent="0.25">
      <c r="A363" s="76"/>
      <c r="B363" s="360"/>
      <c r="C363" s="372" t="s">
        <v>766</v>
      </c>
      <c r="D363" s="372"/>
      <c r="E363" s="333"/>
      <c r="F363" s="41" t="s">
        <v>77</v>
      </c>
      <c r="G363" s="42">
        <v>1</v>
      </c>
      <c r="H363" s="1">
        <v>759.5</v>
      </c>
      <c r="I363" s="43">
        <f t="shared" si="157"/>
        <v>759.5</v>
      </c>
      <c r="J363" s="1">
        <v>440</v>
      </c>
      <c r="K363" s="43">
        <f t="shared" si="158"/>
        <v>440</v>
      </c>
      <c r="L363" s="44">
        <f t="shared" si="159"/>
        <v>1199.5</v>
      </c>
      <c r="M363" s="43">
        <f t="shared" si="160"/>
        <v>1199.5</v>
      </c>
    </row>
    <row r="364" spans="1:13" ht="30" customHeight="1" x14ac:dyDescent="0.25">
      <c r="A364" s="76"/>
      <c r="B364" s="361"/>
      <c r="C364" s="276" t="s">
        <v>753</v>
      </c>
      <c r="D364" s="278"/>
      <c r="E364" s="334"/>
      <c r="F364" s="41" t="s">
        <v>731</v>
      </c>
      <c r="G364" s="4">
        <v>0.35</v>
      </c>
      <c r="H364" s="119"/>
      <c r="I364" s="120">
        <f>SUM(I360:I363)*G364</f>
        <v>51287.074999999997</v>
      </c>
      <c r="J364" s="119"/>
      <c r="K364" s="120">
        <f>SUM(K360:K363)*G364</f>
        <v>55245.75</v>
      </c>
      <c r="L364" s="121"/>
      <c r="M364" s="120">
        <f>+I364+K364</f>
        <v>106532.825</v>
      </c>
    </row>
    <row r="365" spans="1:13" ht="30" customHeight="1" x14ac:dyDescent="0.25">
      <c r="A365" s="76"/>
      <c r="B365" s="37" t="s">
        <v>750</v>
      </c>
      <c r="C365" s="270" t="s">
        <v>751</v>
      </c>
      <c r="D365" s="356"/>
      <c r="E365" s="77" t="s">
        <v>740</v>
      </c>
      <c r="F365" s="97"/>
      <c r="G365" s="84"/>
      <c r="H365" s="78"/>
      <c r="I365" s="79">
        <f>SUM(I366:I367)</f>
        <v>97157.8125</v>
      </c>
      <c r="J365" s="78"/>
      <c r="K365" s="79">
        <f>SUM(K366:K367)</f>
        <v>90956.25</v>
      </c>
      <c r="L365" s="78"/>
      <c r="M365" s="79">
        <f>SUM(M366:M367)</f>
        <v>188114.0625</v>
      </c>
    </row>
    <row r="366" spans="1:13" ht="30" customHeight="1" x14ac:dyDescent="0.25">
      <c r="A366" s="76"/>
      <c r="B366" s="359"/>
      <c r="C366" s="354" t="s">
        <v>752</v>
      </c>
      <c r="D366" s="355"/>
      <c r="E366" s="332"/>
      <c r="F366" s="41" t="s">
        <v>77</v>
      </c>
      <c r="G366" s="42">
        <v>175</v>
      </c>
      <c r="H366" s="1">
        <v>411.25</v>
      </c>
      <c r="I366" s="43">
        <f t="shared" ref="I366" si="161">+H366*G366</f>
        <v>71968.75</v>
      </c>
      <c r="J366" s="1">
        <v>385</v>
      </c>
      <c r="K366" s="43">
        <f t="shared" ref="K366" si="162">+J366*G366</f>
        <v>67375</v>
      </c>
      <c r="L366" s="44">
        <f t="shared" ref="L366" si="163">+J366+H366</f>
        <v>796.25</v>
      </c>
      <c r="M366" s="43">
        <f t="shared" ref="M366" si="164">+L366*G366</f>
        <v>139343.75</v>
      </c>
    </row>
    <row r="367" spans="1:13" ht="30" customHeight="1" x14ac:dyDescent="0.25">
      <c r="A367" s="76"/>
      <c r="B367" s="361"/>
      <c r="C367" s="276" t="s">
        <v>754</v>
      </c>
      <c r="D367" s="278"/>
      <c r="E367" s="334"/>
      <c r="F367" s="41" t="s">
        <v>731</v>
      </c>
      <c r="G367" s="4">
        <v>0.35</v>
      </c>
      <c r="H367" s="119"/>
      <c r="I367" s="120">
        <f>SUM(I366:I366)*G367</f>
        <v>25189.0625</v>
      </c>
      <c r="J367" s="119"/>
      <c r="K367" s="120">
        <f>SUM(K366:K366)*G367</f>
        <v>23581.25</v>
      </c>
      <c r="L367" s="121"/>
      <c r="M367" s="120">
        <f>+I367+K367</f>
        <v>48770.3125</v>
      </c>
    </row>
    <row r="368" spans="1:13" ht="30" customHeight="1" x14ac:dyDescent="0.25">
      <c r="A368" s="76"/>
      <c r="B368" s="37" t="s">
        <v>755</v>
      </c>
      <c r="C368" s="270" t="s">
        <v>776</v>
      </c>
      <c r="D368" s="356"/>
      <c r="E368" s="77" t="s">
        <v>740</v>
      </c>
      <c r="F368" s="97"/>
      <c r="G368" s="84"/>
      <c r="H368" s="78"/>
      <c r="I368" s="79">
        <f>SUM(I369:I372)</f>
        <v>39663</v>
      </c>
      <c r="J368" s="78"/>
      <c r="K368" s="79">
        <f>SUM(K369:K372)</f>
        <v>159651</v>
      </c>
      <c r="L368" s="78"/>
      <c r="M368" s="79">
        <f>SUM(M369:M372)</f>
        <v>199314</v>
      </c>
    </row>
    <row r="369" spans="1:13" ht="30" customHeight="1" x14ac:dyDescent="0.25">
      <c r="A369" s="76"/>
      <c r="B369" s="359"/>
      <c r="C369" s="372" t="s">
        <v>760</v>
      </c>
      <c r="D369" s="372"/>
      <c r="E369" s="332" t="s">
        <v>756</v>
      </c>
      <c r="F369" s="41" t="s">
        <v>77</v>
      </c>
      <c r="G369" s="42">
        <v>150</v>
      </c>
      <c r="H369" s="1">
        <v>102</v>
      </c>
      <c r="I369" s="43">
        <f t="shared" ref="I369:I371" si="165">+H369*G369</f>
        <v>15300</v>
      </c>
      <c r="J369" s="1">
        <v>462</v>
      </c>
      <c r="K369" s="43">
        <f t="shared" ref="K369:K371" si="166">+J369*G369</f>
        <v>69300</v>
      </c>
      <c r="L369" s="44">
        <f t="shared" ref="L369:L371" si="167">+J369+H369</f>
        <v>564</v>
      </c>
      <c r="M369" s="43">
        <f t="shared" ref="M369:M371" si="168">+L369*G369</f>
        <v>84600</v>
      </c>
    </row>
    <row r="370" spans="1:13" ht="30" customHeight="1" x14ac:dyDescent="0.25">
      <c r="A370" s="76"/>
      <c r="B370" s="360"/>
      <c r="C370" s="372" t="s">
        <v>761</v>
      </c>
      <c r="D370" s="372"/>
      <c r="E370" s="333"/>
      <c r="F370" s="41" t="s">
        <v>77</v>
      </c>
      <c r="G370" s="42">
        <v>40</v>
      </c>
      <c r="H370" s="1">
        <v>142</v>
      </c>
      <c r="I370" s="43">
        <f t="shared" si="165"/>
        <v>5680</v>
      </c>
      <c r="J370" s="1">
        <v>552</v>
      </c>
      <c r="K370" s="43">
        <f t="shared" si="166"/>
        <v>22080</v>
      </c>
      <c r="L370" s="44">
        <f t="shared" si="167"/>
        <v>694</v>
      </c>
      <c r="M370" s="43">
        <f t="shared" si="168"/>
        <v>27760</v>
      </c>
    </row>
    <row r="371" spans="1:13" ht="30" customHeight="1" x14ac:dyDescent="0.25">
      <c r="A371" s="76"/>
      <c r="B371" s="360"/>
      <c r="C371" s="372" t="s">
        <v>762</v>
      </c>
      <c r="D371" s="372"/>
      <c r="E371" s="333"/>
      <c r="F371" s="41" t="s">
        <v>77</v>
      </c>
      <c r="G371" s="42">
        <v>40</v>
      </c>
      <c r="H371" s="1">
        <v>210</v>
      </c>
      <c r="I371" s="43">
        <f t="shared" si="165"/>
        <v>8400</v>
      </c>
      <c r="J371" s="1">
        <v>672</v>
      </c>
      <c r="K371" s="43">
        <f t="shared" si="166"/>
        <v>26880</v>
      </c>
      <c r="L371" s="44">
        <f t="shared" si="167"/>
        <v>882</v>
      </c>
      <c r="M371" s="43">
        <f t="shared" si="168"/>
        <v>35280</v>
      </c>
    </row>
    <row r="372" spans="1:13" ht="30" customHeight="1" x14ac:dyDescent="0.25">
      <c r="A372" s="76"/>
      <c r="B372" s="361"/>
      <c r="C372" s="276" t="s">
        <v>767</v>
      </c>
      <c r="D372" s="278"/>
      <c r="E372" s="334"/>
      <c r="F372" s="41" t="s">
        <v>731</v>
      </c>
      <c r="G372" s="4">
        <v>0.35</v>
      </c>
      <c r="H372" s="119"/>
      <c r="I372" s="120">
        <f>SUM(I369:I371)*G372</f>
        <v>10283</v>
      </c>
      <c r="J372" s="119"/>
      <c r="K372" s="120">
        <f>SUM(K369:K371)*G372</f>
        <v>41391</v>
      </c>
      <c r="L372" s="121"/>
      <c r="M372" s="120">
        <f>+I372+K372</f>
        <v>51674</v>
      </c>
    </row>
    <row r="373" spans="1:13" ht="30" customHeight="1" x14ac:dyDescent="0.25">
      <c r="A373" s="76"/>
      <c r="B373" s="37" t="s">
        <v>768</v>
      </c>
      <c r="C373" s="270" t="s">
        <v>769</v>
      </c>
      <c r="D373" s="271"/>
      <c r="E373" s="77"/>
      <c r="F373" s="97"/>
      <c r="G373" s="84"/>
      <c r="H373" s="78"/>
      <c r="I373" s="79">
        <f>SUM(I374)</f>
        <v>32500</v>
      </c>
      <c r="J373" s="78"/>
      <c r="K373" s="79">
        <f>SUM(K374)</f>
        <v>2250</v>
      </c>
      <c r="L373" s="78"/>
      <c r="M373" s="79">
        <f>SUM(M374)</f>
        <v>34750</v>
      </c>
    </row>
    <row r="374" spans="1:13" ht="30" customHeight="1" x14ac:dyDescent="0.25">
      <c r="A374" s="76"/>
      <c r="B374" s="70"/>
      <c r="C374" s="329" t="s">
        <v>726</v>
      </c>
      <c r="D374" s="358"/>
      <c r="E374" s="117"/>
      <c r="F374" s="41" t="s">
        <v>392</v>
      </c>
      <c r="G374" s="42">
        <v>1</v>
      </c>
      <c r="H374" s="1">
        <v>32500</v>
      </c>
      <c r="I374" s="43">
        <f t="shared" ref="I374" si="169">+H374*G374</f>
        <v>32500</v>
      </c>
      <c r="J374" s="1">
        <v>2250</v>
      </c>
      <c r="K374" s="43">
        <f t="shared" ref="K374" si="170">+J374*G374</f>
        <v>2250</v>
      </c>
      <c r="L374" s="44">
        <f t="shared" ref="L374" si="171">+J374+H374</f>
        <v>34750</v>
      </c>
      <c r="M374" s="43">
        <f t="shared" ref="M374" si="172">+L374*G374</f>
        <v>34750</v>
      </c>
    </row>
    <row r="375" spans="1:13" ht="30" customHeight="1" x14ac:dyDescent="0.25">
      <c r="A375" s="76"/>
      <c r="B375" s="37" t="s">
        <v>770</v>
      </c>
      <c r="C375" s="270" t="s">
        <v>771</v>
      </c>
      <c r="D375" s="271"/>
      <c r="E375" s="77" t="s">
        <v>740</v>
      </c>
      <c r="F375" s="97"/>
      <c r="G375" s="84"/>
      <c r="H375" s="78"/>
      <c r="I375" s="79">
        <f>SUM(I376:I377)</f>
        <v>1032</v>
      </c>
      <c r="J375" s="78"/>
      <c r="K375" s="79">
        <f>SUM(K376:K377)</f>
        <v>800</v>
      </c>
      <c r="L375" s="78"/>
      <c r="M375" s="79">
        <f>SUM(M376:M377)</f>
        <v>1832</v>
      </c>
    </row>
    <row r="376" spans="1:13" ht="30" customHeight="1" x14ac:dyDescent="0.25">
      <c r="A376" s="76"/>
      <c r="B376" s="359"/>
      <c r="C376" s="329" t="s">
        <v>757</v>
      </c>
      <c r="D376" s="330"/>
      <c r="E376" s="332" t="s">
        <v>772</v>
      </c>
      <c r="F376" s="41" t="s">
        <v>392</v>
      </c>
      <c r="G376" s="42">
        <v>2</v>
      </c>
      <c r="H376" s="1">
        <v>112</v>
      </c>
      <c r="I376" s="43">
        <f t="shared" ref="I376" si="173">+H376*G376</f>
        <v>224</v>
      </c>
      <c r="J376" s="1">
        <v>100</v>
      </c>
      <c r="K376" s="43">
        <f t="shared" ref="K376" si="174">+J376*G376</f>
        <v>200</v>
      </c>
      <c r="L376" s="44">
        <f t="shared" ref="L376" si="175">+J376+H376</f>
        <v>212</v>
      </c>
      <c r="M376" s="43">
        <f t="shared" ref="M376" si="176">+L376*G376</f>
        <v>424</v>
      </c>
    </row>
    <row r="377" spans="1:13" ht="30" customHeight="1" x14ac:dyDescent="0.25">
      <c r="A377" s="76"/>
      <c r="B377" s="361"/>
      <c r="C377" s="329" t="s">
        <v>758</v>
      </c>
      <c r="D377" s="330"/>
      <c r="E377" s="334"/>
      <c r="F377" s="41" t="s">
        <v>392</v>
      </c>
      <c r="G377" s="42">
        <v>4</v>
      </c>
      <c r="H377" s="1">
        <v>202</v>
      </c>
      <c r="I377" s="43">
        <f t="shared" ref="I377" si="177">+H377*G377</f>
        <v>808</v>
      </c>
      <c r="J377" s="1">
        <v>150</v>
      </c>
      <c r="K377" s="43">
        <f t="shared" ref="K377" si="178">+J377*G377</f>
        <v>600</v>
      </c>
      <c r="L377" s="44">
        <f t="shared" ref="L377" si="179">+J377+H377</f>
        <v>352</v>
      </c>
      <c r="M377" s="43">
        <f t="shared" ref="M377" si="180">+L377*G377</f>
        <v>1408</v>
      </c>
    </row>
    <row r="378" spans="1:13" ht="30" customHeight="1" x14ac:dyDescent="0.25">
      <c r="A378" s="76"/>
      <c r="B378" s="37" t="s">
        <v>773</v>
      </c>
      <c r="C378" s="270" t="s">
        <v>775</v>
      </c>
      <c r="D378" s="356"/>
      <c r="E378" s="77" t="s">
        <v>740</v>
      </c>
      <c r="F378" s="97"/>
      <c r="G378" s="84"/>
      <c r="H378" s="78"/>
      <c r="I378" s="79">
        <f>SUM(I379:I383)</f>
        <v>59280</v>
      </c>
      <c r="J378" s="78"/>
      <c r="K378" s="79">
        <f>SUM(K379:K383)</f>
        <v>285750</v>
      </c>
      <c r="L378" s="78"/>
      <c r="M378" s="79">
        <f>SUM(M379:M383)</f>
        <v>345030</v>
      </c>
    </row>
    <row r="379" spans="1:13" ht="30" customHeight="1" x14ac:dyDescent="0.25">
      <c r="A379" s="76"/>
      <c r="B379" s="98"/>
      <c r="C379" s="372" t="s">
        <v>535</v>
      </c>
      <c r="D379" s="372"/>
      <c r="E379" s="332"/>
      <c r="F379" s="41" t="s">
        <v>77</v>
      </c>
      <c r="G379" s="42">
        <v>80</v>
      </c>
      <c r="H379" s="1">
        <v>152</v>
      </c>
      <c r="I379" s="43">
        <f t="shared" ref="I379:I382" si="181">+H379*G379</f>
        <v>12160</v>
      </c>
      <c r="J379" s="1">
        <v>850</v>
      </c>
      <c r="K379" s="43">
        <f t="shared" ref="K379:K382" si="182">+J379*G379</f>
        <v>68000</v>
      </c>
      <c r="L379" s="44">
        <f t="shared" ref="L379:L382" si="183">+J379+H379</f>
        <v>1002</v>
      </c>
      <c r="M379" s="43">
        <f t="shared" ref="M379:M382" si="184">+L379*G379</f>
        <v>80160</v>
      </c>
    </row>
    <row r="380" spans="1:13" ht="30" customHeight="1" x14ac:dyDescent="0.25">
      <c r="A380" s="76"/>
      <c r="B380" s="100"/>
      <c r="C380" s="372" t="s">
        <v>536</v>
      </c>
      <c r="D380" s="372"/>
      <c r="E380" s="333"/>
      <c r="F380" s="41" t="s">
        <v>77</v>
      </c>
      <c r="G380" s="42">
        <v>50</v>
      </c>
      <c r="H380" s="1">
        <v>171.20000000000002</v>
      </c>
      <c r="I380" s="43">
        <f t="shared" si="181"/>
        <v>8560</v>
      </c>
      <c r="J380" s="1">
        <v>900</v>
      </c>
      <c r="K380" s="43">
        <f t="shared" si="182"/>
        <v>45000</v>
      </c>
      <c r="L380" s="44">
        <f t="shared" si="183"/>
        <v>1071.2</v>
      </c>
      <c r="M380" s="43">
        <f t="shared" si="184"/>
        <v>53560</v>
      </c>
    </row>
    <row r="381" spans="1:13" ht="30" customHeight="1" x14ac:dyDescent="0.25">
      <c r="A381" s="76"/>
      <c r="B381" s="100"/>
      <c r="C381" s="372" t="s">
        <v>537</v>
      </c>
      <c r="D381" s="372"/>
      <c r="E381" s="333"/>
      <c r="F381" s="41" t="s">
        <v>77</v>
      </c>
      <c r="G381" s="42">
        <v>25</v>
      </c>
      <c r="H381" s="1">
        <v>180</v>
      </c>
      <c r="I381" s="43">
        <f t="shared" si="181"/>
        <v>4500</v>
      </c>
      <c r="J381" s="1">
        <v>900</v>
      </c>
      <c r="K381" s="43">
        <f t="shared" si="182"/>
        <v>22500</v>
      </c>
      <c r="L381" s="44">
        <f t="shared" si="183"/>
        <v>1080</v>
      </c>
      <c r="M381" s="43">
        <f t="shared" si="184"/>
        <v>27000</v>
      </c>
    </row>
    <row r="382" spans="1:13" ht="30" customHeight="1" x14ac:dyDescent="0.25">
      <c r="A382" s="76"/>
      <c r="B382" s="100"/>
      <c r="C382" s="372" t="s">
        <v>774</v>
      </c>
      <c r="D382" s="372"/>
      <c r="E382" s="333"/>
      <c r="F382" s="41" t="s">
        <v>77</v>
      </c>
      <c r="G382" s="42">
        <v>50</v>
      </c>
      <c r="H382" s="1">
        <v>286</v>
      </c>
      <c r="I382" s="43">
        <f t="shared" si="181"/>
        <v>14300</v>
      </c>
      <c r="J382" s="1">
        <v>1100</v>
      </c>
      <c r="K382" s="43">
        <f t="shared" si="182"/>
        <v>55000</v>
      </c>
      <c r="L382" s="44">
        <f t="shared" si="183"/>
        <v>1386</v>
      </c>
      <c r="M382" s="43">
        <f t="shared" si="184"/>
        <v>69300</v>
      </c>
    </row>
    <row r="383" spans="1:13" ht="30" customHeight="1" x14ac:dyDescent="0.25">
      <c r="A383" s="76"/>
      <c r="B383" s="102"/>
      <c r="C383" s="122" t="s">
        <v>777</v>
      </c>
      <c r="D383" s="123"/>
      <c r="E383" s="334"/>
      <c r="F383" s="41" t="s">
        <v>731</v>
      </c>
      <c r="G383" s="4">
        <v>0.5</v>
      </c>
      <c r="H383" s="119"/>
      <c r="I383" s="120">
        <f>SUM(I379:I382)*G383</f>
        <v>19760</v>
      </c>
      <c r="J383" s="119"/>
      <c r="K383" s="120">
        <f>SUM(K379:K382)*G383</f>
        <v>95250</v>
      </c>
      <c r="L383" s="121"/>
      <c r="M383" s="120">
        <f>+I383+K383</f>
        <v>115010</v>
      </c>
    </row>
    <row r="384" spans="1:13" ht="30" customHeight="1" x14ac:dyDescent="0.25">
      <c r="A384" s="76"/>
      <c r="B384" s="37" t="s">
        <v>778</v>
      </c>
      <c r="C384" s="270" t="s">
        <v>779</v>
      </c>
      <c r="D384" s="356"/>
      <c r="E384" s="77" t="s">
        <v>780</v>
      </c>
      <c r="F384" s="97"/>
      <c r="G384" s="84"/>
      <c r="H384" s="78"/>
      <c r="I384" s="79">
        <f>SUM(I385:I392)</f>
        <v>150720.5</v>
      </c>
      <c r="J384" s="78"/>
      <c r="K384" s="79">
        <f>SUM(K385:K392)</f>
        <v>52241</v>
      </c>
      <c r="L384" s="78"/>
      <c r="M384" s="79">
        <f>SUM(M385:M392)</f>
        <v>202961.5</v>
      </c>
    </row>
    <row r="385" spans="1:13" ht="30" customHeight="1" x14ac:dyDescent="0.25">
      <c r="A385" s="76"/>
      <c r="B385" s="359"/>
      <c r="C385" s="357" t="s">
        <v>795</v>
      </c>
      <c r="D385" s="358"/>
      <c r="E385" s="332"/>
      <c r="F385" s="41" t="s">
        <v>392</v>
      </c>
      <c r="G385" s="42">
        <v>12</v>
      </c>
      <c r="H385" s="1">
        <v>472.49999999999994</v>
      </c>
      <c r="I385" s="43">
        <f t="shared" ref="I385" si="185">+H385*G385</f>
        <v>5669.9999999999991</v>
      </c>
      <c r="J385" s="1">
        <v>322</v>
      </c>
      <c r="K385" s="43">
        <f t="shared" ref="K385" si="186">+J385*G385</f>
        <v>3864</v>
      </c>
      <c r="L385" s="44">
        <f t="shared" ref="L385" si="187">+J385+H385</f>
        <v>794.5</v>
      </c>
      <c r="M385" s="43">
        <f t="shared" ref="M385" si="188">+L385*G385</f>
        <v>9534</v>
      </c>
    </row>
    <row r="386" spans="1:13" ht="30" customHeight="1" x14ac:dyDescent="0.25">
      <c r="A386" s="76"/>
      <c r="B386" s="360"/>
      <c r="C386" s="357" t="s">
        <v>723</v>
      </c>
      <c r="D386" s="358"/>
      <c r="E386" s="333"/>
      <c r="F386" s="41" t="s">
        <v>392</v>
      </c>
      <c r="G386" s="42">
        <v>9</v>
      </c>
      <c r="H386" s="1">
        <v>472.49999999999994</v>
      </c>
      <c r="I386" s="43">
        <f t="shared" ref="I386:I392" si="189">+H386*G386</f>
        <v>4252.4999999999991</v>
      </c>
      <c r="J386" s="1">
        <v>378</v>
      </c>
      <c r="K386" s="43">
        <f t="shared" ref="K386:K392" si="190">+J386*G386</f>
        <v>3402</v>
      </c>
      <c r="L386" s="44">
        <f t="shared" ref="L386:L392" si="191">+J386+H386</f>
        <v>850.5</v>
      </c>
      <c r="M386" s="43">
        <f t="shared" ref="M386:M392" si="192">+L386*G386</f>
        <v>7654.5</v>
      </c>
    </row>
    <row r="387" spans="1:13" ht="30" customHeight="1" x14ac:dyDescent="0.25">
      <c r="A387" s="76"/>
      <c r="B387" s="360"/>
      <c r="C387" s="357" t="s">
        <v>724</v>
      </c>
      <c r="D387" s="358"/>
      <c r="E387" s="333"/>
      <c r="F387" s="41" t="s">
        <v>392</v>
      </c>
      <c r="G387" s="42">
        <v>8</v>
      </c>
      <c r="H387" s="1">
        <v>726.25</v>
      </c>
      <c r="I387" s="43">
        <f t="shared" si="189"/>
        <v>5810</v>
      </c>
      <c r="J387" s="1">
        <v>406</v>
      </c>
      <c r="K387" s="43">
        <f t="shared" si="190"/>
        <v>3248</v>
      </c>
      <c r="L387" s="44">
        <f t="shared" si="191"/>
        <v>1132.25</v>
      </c>
      <c r="M387" s="43">
        <f t="shared" si="192"/>
        <v>9058</v>
      </c>
    </row>
    <row r="388" spans="1:13" ht="30" customHeight="1" x14ac:dyDescent="0.25">
      <c r="A388" s="76"/>
      <c r="B388" s="360"/>
      <c r="C388" s="357" t="s">
        <v>725</v>
      </c>
      <c r="D388" s="358"/>
      <c r="E388" s="333"/>
      <c r="F388" s="41" t="s">
        <v>392</v>
      </c>
      <c r="G388" s="42">
        <v>6</v>
      </c>
      <c r="H388" s="1">
        <v>1146.25</v>
      </c>
      <c r="I388" s="43">
        <f t="shared" si="189"/>
        <v>6877.5</v>
      </c>
      <c r="J388" s="1">
        <v>448</v>
      </c>
      <c r="K388" s="43">
        <f t="shared" si="190"/>
        <v>2688</v>
      </c>
      <c r="L388" s="44">
        <f t="shared" si="191"/>
        <v>1594.25</v>
      </c>
      <c r="M388" s="43">
        <f t="shared" si="192"/>
        <v>9565.5</v>
      </c>
    </row>
    <row r="389" spans="1:13" ht="30" customHeight="1" x14ac:dyDescent="0.25">
      <c r="A389" s="76"/>
      <c r="B389" s="360"/>
      <c r="C389" s="357" t="s">
        <v>726</v>
      </c>
      <c r="D389" s="358"/>
      <c r="E389" s="333"/>
      <c r="F389" s="41" t="s">
        <v>392</v>
      </c>
      <c r="G389" s="42">
        <v>15</v>
      </c>
      <c r="H389" s="1">
        <v>1662.5</v>
      </c>
      <c r="I389" s="43">
        <f t="shared" si="189"/>
        <v>24937.5</v>
      </c>
      <c r="J389" s="1">
        <v>496.99999999999994</v>
      </c>
      <c r="K389" s="43">
        <f t="shared" si="190"/>
        <v>7454.9999999999991</v>
      </c>
      <c r="L389" s="44">
        <f t="shared" si="191"/>
        <v>2159.5</v>
      </c>
      <c r="M389" s="43">
        <f t="shared" si="192"/>
        <v>32392.5</v>
      </c>
    </row>
    <row r="390" spans="1:13" ht="30" customHeight="1" x14ac:dyDescent="0.25">
      <c r="A390" s="76"/>
      <c r="B390" s="360"/>
      <c r="C390" s="276" t="s">
        <v>727</v>
      </c>
      <c r="D390" s="278"/>
      <c r="E390" s="333"/>
      <c r="F390" s="41" t="s">
        <v>392</v>
      </c>
      <c r="G390" s="42">
        <v>18</v>
      </c>
      <c r="H390" s="1">
        <v>3062.5</v>
      </c>
      <c r="I390" s="43">
        <f t="shared" si="189"/>
        <v>55125</v>
      </c>
      <c r="J390" s="1">
        <v>812</v>
      </c>
      <c r="K390" s="43">
        <f t="shared" si="190"/>
        <v>14616</v>
      </c>
      <c r="L390" s="44">
        <f t="shared" si="191"/>
        <v>3874.5</v>
      </c>
      <c r="M390" s="43">
        <f t="shared" si="192"/>
        <v>69741</v>
      </c>
    </row>
    <row r="391" spans="1:13" ht="30" customHeight="1" x14ac:dyDescent="0.25">
      <c r="A391" s="76"/>
      <c r="B391" s="360"/>
      <c r="C391" s="276" t="s">
        <v>728</v>
      </c>
      <c r="D391" s="278"/>
      <c r="E391" s="333"/>
      <c r="F391" s="41" t="s">
        <v>392</v>
      </c>
      <c r="G391" s="42">
        <v>3</v>
      </c>
      <c r="H391" s="1">
        <v>9471</v>
      </c>
      <c r="I391" s="43">
        <f t="shared" si="189"/>
        <v>28413</v>
      </c>
      <c r="J391" s="1">
        <v>3192</v>
      </c>
      <c r="K391" s="43">
        <f t="shared" si="190"/>
        <v>9576</v>
      </c>
      <c r="L391" s="44">
        <f t="shared" si="191"/>
        <v>12663</v>
      </c>
      <c r="M391" s="43">
        <f t="shared" si="192"/>
        <v>37989</v>
      </c>
    </row>
    <row r="392" spans="1:13" ht="30" customHeight="1" x14ac:dyDescent="0.25">
      <c r="A392" s="76"/>
      <c r="B392" s="361"/>
      <c r="C392" s="276" t="s">
        <v>729</v>
      </c>
      <c r="D392" s="278"/>
      <c r="E392" s="334"/>
      <c r="F392" s="41" t="s">
        <v>392</v>
      </c>
      <c r="G392" s="42">
        <v>2</v>
      </c>
      <c r="H392" s="1">
        <v>9817.5</v>
      </c>
      <c r="I392" s="43">
        <f t="shared" si="189"/>
        <v>19635</v>
      </c>
      <c r="J392" s="1">
        <v>3695.9999999999995</v>
      </c>
      <c r="K392" s="43">
        <f t="shared" si="190"/>
        <v>7391.9999999999991</v>
      </c>
      <c r="L392" s="44">
        <f t="shared" si="191"/>
        <v>13513.5</v>
      </c>
      <c r="M392" s="43">
        <f t="shared" si="192"/>
        <v>27027</v>
      </c>
    </row>
    <row r="393" spans="1:13" ht="30" customHeight="1" x14ac:dyDescent="0.25">
      <c r="A393" s="76"/>
      <c r="B393" s="37" t="s">
        <v>788</v>
      </c>
      <c r="C393" s="270" t="s">
        <v>789</v>
      </c>
      <c r="D393" s="356"/>
      <c r="E393" s="77" t="s">
        <v>790</v>
      </c>
      <c r="F393" s="97"/>
      <c r="G393" s="84"/>
      <c r="H393" s="78"/>
      <c r="I393" s="79">
        <f>SUM(I394:I395)</f>
        <v>0</v>
      </c>
      <c r="J393" s="78"/>
      <c r="K393" s="79">
        <f>SUM(K394:K395)</f>
        <v>0</v>
      </c>
      <c r="L393" s="78"/>
      <c r="M393" s="79">
        <f>SUM(M394:M395)</f>
        <v>0</v>
      </c>
    </row>
    <row r="394" spans="1:13" ht="30" customHeight="1" x14ac:dyDescent="0.25">
      <c r="A394" s="76"/>
      <c r="B394" s="359"/>
      <c r="C394" s="357" t="s">
        <v>791</v>
      </c>
      <c r="D394" s="358"/>
      <c r="E394" s="332"/>
      <c r="F394" s="41" t="s">
        <v>392</v>
      </c>
      <c r="G394" s="42">
        <v>2</v>
      </c>
      <c r="H394" s="1"/>
      <c r="I394" s="43">
        <f t="shared" ref="I394:I395" si="193">+H394*G394</f>
        <v>0</v>
      </c>
      <c r="J394" s="1"/>
      <c r="K394" s="43">
        <f t="shared" ref="K394:K395" si="194">+J394*G394</f>
        <v>0</v>
      </c>
      <c r="L394" s="44">
        <f t="shared" ref="L394:L395" si="195">+J394+H394</f>
        <v>0</v>
      </c>
      <c r="M394" s="43">
        <f t="shared" ref="M394:M395" si="196">+L394*G394</f>
        <v>0</v>
      </c>
    </row>
    <row r="395" spans="1:13" ht="30" customHeight="1" x14ac:dyDescent="0.25">
      <c r="A395" s="76"/>
      <c r="B395" s="361"/>
      <c r="C395" s="357" t="s">
        <v>792</v>
      </c>
      <c r="D395" s="358"/>
      <c r="E395" s="334"/>
      <c r="F395" s="41" t="s">
        <v>392</v>
      </c>
      <c r="G395" s="42">
        <v>2</v>
      </c>
      <c r="H395" s="1"/>
      <c r="I395" s="43">
        <f t="shared" si="193"/>
        <v>0</v>
      </c>
      <c r="J395" s="1"/>
      <c r="K395" s="43">
        <f t="shared" si="194"/>
        <v>0</v>
      </c>
      <c r="L395" s="44">
        <f t="shared" si="195"/>
        <v>0</v>
      </c>
      <c r="M395" s="43">
        <f t="shared" si="196"/>
        <v>0</v>
      </c>
    </row>
    <row r="396" spans="1:13" ht="30" customHeight="1" x14ac:dyDescent="0.25">
      <c r="A396" s="76"/>
      <c r="B396" s="37" t="s">
        <v>793</v>
      </c>
      <c r="C396" s="270" t="s">
        <v>794</v>
      </c>
      <c r="D396" s="356"/>
      <c r="E396" s="77" t="s">
        <v>790</v>
      </c>
      <c r="F396" s="97"/>
      <c r="G396" s="84"/>
      <c r="H396" s="78"/>
      <c r="I396" s="79">
        <f>SUM(I397:I398)</f>
        <v>4515</v>
      </c>
      <c r="J396" s="78"/>
      <c r="K396" s="79">
        <f>SUM(K397:K398)</f>
        <v>1624</v>
      </c>
      <c r="L396" s="78"/>
      <c r="M396" s="79">
        <f>SUM(M397:M398)</f>
        <v>6139</v>
      </c>
    </row>
    <row r="397" spans="1:13" ht="30" customHeight="1" x14ac:dyDescent="0.25">
      <c r="A397" s="76"/>
      <c r="B397" s="359"/>
      <c r="C397" s="357" t="s">
        <v>724</v>
      </c>
      <c r="D397" s="358"/>
      <c r="E397" s="332"/>
      <c r="F397" s="41" t="s">
        <v>392</v>
      </c>
      <c r="G397" s="42">
        <v>2</v>
      </c>
      <c r="H397" s="1">
        <v>726.25</v>
      </c>
      <c r="I397" s="43">
        <f t="shared" ref="I397:I398" si="197">+H397*G397</f>
        <v>1452.5</v>
      </c>
      <c r="J397" s="1">
        <v>406</v>
      </c>
      <c r="K397" s="43">
        <f t="shared" ref="K397:K398" si="198">+J397*G397</f>
        <v>812</v>
      </c>
      <c r="L397" s="44">
        <f t="shared" ref="L397:L398" si="199">+J397+H397</f>
        <v>1132.25</v>
      </c>
      <c r="M397" s="43">
        <f t="shared" ref="M397:M398" si="200">+L397*G397</f>
        <v>2264.5</v>
      </c>
    </row>
    <row r="398" spans="1:13" ht="30" customHeight="1" x14ac:dyDescent="0.25">
      <c r="A398" s="76"/>
      <c r="B398" s="361"/>
      <c r="C398" s="357" t="s">
        <v>727</v>
      </c>
      <c r="D398" s="358"/>
      <c r="E398" s="334"/>
      <c r="F398" s="41" t="s">
        <v>392</v>
      </c>
      <c r="G398" s="42">
        <v>1</v>
      </c>
      <c r="H398" s="1">
        <v>3062.5</v>
      </c>
      <c r="I398" s="43">
        <f t="shared" si="197"/>
        <v>3062.5</v>
      </c>
      <c r="J398" s="1">
        <v>812</v>
      </c>
      <c r="K398" s="43">
        <f t="shared" si="198"/>
        <v>812</v>
      </c>
      <c r="L398" s="44">
        <f t="shared" si="199"/>
        <v>3874.5</v>
      </c>
      <c r="M398" s="43">
        <f t="shared" si="200"/>
        <v>3874.5</v>
      </c>
    </row>
    <row r="399" spans="1:13" ht="30" customHeight="1" x14ac:dyDescent="0.25">
      <c r="A399" s="76"/>
      <c r="B399" s="37" t="s">
        <v>796</v>
      </c>
      <c r="C399" s="270" t="s">
        <v>797</v>
      </c>
      <c r="D399" s="356"/>
      <c r="E399" s="77" t="s">
        <v>790</v>
      </c>
      <c r="F399" s="97"/>
      <c r="G399" s="84"/>
      <c r="H399" s="78"/>
      <c r="I399" s="79">
        <f>SUM(I400:I402)</f>
        <v>4016.25</v>
      </c>
      <c r="J399" s="78"/>
      <c r="K399" s="79">
        <f>SUM(K400:K402)</f>
        <v>1715</v>
      </c>
      <c r="L399" s="78"/>
      <c r="M399" s="79">
        <f>SUM(M400:M402)</f>
        <v>5731.25</v>
      </c>
    </row>
    <row r="400" spans="1:13" ht="30" customHeight="1" x14ac:dyDescent="0.25">
      <c r="A400" s="76"/>
      <c r="B400" s="359"/>
      <c r="C400" s="357" t="s">
        <v>723</v>
      </c>
      <c r="D400" s="358"/>
      <c r="E400" s="332"/>
      <c r="F400" s="41" t="s">
        <v>392</v>
      </c>
      <c r="G400" s="42">
        <v>1</v>
      </c>
      <c r="H400" s="1">
        <v>341.25</v>
      </c>
      <c r="I400" s="43">
        <f t="shared" ref="I400:I402" si="201">+H400*G400</f>
        <v>341.25</v>
      </c>
      <c r="J400" s="1">
        <v>322</v>
      </c>
      <c r="K400" s="43">
        <f t="shared" ref="K400:K402" si="202">+J400*G400</f>
        <v>322</v>
      </c>
      <c r="L400" s="44">
        <f t="shared" ref="L400:L402" si="203">+J400+H400</f>
        <v>663.25</v>
      </c>
      <c r="M400" s="43">
        <f t="shared" ref="M400:M402" si="204">+L400*G400</f>
        <v>663.25</v>
      </c>
    </row>
    <row r="401" spans="1:13" ht="30" customHeight="1" x14ac:dyDescent="0.25">
      <c r="A401" s="76"/>
      <c r="B401" s="360"/>
      <c r="C401" s="115" t="s">
        <v>726</v>
      </c>
      <c r="D401" s="116"/>
      <c r="E401" s="333"/>
      <c r="F401" s="41" t="s">
        <v>392</v>
      </c>
      <c r="G401" s="42">
        <v>2</v>
      </c>
      <c r="H401" s="1">
        <v>1093.75</v>
      </c>
      <c r="I401" s="43">
        <f t="shared" si="201"/>
        <v>2187.5</v>
      </c>
      <c r="J401" s="1">
        <v>448</v>
      </c>
      <c r="K401" s="43">
        <f t="shared" si="202"/>
        <v>896</v>
      </c>
      <c r="L401" s="44">
        <f t="shared" si="203"/>
        <v>1541.75</v>
      </c>
      <c r="M401" s="43">
        <f t="shared" si="204"/>
        <v>3083.5</v>
      </c>
    </row>
    <row r="402" spans="1:13" ht="30" customHeight="1" x14ac:dyDescent="0.25">
      <c r="A402" s="76"/>
      <c r="B402" s="361"/>
      <c r="C402" s="357" t="s">
        <v>727</v>
      </c>
      <c r="D402" s="358"/>
      <c r="E402" s="334"/>
      <c r="F402" s="41" t="s">
        <v>392</v>
      </c>
      <c r="G402" s="42">
        <v>1</v>
      </c>
      <c r="H402" s="1">
        <v>1487.5</v>
      </c>
      <c r="I402" s="43">
        <f t="shared" si="201"/>
        <v>1487.5</v>
      </c>
      <c r="J402" s="1">
        <v>496.99999999999994</v>
      </c>
      <c r="K402" s="43">
        <f t="shared" si="202"/>
        <v>496.99999999999994</v>
      </c>
      <c r="L402" s="44">
        <f t="shared" si="203"/>
        <v>1984.5</v>
      </c>
      <c r="M402" s="43">
        <f t="shared" si="204"/>
        <v>1984.5</v>
      </c>
    </row>
    <row r="403" spans="1:13" ht="30" customHeight="1" x14ac:dyDescent="0.25">
      <c r="A403" s="76"/>
      <c r="B403" s="37" t="s">
        <v>798</v>
      </c>
      <c r="C403" s="270" t="s">
        <v>799</v>
      </c>
      <c r="D403" s="356"/>
      <c r="E403" s="77" t="s">
        <v>800</v>
      </c>
      <c r="F403" s="97"/>
      <c r="G403" s="84"/>
      <c r="H403" s="78"/>
      <c r="I403" s="79">
        <f>SUM(I404:I405)</f>
        <v>16380</v>
      </c>
      <c r="J403" s="78"/>
      <c r="K403" s="79">
        <f>SUM(K404:K405)</f>
        <v>6314</v>
      </c>
      <c r="L403" s="78"/>
      <c r="M403" s="79">
        <f>SUM(M404:M405)</f>
        <v>22694</v>
      </c>
    </row>
    <row r="404" spans="1:13" ht="30" customHeight="1" x14ac:dyDescent="0.25">
      <c r="A404" s="76"/>
      <c r="B404" s="359"/>
      <c r="C404" s="357" t="s">
        <v>727</v>
      </c>
      <c r="D404" s="358"/>
      <c r="E404" s="332"/>
      <c r="F404" s="41" t="s">
        <v>392</v>
      </c>
      <c r="G404" s="42">
        <v>6</v>
      </c>
      <c r="H404" s="1">
        <v>1750</v>
      </c>
      <c r="I404" s="43">
        <f t="shared" ref="I404:I405" si="205">+H404*G404</f>
        <v>10500</v>
      </c>
      <c r="J404" s="1">
        <v>665</v>
      </c>
      <c r="K404" s="43">
        <f t="shared" ref="K404:K405" si="206">+J404*G404</f>
        <v>3990</v>
      </c>
      <c r="L404" s="44">
        <f t="shared" ref="L404:L405" si="207">+J404+H404</f>
        <v>2415</v>
      </c>
      <c r="M404" s="43">
        <f t="shared" ref="M404:M405" si="208">+L404*G404</f>
        <v>14490</v>
      </c>
    </row>
    <row r="405" spans="1:13" ht="30" customHeight="1" x14ac:dyDescent="0.25">
      <c r="A405" s="76"/>
      <c r="B405" s="361"/>
      <c r="C405" s="357" t="s">
        <v>726</v>
      </c>
      <c r="D405" s="358"/>
      <c r="E405" s="334"/>
      <c r="F405" s="41" t="s">
        <v>392</v>
      </c>
      <c r="G405" s="42">
        <v>4</v>
      </c>
      <c r="H405" s="1">
        <v>1470</v>
      </c>
      <c r="I405" s="43">
        <f t="shared" si="205"/>
        <v>5880</v>
      </c>
      <c r="J405" s="1">
        <v>581</v>
      </c>
      <c r="K405" s="43">
        <f t="shared" si="206"/>
        <v>2324</v>
      </c>
      <c r="L405" s="44">
        <f t="shared" si="207"/>
        <v>2051</v>
      </c>
      <c r="M405" s="43">
        <f t="shared" si="208"/>
        <v>8204</v>
      </c>
    </row>
    <row r="406" spans="1:13" ht="30" customHeight="1" x14ac:dyDescent="0.25">
      <c r="A406" s="76"/>
      <c r="B406" s="37" t="s">
        <v>801</v>
      </c>
      <c r="C406" s="270" t="s">
        <v>802</v>
      </c>
      <c r="D406" s="356"/>
      <c r="E406" s="77" t="s">
        <v>740</v>
      </c>
      <c r="F406" s="97"/>
      <c r="G406" s="84"/>
      <c r="H406" s="78"/>
      <c r="I406" s="79">
        <f>SUM(I407)</f>
        <v>2600</v>
      </c>
      <c r="J406" s="78"/>
      <c r="K406" s="79">
        <f>SUM(K407)</f>
        <v>415</v>
      </c>
      <c r="L406" s="78"/>
      <c r="M406" s="79">
        <f>SUM(M407)</f>
        <v>3015</v>
      </c>
    </row>
    <row r="407" spans="1:13" ht="30" customHeight="1" x14ac:dyDescent="0.25">
      <c r="A407" s="76"/>
      <c r="B407" s="70"/>
      <c r="C407" s="357" t="s">
        <v>763</v>
      </c>
      <c r="D407" s="358"/>
      <c r="E407" s="95"/>
      <c r="F407" s="41" t="s">
        <v>392</v>
      </c>
      <c r="G407" s="42">
        <v>1</v>
      </c>
      <c r="H407" s="1">
        <v>2600</v>
      </c>
      <c r="I407" s="43">
        <f t="shared" ref="I407" si="209">+H407*G407</f>
        <v>2600</v>
      </c>
      <c r="J407" s="1">
        <v>415</v>
      </c>
      <c r="K407" s="43">
        <f t="shared" ref="K407" si="210">+J407*G407</f>
        <v>415</v>
      </c>
      <c r="L407" s="44">
        <f t="shared" ref="L407" si="211">+J407+H407</f>
        <v>3015</v>
      </c>
      <c r="M407" s="43">
        <f t="shared" ref="M407" si="212">+L407*G407</f>
        <v>3015</v>
      </c>
    </row>
    <row r="408" spans="1:13" ht="30" customHeight="1" x14ac:dyDescent="0.25">
      <c r="A408" s="76"/>
      <c r="B408" s="37" t="s">
        <v>803</v>
      </c>
      <c r="C408" s="270" t="s">
        <v>804</v>
      </c>
      <c r="D408" s="356"/>
      <c r="E408" s="77" t="s">
        <v>805</v>
      </c>
      <c r="F408" s="97"/>
      <c r="G408" s="84"/>
      <c r="H408" s="78"/>
      <c r="I408" s="79">
        <f>SUM(I409)</f>
        <v>42000</v>
      </c>
      <c r="J408" s="78"/>
      <c r="K408" s="79">
        <f>SUM(K409)</f>
        <v>9000</v>
      </c>
      <c r="L408" s="78"/>
      <c r="M408" s="79">
        <f>SUM(M409)</f>
        <v>51000</v>
      </c>
    </row>
    <row r="409" spans="1:13" ht="30" customHeight="1" x14ac:dyDescent="0.25">
      <c r="A409" s="76"/>
      <c r="B409" s="70"/>
      <c r="C409" s="357" t="s">
        <v>806</v>
      </c>
      <c r="D409" s="358"/>
      <c r="E409" s="95"/>
      <c r="F409" s="41" t="s">
        <v>392</v>
      </c>
      <c r="G409" s="42">
        <v>4</v>
      </c>
      <c r="H409" s="1">
        <v>10500</v>
      </c>
      <c r="I409" s="43">
        <f t="shared" ref="I409" si="213">+H409*G409</f>
        <v>42000</v>
      </c>
      <c r="J409" s="1">
        <v>2250</v>
      </c>
      <c r="K409" s="43">
        <f t="shared" ref="K409" si="214">+J409*G409</f>
        <v>9000</v>
      </c>
      <c r="L409" s="44">
        <f t="shared" ref="L409" si="215">+J409+H409</f>
        <v>12750</v>
      </c>
      <c r="M409" s="43">
        <f t="shared" ref="M409" si="216">+L409*G409</f>
        <v>51000</v>
      </c>
    </row>
    <row r="410" spans="1:13" ht="30" customHeight="1" x14ac:dyDescent="0.25">
      <c r="A410" s="76"/>
      <c r="B410" s="37" t="s">
        <v>807</v>
      </c>
      <c r="C410" s="270" t="s">
        <v>808</v>
      </c>
      <c r="D410" s="356"/>
      <c r="E410" s="77" t="s">
        <v>809</v>
      </c>
      <c r="F410" s="97"/>
      <c r="G410" s="84"/>
      <c r="H410" s="78"/>
      <c r="I410" s="79">
        <f>SUM(I411:I414)</f>
        <v>32620</v>
      </c>
      <c r="J410" s="78"/>
      <c r="K410" s="79">
        <f>SUM(K411:K414)</f>
        <v>31340</v>
      </c>
      <c r="L410" s="78"/>
      <c r="M410" s="79">
        <f>SUM(M411:M414)</f>
        <v>63960</v>
      </c>
    </row>
    <row r="411" spans="1:13" ht="30" customHeight="1" x14ac:dyDescent="0.25">
      <c r="A411" s="76"/>
      <c r="B411" s="359"/>
      <c r="C411" s="329" t="s">
        <v>812</v>
      </c>
      <c r="D411" s="330"/>
      <c r="E411" s="332"/>
      <c r="F411" s="41" t="s">
        <v>392</v>
      </c>
      <c r="G411" s="42">
        <v>8</v>
      </c>
      <c r="H411" s="1">
        <v>630</v>
      </c>
      <c r="I411" s="43">
        <f t="shared" ref="I411" si="217">+H411*G411</f>
        <v>5040</v>
      </c>
      <c r="J411" s="1">
        <v>830</v>
      </c>
      <c r="K411" s="43">
        <f t="shared" ref="K411" si="218">+J411*G411</f>
        <v>6640</v>
      </c>
      <c r="L411" s="44">
        <f t="shared" ref="L411" si="219">+J411+H411</f>
        <v>1460</v>
      </c>
      <c r="M411" s="43">
        <f t="shared" ref="M411" si="220">+L411*G411</f>
        <v>11680</v>
      </c>
    </row>
    <row r="412" spans="1:13" ht="30" customHeight="1" x14ac:dyDescent="0.25">
      <c r="A412" s="76"/>
      <c r="B412" s="360"/>
      <c r="C412" s="329" t="s">
        <v>810</v>
      </c>
      <c r="D412" s="330"/>
      <c r="E412" s="333"/>
      <c r="F412" s="41" t="s">
        <v>392</v>
      </c>
      <c r="G412" s="42">
        <v>10</v>
      </c>
      <c r="H412" s="1">
        <v>1190</v>
      </c>
      <c r="I412" s="43">
        <f t="shared" ref="I412:I414" si="221">+H412*G412</f>
        <v>11900</v>
      </c>
      <c r="J412" s="1">
        <v>1100</v>
      </c>
      <c r="K412" s="43">
        <f t="shared" ref="K412:K414" si="222">+J412*G412</f>
        <v>11000</v>
      </c>
      <c r="L412" s="44">
        <f t="shared" ref="L412:L414" si="223">+J412+H412</f>
        <v>2290</v>
      </c>
      <c r="M412" s="43">
        <f t="shared" ref="M412:M414" si="224">+L412*G412</f>
        <v>22900</v>
      </c>
    </row>
    <row r="413" spans="1:13" ht="30" customHeight="1" x14ac:dyDescent="0.25">
      <c r="A413" s="76"/>
      <c r="B413" s="360"/>
      <c r="C413" s="329" t="s">
        <v>813</v>
      </c>
      <c r="D413" s="330"/>
      <c r="E413" s="333"/>
      <c r="F413" s="41" t="s">
        <v>392</v>
      </c>
      <c r="G413" s="42">
        <v>2</v>
      </c>
      <c r="H413" s="1">
        <v>1190</v>
      </c>
      <c r="I413" s="43">
        <f t="shared" si="221"/>
        <v>2380</v>
      </c>
      <c r="J413" s="1">
        <v>1100</v>
      </c>
      <c r="K413" s="43">
        <f t="shared" si="222"/>
        <v>2200</v>
      </c>
      <c r="L413" s="44">
        <f t="shared" si="223"/>
        <v>2290</v>
      </c>
      <c r="M413" s="43">
        <f t="shared" si="224"/>
        <v>4580</v>
      </c>
    </row>
    <row r="414" spans="1:13" ht="30" customHeight="1" x14ac:dyDescent="0.25">
      <c r="A414" s="76"/>
      <c r="B414" s="361"/>
      <c r="C414" s="329" t="s">
        <v>811</v>
      </c>
      <c r="D414" s="330"/>
      <c r="E414" s="334"/>
      <c r="F414" s="41" t="s">
        <v>392</v>
      </c>
      <c r="G414" s="42">
        <v>10</v>
      </c>
      <c r="H414" s="1">
        <v>1330</v>
      </c>
      <c r="I414" s="43">
        <f t="shared" si="221"/>
        <v>13300</v>
      </c>
      <c r="J414" s="1">
        <v>1150</v>
      </c>
      <c r="K414" s="43">
        <f t="shared" si="222"/>
        <v>11500</v>
      </c>
      <c r="L414" s="44">
        <f t="shared" si="223"/>
        <v>2480</v>
      </c>
      <c r="M414" s="43">
        <f t="shared" si="224"/>
        <v>24800</v>
      </c>
    </row>
    <row r="415" spans="1:13" ht="30" customHeight="1" x14ac:dyDescent="0.25">
      <c r="A415" s="76"/>
      <c r="B415" s="37" t="s">
        <v>814</v>
      </c>
      <c r="C415" s="270" t="s">
        <v>815</v>
      </c>
      <c r="D415" s="356"/>
      <c r="E415" s="77" t="s">
        <v>816</v>
      </c>
      <c r="F415" s="97"/>
      <c r="G415" s="84"/>
      <c r="H415" s="78"/>
      <c r="I415" s="79">
        <f>SUM(I416:I417)</f>
        <v>5750</v>
      </c>
      <c r="J415" s="78"/>
      <c r="K415" s="79">
        <f>SUM(K416:K417)</f>
        <v>3300</v>
      </c>
      <c r="L415" s="78"/>
      <c r="M415" s="79">
        <f>SUM(M416:M417)</f>
        <v>9050</v>
      </c>
    </row>
    <row r="416" spans="1:13" ht="30" customHeight="1" x14ac:dyDescent="0.25">
      <c r="A416" s="76"/>
      <c r="B416" s="359"/>
      <c r="C416" s="329" t="s">
        <v>727</v>
      </c>
      <c r="D416" s="330"/>
      <c r="E416" s="95"/>
      <c r="F416" s="41" t="s">
        <v>392</v>
      </c>
      <c r="G416" s="42">
        <v>3</v>
      </c>
      <c r="H416" s="1">
        <v>1500</v>
      </c>
      <c r="I416" s="43">
        <f t="shared" ref="I416:I417" si="225">+H416*G416</f>
        <v>4500</v>
      </c>
      <c r="J416" s="1">
        <v>850</v>
      </c>
      <c r="K416" s="43">
        <f t="shared" ref="K416:K417" si="226">+J416*G416</f>
        <v>2550</v>
      </c>
      <c r="L416" s="44">
        <f t="shared" ref="L416:L417" si="227">+J416+H416</f>
        <v>2350</v>
      </c>
      <c r="M416" s="43">
        <f t="shared" ref="M416:M417" si="228">+L416*G416</f>
        <v>7050</v>
      </c>
    </row>
    <row r="417" spans="1:13" ht="30" customHeight="1" x14ac:dyDescent="0.25">
      <c r="A417" s="76"/>
      <c r="B417" s="361"/>
      <c r="C417" s="276" t="s">
        <v>817</v>
      </c>
      <c r="D417" s="278"/>
      <c r="E417" s="95"/>
      <c r="F417" s="41" t="s">
        <v>392</v>
      </c>
      <c r="G417" s="42">
        <v>1</v>
      </c>
      <c r="H417" s="1">
        <v>1250</v>
      </c>
      <c r="I417" s="43">
        <f t="shared" si="225"/>
        <v>1250</v>
      </c>
      <c r="J417" s="1">
        <v>750</v>
      </c>
      <c r="K417" s="43">
        <f t="shared" si="226"/>
        <v>750</v>
      </c>
      <c r="L417" s="44">
        <f t="shared" si="227"/>
        <v>2000</v>
      </c>
      <c r="M417" s="43">
        <f t="shared" si="228"/>
        <v>2000</v>
      </c>
    </row>
    <row r="418" spans="1:13" ht="30" customHeight="1" x14ac:dyDescent="0.25">
      <c r="A418" s="76"/>
      <c r="B418" s="37" t="s">
        <v>818</v>
      </c>
      <c r="C418" s="270" t="s">
        <v>819</v>
      </c>
      <c r="D418" s="356"/>
      <c r="E418" s="77" t="s">
        <v>820</v>
      </c>
      <c r="F418" s="97"/>
      <c r="G418" s="84"/>
      <c r="H418" s="78"/>
      <c r="I418" s="79">
        <f>SUM(I419)</f>
        <v>2500</v>
      </c>
      <c r="J418" s="78"/>
      <c r="K418" s="79">
        <f>SUM(K419)</f>
        <v>1100</v>
      </c>
      <c r="L418" s="78"/>
      <c r="M418" s="79">
        <f>SUM(M419)</f>
        <v>3600</v>
      </c>
    </row>
    <row r="419" spans="1:13" ht="30" customHeight="1" x14ac:dyDescent="0.25">
      <c r="A419" s="76"/>
      <c r="B419" s="70"/>
      <c r="C419" s="357" t="s">
        <v>819</v>
      </c>
      <c r="D419" s="358"/>
      <c r="E419" s="95"/>
      <c r="F419" s="41" t="s">
        <v>392</v>
      </c>
      <c r="G419" s="42">
        <v>2</v>
      </c>
      <c r="H419" s="1">
        <v>1250</v>
      </c>
      <c r="I419" s="43">
        <f t="shared" ref="I419" si="229">+H419*G419</f>
        <v>2500</v>
      </c>
      <c r="J419" s="1">
        <v>550</v>
      </c>
      <c r="K419" s="43">
        <f t="shared" ref="K419" si="230">+J419*G419</f>
        <v>1100</v>
      </c>
      <c r="L419" s="44">
        <f t="shared" ref="L419" si="231">+J419+H419</f>
        <v>1800</v>
      </c>
      <c r="M419" s="43">
        <f t="shared" ref="M419" si="232">+L419*G419</f>
        <v>3600</v>
      </c>
    </row>
    <row r="420" spans="1:13" ht="30" customHeight="1" x14ac:dyDescent="0.25">
      <c r="A420" s="76"/>
      <c r="B420" s="37" t="s">
        <v>821</v>
      </c>
      <c r="C420" s="270" t="s">
        <v>822</v>
      </c>
      <c r="D420" s="356"/>
      <c r="E420" s="77"/>
      <c r="F420" s="97"/>
      <c r="G420" s="84"/>
      <c r="H420" s="78"/>
      <c r="I420" s="79">
        <f>SUM(I421)</f>
        <v>12500</v>
      </c>
      <c r="J420" s="78"/>
      <c r="K420" s="79">
        <f>SUM(K421)</f>
        <v>4500</v>
      </c>
      <c r="L420" s="78"/>
      <c r="M420" s="79">
        <f>SUM(M421)</f>
        <v>17000</v>
      </c>
    </row>
    <row r="421" spans="1:13" ht="30" customHeight="1" x14ac:dyDescent="0.25">
      <c r="A421" s="76"/>
      <c r="B421" s="70"/>
      <c r="C421" s="357" t="s">
        <v>823</v>
      </c>
      <c r="D421" s="358"/>
      <c r="E421" s="95"/>
      <c r="F421" s="41" t="s">
        <v>824</v>
      </c>
      <c r="G421" s="42">
        <v>1</v>
      </c>
      <c r="H421" s="1">
        <v>12500</v>
      </c>
      <c r="I421" s="43">
        <f t="shared" ref="I421" si="233">+H421*G421</f>
        <v>12500</v>
      </c>
      <c r="J421" s="1">
        <v>4500</v>
      </c>
      <c r="K421" s="43">
        <f t="shared" ref="K421" si="234">+J421*G421</f>
        <v>4500</v>
      </c>
      <c r="L421" s="44">
        <f t="shared" ref="L421" si="235">+J421+H421</f>
        <v>17000</v>
      </c>
      <c r="M421" s="43">
        <f t="shared" ref="M421" si="236">+L421*G421</f>
        <v>17000</v>
      </c>
    </row>
    <row r="422" spans="1:13" ht="30" customHeight="1" x14ac:dyDescent="0.25">
      <c r="A422" s="76"/>
      <c r="B422" s="37" t="s">
        <v>825</v>
      </c>
      <c r="C422" s="270" t="s">
        <v>826</v>
      </c>
      <c r="D422" s="356"/>
      <c r="E422" s="77" t="s">
        <v>827</v>
      </c>
      <c r="F422" s="97"/>
      <c r="G422" s="84"/>
      <c r="H422" s="78"/>
      <c r="I422" s="79">
        <f>SUM(I423)</f>
        <v>380000</v>
      </c>
      <c r="J422" s="78"/>
      <c r="K422" s="79">
        <f>SUM(K423)</f>
        <v>0</v>
      </c>
      <c r="L422" s="78"/>
      <c r="M422" s="79">
        <f>SUM(M423)</f>
        <v>380000</v>
      </c>
    </row>
    <row r="423" spans="1:13" ht="44.25" customHeight="1" x14ac:dyDescent="0.25">
      <c r="A423" s="76"/>
      <c r="B423" s="70"/>
      <c r="C423" s="329" t="s">
        <v>828</v>
      </c>
      <c r="D423" s="330"/>
      <c r="E423" s="95"/>
      <c r="F423" s="41" t="s">
        <v>392</v>
      </c>
      <c r="G423" s="42">
        <v>1</v>
      </c>
      <c r="H423" s="1">
        <v>380000</v>
      </c>
      <c r="I423" s="43">
        <f t="shared" ref="I423" si="237">+H423*G423</f>
        <v>380000</v>
      </c>
      <c r="J423" s="1">
        <v>0</v>
      </c>
      <c r="K423" s="43">
        <f t="shared" ref="K423" si="238">+J423*G423</f>
        <v>0</v>
      </c>
      <c r="L423" s="44">
        <f t="shared" ref="L423" si="239">+J423+H423</f>
        <v>380000</v>
      </c>
      <c r="M423" s="43">
        <f t="shared" ref="M423" si="240">+L423*G423</f>
        <v>380000</v>
      </c>
    </row>
    <row r="424" spans="1:13" ht="30" customHeight="1" x14ac:dyDescent="0.25">
      <c r="A424" s="76"/>
      <c r="B424" s="37" t="s">
        <v>832</v>
      </c>
      <c r="C424" s="270" t="s">
        <v>829</v>
      </c>
      <c r="D424" s="356"/>
      <c r="E424" s="77" t="s">
        <v>830</v>
      </c>
      <c r="F424" s="97"/>
      <c r="G424" s="84"/>
      <c r="H424" s="78"/>
      <c r="I424" s="79">
        <f>SUM(I425)</f>
        <v>28000</v>
      </c>
      <c r="J424" s="78"/>
      <c r="K424" s="79">
        <f>SUM(K425)</f>
        <v>2500</v>
      </c>
      <c r="L424" s="78"/>
      <c r="M424" s="79">
        <f>SUM(M425)</f>
        <v>30500</v>
      </c>
    </row>
    <row r="425" spans="1:13" ht="30" customHeight="1" x14ac:dyDescent="0.25">
      <c r="A425" s="76"/>
      <c r="B425" s="70"/>
      <c r="C425" s="357" t="s">
        <v>831</v>
      </c>
      <c r="D425" s="358"/>
      <c r="E425" s="95"/>
      <c r="F425" s="41" t="s">
        <v>392</v>
      </c>
      <c r="G425" s="42">
        <v>1</v>
      </c>
      <c r="H425" s="1">
        <v>28000</v>
      </c>
      <c r="I425" s="43">
        <f t="shared" ref="I425" si="241">+H425*G425</f>
        <v>28000</v>
      </c>
      <c r="J425" s="1">
        <v>2500</v>
      </c>
      <c r="K425" s="43">
        <f t="shared" ref="K425" si="242">+J425*G425</f>
        <v>2500</v>
      </c>
      <c r="L425" s="44">
        <f t="shared" ref="L425" si="243">+J425+H425</f>
        <v>30500</v>
      </c>
      <c r="M425" s="43">
        <f t="shared" ref="M425" si="244">+L425*G425</f>
        <v>30500</v>
      </c>
    </row>
    <row r="426" spans="1:13" ht="30" customHeight="1" x14ac:dyDescent="0.25">
      <c r="A426" s="76"/>
      <c r="B426" s="37" t="s">
        <v>833</v>
      </c>
      <c r="C426" s="270" t="s">
        <v>834</v>
      </c>
      <c r="D426" s="356"/>
      <c r="E426" s="77" t="s">
        <v>835</v>
      </c>
      <c r="F426" s="97"/>
      <c r="G426" s="84"/>
      <c r="H426" s="78"/>
      <c r="I426" s="79">
        <f>SUM(I427)</f>
        <v>280000</v>
      </c>
      <c r="J426" s="78"/>
      <c r="K426" s="79">
        <f>SUM(K427)</f>
        <v>15000</v>
      </c>
      <c r="L426" s="78"/>
      <c r="M426" s="79">
        <f>SUM(M427)</f>
        <v>295000</v>
      </c>
    </row>
    <row r="427" spans="1:13" ht="30" customHeight="1" x14ac:dyDescent="0.25">
      <c r="A427" s="76"/>
      <c r="B427" s="70"/>
      <c r="C427" s="357" t="s">
        <v>836</v>
      </c>
      <c r="D427" s="358"/>
      <c r="E427" s="95"/>
      <c r="F427" s="41" t="s">
        <v>392</v>
      </c>
      <c r="G427" s="42">
        <v>1</v>
      </c>
      <c r="H427" s="1">
        <v>280000</v>
      </c>
      <c r="I427" s="43">
        <f t="shared" ref="I427" si="245">+H427*G427</f>
        <v>280000</v>
      </c>
      <c r="J427" s="1">
        <v>15000</v>
      </c>
      <c r="K427" s="43">
        <f t="shared" ref="K427" si="246">+J427*G427</f>
        <v>15000</v>
      </c>
      <c r="L427" s="44">
        <f t="shared" ref="L427" si="247">+J427+H427</f>
        <v>295000</v>
      </c>
      <c r="M427" s="43">
        <f t="shared" ref="M427" si="248">+L427*G427</f>
        <v>295000</v>
      </c>
    </row>
    <row r="428" spans="1:13" ht="30" customHeight="1" x14ac:dyDescent="0.25">
      <c r="A428" s="76"/>
      <c r="B428" s="37" t="s">
        <v>837</v>
      </c>
      <c r="C428" s="270" t="s">
        <v>838</v>
      </c>
      <c r="D428" s="356"/>
      <c r="E428" s="77" t="s">
        <v>839</v>
      </c>
      <c r="F428" s="97"/>
      <c r="G428" s="84"/>
      <c r="H428" s="78"/>
      <c r="I428" s="79">
        <f>SUM(I429:I429)</f>
        <v>604800</v>
      </c>
      <c r="J428" s="78"/>
      <c r="K428" s="79">
        <f>SUM(K429:K429)</f>
        <v>226800</v>
      </c>
      <c r="L428" s="78"/>
      <c r="M428" s="79">
        <f>SUM(M429:M429)</f>
        <v>831600</v>
      </c>
    </row>
    <row r="429" spans="1:13" ht="30" customHeight="1" x14ac:dyDescent="0.25">
      <c r="A429" s="76"/>
      <c r="B429" s="87"/>
      <c r="C429" s="329" t="s">
        <v>840</v>
      </c>
      <c r="D429" s="330"/>
      <c r="E429" s="95"/>
      <c r="F429" s="41" t="s">
        <v>77</v>
      </c>
      <c r="G429" s="42">
        <v>189</v>
      </c>
      <c r="H429" s="1">
        <v>3200</v>
      </c>
      <c r="I429" s="43">
        <f t="shared" ref="I429" si="249">+H429*G429</f>
        <v>604800</v>
      </c>
      <c r="J429" s="1">
        <v>1200</v>
      </c>
      <c r="K429" s="43">
        <f t="shared" ref="K429" si="250">+J429*G429</f>
        <v>226800</v>
      </c>
      <c r="L429" s="44">
        <f t="shared" ref="L429" si="251">+J429+H429</f>
        <v>4400</v>
      </c>
      <c r="M429" s="43">
        <f t="shared" ref="M429" si="252">+L429*G429</f>
        <v>831600</v>
      </c>
    </row>
    <row r="430" spans="1:13" ht="30" customHeight="1" x14ac:dyDescent="0.25">
      <c r="A430" s="76"/>
      <c r="B430" s="37" t="s">
        <v>841</v>
      </c>
      <c r="C430" s="270" t="s">
        <v>842</v>
      </c>
      <c r="D430" s="356"/>
      <c r="E430" s="77" t="s">
        <v>740</v>
      </c>
      <c r="F430" s="97"/>
      <c r="G430" s="84"/>
      <c r="H430" s="78"/>
      <c r="I430" s="79">
        <f>SUM(I431:I438)</f>
        <v>557856</v>
      </c>
      <c r="J430" s="78"/>
      <c r="K430" s="79">
        <f>SUM(K431:K438)</f>
        <v>0</v>
      </c>
      <c r="L430" s="78"/>
      <c r="M430" s="79">
        <f>SUM(M431:M438)</f>
        <v>557856</v>
      </c>
    </row>
    <row r="431" spans="1:13" ht="30" customHeight="1" x14ac:dyDescent="0.25">
      <c r="A431" s="76"/>
      <c r="B431" s="98"/>
      <c r="C431" s="357" t="s">
        <v>843</v>
      </c>
      <c r="D431" s="358"/>
      <c r="E431" s="332"/>
      <c r="F431" s="41" t="s">
        <v>77</v>
      </c>
      <c r="G431" s="42">
        <v>70</v>
      </c>
      <c r="H431" s="1">
        <v>81.600000000000009</v>
      </c>
      <c r="I431" s="43">
        <f t="shared" ref="I431:I437" si="253">+H431*G431</f>
        <v>5712.0000000000009</v>
      </c>
      <c r="J431" s="1"/>
      <c r="K431" s="43">
        <f t="shared" ref="K431:K437" si="254">+J431*G431</f>
        <v>0</v>
      </c>
      <c r="L431" s="44">
        <f t="shared" ref="L431:L437" si="255">+J431+H431</f>
        <v>81.600000000000009</v>
      </c>
      <c r="M431" s="43">
        <f t="shared" ref="M431:M437" si="256">+L431*G431</f>
        <v>5712.0000000000009</v>
      </c>
    </row>
    <row r="432" spans="1:13" ht="30" customHeight="1" x14ac:dyDescent="0.25">
      <c r="A432" s="76"/>
      <c r="B432" s="100"/>
      <c r="C432" s="357" t="s">
        <v>844</v>
      </c>
      <c r="D432" s="358"/>
      <c r="E432" s="333"/>
      <c r="F432" s="41" t="s">
        <v>77</v>
      </c>
      <c r="G432" s="42">
        <v>40</v>
      </c>
      <c r="H432" s="1">
        <v>166.4</v>
      </c>
      <c r="I432" s="43">
        <f t="shared" si="253"/>
        <v>6656</v>
      </c>
      <c r="J432" s="1"/>
      <c r="K432" s="43">
        <f t="shared" si="254"/>
        <v>0</v>
      </c>
      <c r="L432" s="44">
        <f t="shared" si="255"/>
        <v>166.4</v>
      </c>
      <c r="M432" s="43">
        <f t="shared" si="256"/>
        <v>6656</v>
      </c>
    </row>
    <row r="433" spans="1:13" ht="30" customHeight="1" x14ac:dyDescent="0.25">
      <c r="A433" s="76"/>
      <c r="B433" s="100"/>
      <c r="C433" s="357" t="s">
        <v>845</v>
      </c>
      <c r="D433" s="358"/>
      <c r="E433" s="333"/>
      <c r="F433" s="41" t="s">
        <v>77</v>
      </c>
      <c r="G433" s="42">
        <v>155</v>
      </c>
      <c r="H433" s="1">
        <v>273.60000000000002</v>
      </c>
      <c r="I433" s="43">
        <f t="shared" ref="I433:I436" si="257">+H433*G433</f>
        <v>42408</v>
      </c>
      <c r="J433" s="1"/>
      <c r="K433" s="43">
        <f t="shared" ref="K433:K436" si="258">+J433*G433</f>
        <v>0</v>
      </c>
      <c r="L433" s="44">
        <f t="shared" ref="L433:L436" si="259">+J433+H433</f>
        <v>273.60000000000002</v>
      </c>
      <c r="M433" s="43">
        <f t="shared" ref="M433:M436" si="260">+L433*G433</f>
        <v>42408</v>
      </c>
    </row>
    <row r="434" spans="1:13" ht="30" customHeight="1" x14ac:dyDescent="0.25">
      <c r="A434" s="76"/>
      <c r="B434" s="100"/>
      <c r="C434" s="357" t="s">
        <v>846</v>
      </c>
      <c r="D434" s="358"/>
      <c r="E434" s="333"/>
      <c r="F434" s="41" t="s">
        <v>77</v>
      </c>
      <c r="G434" s="42">
        <v>190</v>
      </c>
      <c r="H434" s="1">
        <v>552</v>
      </c>
      <c r="I434" s="43">
        <f t="shared" si="257"/>
        <v>104880</v>
      </c>
      <c r="J434" s="1"/>
      <c r="K434" s="43">
        <f t="shared" si="258"/>
        <v>0</v>
      </c>
      <c r="L434" s="44">
        <f t="shared" si="259"/>
        <v>552</v>
      </c>
      <c r="M434" s="43">
        <f t="shared" si="260"/>
        <v>104880</v>
      </c>
    </row>
    <row r="435" spans="1:13" ht="30" customHeight="1" x14ac:dyDescent="0.25">
      <c r="A435" s="76"/>
      <c r="B435" s="100"/>
      <c r="C435" s="357" t="s">
        <v>847</v>
      </c>
      <c r="D435" s="358"/>
      <c r="E435" s="333"/>
      <c r="F435" s="41" t="s">
        <v>77</v>
      </c>
      <c r="G435" s="42">
        <v>160</v>
      </c>
      <c r="H435" s="1">
        <v>1038.4000000000001</v>
      </c>
      <c r="I435" s="43">
        <f t="shared" si="257"/>
        <v>166144</v>
      </c>
      <c r="J435" s="1"/>
      <c r="K435" s="43">
        <f t="shared" si="258"/>
        <v>0</v>
      </c>
      <c r="L435" s="44">
        <f t="shared" si="259"/>
        <v>1038.4000000000001</v>
      </c>
      <c r="M435" s="43">
        <f t="shared" si="260"/>
        <v>166144</v>
      </c>
    </row>
    <row r="436" spans="1:13" ht="30" customHeight="1" x14ac:dyDescent="0.25">
      <c r="A436" s="76"/>
      <c r="B436" s="100"/>
      <c r="C436" s="357" t="s">
        <v>848</v>
      </c>
      <c r="D436" s="358"/>
      <c r="E436" s="333"/>
      <c r="F436" s="41" t="s">
        <v>77</v>
      </c>
      <c r="G436" s="42">
        <v>40</v>
      </c>
      <c r="H436" s="1">
        <v>1920</v>
      </c>
      <c r="I436" s="43">
        <f t="shared" si="257"/>
        <v>76800</v>
      </c>
      <c r="J436" s="1"/>
      <c r="K436" s="43">
        <f t="shared" si="258"/>
        <v>0</v>
      </c>
      <c r="L436" s="44">
        <f t="shared" si="259"/>
        <v>1920</v>
      </c>
      <c r="M436" s="43">
        <f t="shared" si="260"/>
        <v>76800</v>
      </c>
    </row>
    <row r="437" spans="1:13" ht="30" customHeight="1" x14ac:dyDescent="0.25">
      <c r="A437" s="76"/>
      <c r="B437" s="100"/>
      <c r="C437" s="357" t="s">
        <v>849</v>
      </c>
      <c r="D437" s="358"/>
      <c r="E437" s="333"/>
      <c r="F437" s="41" t="s">
        <v>77</v>
      </c>
      <c r="G437" s="42">
        <v>25</v>
      </c>
      <c r="H437" s="1">
        <v>2491.2000000000003</v>
      </c>
      <c r="I437" s="43">
        <f t="shared" si="253"/>
        <v>62280.000000000007</v>
      </c>
      <c r="J437" s="1"/>
      <c r="K437" s="43">
        <f t="shared" si="254"/>
        <v>0</v>
      </c>
      <c r="L437" s="44">
        <f t="shared" si="255"/>
        <v>2491.2000000000003</v>
      </c>
      <c r="M437" s="43">
        <f t="shared" si="256"/>
        <v>62280.000000000007</v>
      </c>
    </row>
    <row r="438" spans="1:13" ht="30" customHeight="1" x14ac:dyDescent="0.25">
      <c r="A438" s="76"/>
      <c r="B438" s="102"/>
      <c r="C438" s="357" t="s">
        <v>850</v>
      </c>
      <c r="D438" s="358"/>
      <c r="E438" s="334"/>
      <c r="F438" s="41" t="s">
        <v>731</v>
      </c>
      <c r="G438" s="4">
        <v>0.2</v>
      </c>
      <c r="H438" s="119"/>
      <c r="I438" s="120">
        <f>SUM(I431:I437)*G438</f>
        <v>92976</v>
      </c>
      <c r="J438" s="119"/>
      <c r="K438" s="120">
        <f>SUM(K431:K437)*G438</f>
        <v>0</v>
      </c>
      <c r="L438" s="121"/>
      <c r="M438" s="120">
        <f>+I438+K438</f>
        <v>92976</v>
      </c>
    </row>
    <row r="439" spans="1:13" ht="30" customHeight="1" x14ac:dyDescent="0.25">
      <c r="A439" s="76"/>
      <c r="B439" s="37" t="s">
        <v>851</v>
      </c>
      <c r="C439" s="270" t="s">
        <v>852</v>
      </c>
      <c r="D439" s="356"/>
      <c r="E439" s="77"/>
      <c r="F439" s="97"/>
      <c r="G439" s="84"/>
      <c r="H439" s="78"/>
      <c r="I439" s="79">
        <f>SUM(I440:I440)</f>
        <v>855000</v>
      </c>
      <c r="J439" s="78"/>
      <c r="K439" s="79">
        <f>SUM(K440:K440)</f>
        <v>55500</v>
      </c>
      <c r="L439" s="78"/>
      <c r="M439" s="79">
        <f>SUM(M440:M440)</f>
        <v>910500</v>
      </c>
    </row>
    <row r="440" spans="1:13" ht="30" customHeight="1" x14ac:dyDescent="0.25">
      <c r="A440" s="76"/>
      <c r="B440" s="87"/>
      <c r="C440" s="329" t="s">
        <v>853</v>
      </c>
      <c r="D440" s="330"/>
      <c r="E440" s="95"/>
      <c r="F440" s="41" t="s">
        <v>392</v>
      </c>
      <c r="G440" s="42">
        <v>3</v>
      </c>
      <c r="H440" s="1">
        <v>285000</v>
      </c>
      <c r="I440" s="43">
        <f t="shared" ref="I440" si="261">+H440*G440</f>
        <v>855000</v>
      </c>
      <c r="J440" s="1">
        <v>18500</v>
      </c>
      <c r="K440" s="43">
        <f t="shared" ref="K440" si="262">+J440*G440</f>
        <v>55500</v>
      </c>
      <c r="L440" s="44">
        <f t="shared" ref="L440" si="263">+J440+H440</f>
        <v>303500</v>
      </c>
      <c r="M440" s="43">
        <f t="shared" ref="M440" si="264">+L440*G440</f>
        <v>910500</v>
      </c>
    </row>
    <row r="441" spans="1:13" ht="30" customHeight="1" x14ac:dyDescent="0.25">
      <c r="A441" s="76"/>
      <c r="B441" s="37" t="s">
        <v>854</v>
      </c>
      <c r="C441" s="270" t="s">
        <v>855</v>
      </c>
      <c r="D441" s="356"/>
      <c r="E441" s="77"/>
      <c r="F441" s="97"/>
      <c r="G441" s="84"/>
      <c r="H441" s="78"/>
      <c r="I441" s="79">
        <f>SUM(I442:I442)</f>
        <v>5175000</v>
      </c>
      <c r="J441" s="78"/>
      <c r="K441" s="79">
        <f>SUM(K442:K442)</f>
        <v>425500</v>
      </c>
      <c r="L441" s="78"/>
      <c r="M441" s="79">
        <f>SUM(M442:M442)</f>
        <v>5600500</v>
      </c>
    </row>
    <row r="442" spans="1:13" ht="30" customHeight="1" x14ac:dyDescent="0.25">
      <c r="A442" s="76"/>
      <c r="B442" s="87"/>
      <c r="C442" s="329" t="s">
        <v>853</v>
      </c>
      <c r="D442" s="330"/>
      <c r="E442" s="95"/>
      <c r="F442" s="41" t="s">
        <v>392</v>
      </c>
      <c r="G442" s="42">
        <v>23</v>
      </c>
      <c r="H442" s="1">
        <v>225000</v>
      </c>
      <c r="I442" s="43">
        <f t="shared" ref="I442" si="265">+H442*G442</f>
        <v>5175000</v>
      </c>
      <c r="J442" s="1">
        <v>18500</v>
      </c>
      <c r="K442" s="43">
        <f t="shared" ref="K442" si="266">+J442*G442</f>
        <v>425500</v>
      </c>
      <c r="L442" s="44">
        <f t="shared" ref="L442" si="267">+J442+H442</f>
        <v>243500</v>
      </c>
      <c r="M442" s="43">
        <f t="shared" ref="M442" si="268">+L442*G442</f>
        <v>5600500</v>
      </c>
    </row>
    <row r="443" spans="1:13" ht="30" customHeight="1" x14ac:dyDescent="0.25">
      <c r="A443" s="76"/>
      <c r="B443" s="37" t="s">
        <v>856</v>
      </c>
      <c r="C443" s="270" t="s">
        <v>857</v>
      </c>
      <c r="D443" s="356"/>
      <c r="E443" s="77"/>
      <c r="F443" s="97"/>
      <c r="G443" s="84"/>
      <c r="H443" s="78"/>
      <c r="I443" s="79">
        <f>SUM(I444:I444)</f>
        <v>1800</v>
      </c>
      <c r="J443" s="78"/>
      <c r="K443" s="79">
        <f>SUM(K444:K444)</f>
        <v>4500</v>
      </c>
      <c r="L443" s="78"/>
      <c r="M443" s="79">
        <f>SUM(M444:M444)</f>
        <v>6300</v>
      </c>
    </row>
    <row r="444" spans="1:13" ht="30" customHeight="1" x14ac:dyDescent="0.25">
      <c r="A444" s="76"/>
      <c r="B444" s="87"/>
      <c r="C444" s="329" t="s">
        <v>859</v>
      </c>
      <c r="D444" s="330"/>
      <c r="E444" s="95" t="s">
        <v>858</v>
      </c>
      <c r="F444" s="41" t="s">
        <v>77</v>
      </c>
      <c r="G444" s="42">
        <v>10</v>
      </c>
      <c r="H444" s="1">
        <v>180</v>
      </c>
      <c r="I444" s="43">
        <f t="shared" ref="I444" si="269">+H444*G444</f>
        <v>1800</v>
      </c>
      <c r="J444" s="1">
        <v>450</v>
      </c>
      <c r="K444" s="43">
        <f t="shared" ref="K444" si="270">+J444*G444</f>
        <v>4500</v>
      </c>
      <c r="L444" s="44">
        <f t="shared" ref="L444" si="271">+J444+H444</f>
        <v>630</v>
      </c>
      <c r="M444" s="43">
        <f t="shared" ref="M444" si="272">+L444*G444</f>
        <v>6300</v>
      </c>
    </row>
    <row r="445" spans="1:13" ht="30" customHeight="1" x14ac:dyDescent="0.25">
      <c r="A445" s="76"/>
      <c r="B445" s="37" t="s">
        <v>860</v>
      </c>
      <c r="C445" s="270" t="s">
        <v>861</v>
      </c>
      <c r="D445" s="356"/>
      <c r="E445" s="77"/>
      <c r="F445" s="97"/>
      <c r="G445" s="84"/>
      <c r="H445" s="78"/>
      <c r="I445" s="79">
        <f>SUM(I446:I446)</f>
        <v>115000</v>
      </c>
      <c r="J445" s="78"/>
      <c r="K445" s="79">
        <f>SUM(K446:K446)</f>
        <v>5500</v>
      </c>
      <c r="L445" s="78"/>
      <c r="M445" s="79">
        <f>SUM(M446:M446)</f>
        <v>120500</v>
      </c>
    </row>
    <row r="446" spans="1:13" ht="30" customHeight="1" x14ac:dyDescent="0.25">
      <c r="A446" s="76"/>
      <c r="B446" s="87"/>
      <c r="C446" s="329" t="s">
        <v>863</v>
      </c>
      <c r="D446" s="330"/>
      <c r="E446" s="95" t="s">
        <v>862</v>
      </c>
      <c r="F446" s="41" t="s">
        <v>392</v>
      </c>
      <c r="G446" s="42">
        <v>1</v>
      </c>
      <c r="H446" s="1">
        <v>115000</v>
      </c>
      <c r="I446" s="43">
        <f t="shared" ref="I446" si="273">+H446*G446</f>
        <v>115000</v>
      </c>
      <c r="J446" s="1">
        <v>5500</v>
      </c>
      <c r="K446" s="43">
        <f t="shared" ref="K446" si="274">+J446*G446</f>
        <v>5500</v>
      </c>
      <c r="L446" s="44">
        <f t="shared" ref="L446" si="275">+J446+H446</f>
        <v>120500</v>
      </c>
      <c r="M446" s="43">
        <f t="shared" ref="M446" si="276">+L446*G446</f>
        <v>120500</v>
      </c>
    </row>
    <row r="447" spans="1:13" ht="30" customHeight="1" x14ac:dyDescent="0.25">
      <c r="A447" s="76"/>
      <c r="B447" s="37" t="s">
        <v>867</v>
      </c>
      <c r="C447" s="270" t="s">
        <v>864</v>
      </c>
      <c r="D447" s="356"/>
      <c r="E447" s="77"/>
      <c r="F447" s="97"/>
      <c r="G447" s="84"/>
      <c r="H447" s="78"/>
      <c r="I447" s="79">
        <f>SUM(I448:I448)</f>
        <v>385000</v>
      </c>
      <c r="J447" s="78"/>
      <c r="K447" s="79">
        <f>SUM(K448:K448)</f>
        <v>32500</v>
      </c>
      <c r="L447" s="78"/>
      <c r="M447" s="79">
        <f>SUM(M448:M448)</f>
        <v>417500</v>
      </c>
    </row>
    <row r="448" spans="1:13" ht="30" customHeight="1" thickBot="1" x14ac:dyDescent="0.3">
      <c r="A448" s="76"/>
      <c r="B448" s="87"/>
      <c r="C448" s="329" t="s">
        <v>865</v>
      </c>
      <c r="D448" s="330"/>
      <c r="E448" s="95" t="s">
        <v>866</v>
      </c>
      <c r="F448" s="41" t="s">
        <v>392</v>
      </c>
      <c r="G448" s="42">
        <v>1</v>
      </c>
      <c r="H448" s="1">
        <v>385000</v>
      </c>
      <c r="I448" s="43">
        <f t="shared" ref="I448" si="277">+H448*G448</f>
        <v>385000</v>
      </c>
      <c r="J448" s="1">
        <v>32500</v>
      </c>
      <c r="K448" s="43">
        <f t="shared" ref="K448" si="278">+J448*G448</f>
        <v>32500</v>
      </c>
      <c r="L448" s="44">
        <f t="shared" ref="L448" si="279">+J448+H448</f>
        <v>417500</v>
      </c>
      <c r="M448" s="43">
        <f t="shared" ref="M448" si="280">+L448*G448</f>
        <v>417500</v>
      </c>
    </row>
    <row r="449" spans="1:13" ht="37.5" customHeight="1" thickTop="1" thickBot="1" x14ac:dyDescent="0.3">
      <c r="A449" s="53"/>
      <c r="B449" s="54" t="s">
        <v>868</v>
      </c>
      <c r="C449" s="272" t="s">
        <v>869</v>
      </c>
      <c r="D449" s="273"/>
      <c r="E449" s="273"/>
      <c r="F449" s="31"/>
      <c r="G449" s="32"/>
      <c r="H449" s="33"/>
      <c r="I449" s="34">
        <f>+I450+I456+I461+I463+I465+I467+I469+I471+I473+I476+I478+I480</f>
        <v>1927586.872</v>
      </c>
      <c r="J449" s="33"/>
      <c r="K449" s="34">
        <f>+K450+K456+K461+K463+K465+K467+K469+K471+K473+K476+K478+K480</f>
        <v>605839</v>
      </c>
      <c r="L449" s="35"/>
      <c r="M449" s="34">
        <f>+M450+M456+M461+M463+M465+M467+M469+M471+M473+M476+M478+M480</f>
        <v>2533425.872</v>
      </c>
    </row>
    <row r="450" spans="1:13" ht="30" customHeight="1" thickTop="1" x14ac:dyDescent="0.25">
      <c r="A450" s="76"/>
      <c r="B450" s="37" t="s">
        <v>870</v>
      </c>
      <c r="C450" s="270" t="s">
        <v>871</v>
      </c>
      <c r="D450" s="356"/>
      <c r="E450" s="77" t="s">
        <v>722</v>
      </c>
      <c r="F450" s="97"/>
      <c r="G450" s="84"/>
      <c r="H450" s="78"/>
      <c r="I450" s="79">
        <f>SUM(I451:I455)</f>
        <v>124610.622</v>
      </c>
      <c r="J450" s="78"/>
      <c r="K450" s="79">
        <f>SUM(K451:K455)</f>
        <v>347420</v>
      </c>
      <c r="L450" s="78"/>
      <c r="M450" s="79">
        <f>SUM(M451:M455)</f>
        <v>472030.62199999997</v>
      </c>
    </row>
    <row r="451" spans="1:13" ht="30" customHeight="1" x14ac:dyDescent="0.25">
      <c r="A451" s="76"/>
      <c r="B451" s="98"/>
      <c r="C451" s="357" t="s">
        <v>723</v>
      </c>
      <c r="D451" s="358"/>
      <c r="E451" s="332"/>
      <c r="F451" s="41" t="s">
        <v>77</v>
      </c>
      <c r="G451" s="42">
        <v>220</v>
      </c>
      <c r="H451" s="1">
        <v>115.30800000000001</v>
      </c>
      <c r="I451" s="43">
        <f t="shared" ref="I451:I454" si="281">+H451*G451</f>
        <v>25367.760000000002</v>
      </c>
      <c r="J451" s="1">
        <v>350</v>
      </c>
      <c r="K451" s="43">
        <f t="shared" ref="K451:K454" si="282">+J451*G451</f>
        <v>77000</v>
      </c>
      <c r="L451" s="44">
        <f t="shared" ref="L451:L454" si="283">+J451+H451</f>
        <v>465.30799999999999</v>
      </c>
      <c r="M451" s="43">
        <f t="shared" ref="M451:M454" si="284">+L451*G451</f>
        <v>102367.76</v>
      </c>
    </row>
    <row r="452" spans="1:13" ht="30" customHeight="1" x14ac:dyDescent="0.25">
      <c r="A452" s="76"/>
      <c r="B452" s="100"/>
      <c r="C452" s="357" t="s">
        <v>724</v>
      </c>
      <c r="D452" s="358"/>
      <c r="E452" s="333"/>
      <c r="F452" s="41" t="s">
        <v>77</v>
      </c>
      <c r="G452" s="42">
        <v>20</v>
      </c>
      <c r="H452" s="1">
        <v>169.26000000000002</v>
      </c>
      <c r="I452" s="43">
        <f t="shared" si="281"/>
        <v>3385.2000000000003</v>
      </c>
      <c r="J452" s="1">
        <v>462</v>
      </c>
      <c r="K452" s="43">
        <f t="shared" si="282"/>
        <v>9240</v>
      </c>
      <c r="L452" s="44">
        <f t="shared" si="283"/>
        <v>631.26</v>
      </c>
      <c r="M452" s="43">
        <f t="shared" si="284"/>
        <v>12625.2</v>
      </c>
    </row>
    <row r="453" spans="1:13" ht="30" customHeight="1" x14ac:dyDescent="0.25">
      <c r="A453" s="76"/>
      <c r="B453" s="100"/>
      <c r="C453" s="357" t="s">
        <v>725</v>
      </c>
      <c r="D453" s="358"/>
      <c r="E453" s="333"/>
      <c r="F453" s="41" t="s">
        <v>77</v>
      </c>
      <c r="G453" s="42">
        <v>10</v>
      </c>
      <c r="H453" s="1">
        <v>218.364</v>
      </c>
      <c r="I453" s="43">
        <f t="shared" si="281"/>
        <v>2183.64</v>
      </c>
      <c r="J453" s="1">
        <v>552</v>
      </c>
      <c r="K453" s="43">
        <f t="shared" si="282"/>
        <v>5520</v>
      </c>
      <c r="L453" s="44">
        <f t="shared" si="283"/>
        <v>770.36400000000003</v>
      </c>
      <c r="M453" s="43">
        <f t="shared" si="284"/>
        <v>7703.64</v>
      </c>
    </row>
    <row r="454" spans="1:13" ht="30" customHeight="1" x14ac:dyDescent="0.25">
      <c r="A454" s="76"/>
      <c r="B454" s="100"/>
      <c r="C454" s="357" t="s">
        <v>726</v>
      </c>
      <c r="D454" s="358"/>
      <c r="E454" s="333"/>
      <c r="F454" s="41" t="s">
        <v>77</v>
      </c>
      <c r="G454" s="42">
        <v>220</v>
      </c>
      <c r="H454" s="1">
        <v>250.00799999999998</v>
      </c>
      <c r="I454" s="43">
        <f t="shared" si="281"/>
        <v>55001.759999999995</v>
      </c>
      <c r="J454" s="1">
        <v>672</v>
      </c>
      <c r="K454" s="43">
        <f t="shared" si="282"/>
        <v>147840</v>
      </c>
      <c r="L454" s="44">
        <f t="shared" si="283"/>
        <v>922.00800000000004</v>
      </c>
      <c r="M454" s="43">
        <f t="shared" si="284"/>
        <v>202841.76</v>
      </c>
    </row>
    <row r="455" spans="1:13" ht="30" customHeight="1" x14ac:dyDescent="0.25">
      <c r="A455" s="76"/>
      <c r="B455" s="102"/>
      <c r="C455" s="276" t="s">
        <v>872</v>
      </c>
      <c r="D455" s="278"/>
      <c r="E455" s="334"/>
      <c r="F455" s="41" t="s">
        <v>731</v>
      </c>
      <c r="G455" s="4">
        <v>0.45</v>
      </c>
      <c r="H455" s="119"/>
      <c r="I455" s="120">
        <f>SUM(I451:I454)*G455</f>
        <v>38672.262000000002</v>
      </c>
      <c r="J455" s="119"/>
      <c r="K455" s="120">
        <f>SUM(K451:K454)*G455</f>
        <v>107820</v>
      </c>
      <c r="L455" s="121"/>
      <c r="M455" s="120">
        <f>+I455+K455</f>
        <v>146492.26199999999</v>
      </c>
    </row>
    <row r="456" spans="1:13" ht="30" customHeight="1" x14ac:dyDescent="0.25">
      <c r="A456" s="76"/>
      <c r="B456" s="37" t="s">
        <v>873</v>
      </c>
      <c r="C456" s="270" t="s">
        <v>874</v>
      </c>
      <c r="D456" s="356"/>
      <c r="E456" s="77" t="s">
        <v>875</v>
      </c>
      <c r="F456" s="97"/>
      <c r="G456" s="84"/>
      <c r="H456" s="78"/>
      <c r="I456" s="79">
        <f>SUM(I457:I460)</f>
        <v>51126.25</v>
      </c>
      <c r="J456" s="78"/>
      <c r="K456" s="79">
        <f>SUM(K457:K460)</f>
        <v>30919</v>
      </c>
      <c r="L456" s="78"/>
      <c r="M456" s="79">
        <f>SUM(M457:M460)</f>
        <v>82045.25</v>
      </c>
    </row>
    <row r="457" spans="1:13" ht="30" customHeight="1" x14ac:dyDescent="0.25">
      <c r="A457" s="76"/>
      <c r="B457" s="98"/>
      <c r="C457" s="357" t="s">
        <v>723</v>
      </c>
      <c r="D457" s="358"/>
      <c r="E457" s="95"/>
      <c r="F457" s="41" t="s">
        <v>392</v>
      </c>
      <c r="G457" s="42">
        <v>64</v>
      </c>
      <c r="H457" s="1">
        <v>472.49999999999994</v>
      </c>
      <c r="I457" s="43">
        <f t="shared" ref="I457:I460" si="285">+H457*G457</f>
        <v>30239.999999999996</v>
      </c>
      <c r="J457" s="1">
        <v>378</v>
      </c>
      <c r="K457" s="43">
        <f t="shared" ref="K457:K460" si="286">+J457*G457</f>
        <v>24192</v>
      </c>
      <c r="L457" s="44">
        <f t="shared" ref="L457:L460" si="287">+J457+H457</f>
        <v>850.5</v>
      </c>
      <c r="M457" s="43">
        <f t="shared" ref="M457:M460" si="288">+L457*G457</f>
        <v>54432</v>
      </c>
    </row>
    <row r="458" spans="1:13" ht="30" customHeight="1" x14ac:dyDescent="0.25">
      <c r="A458" s="76"/>
      <c r="B458" s="100"/>
      <c r="C458" s="357" t="s">
        <v>724</v>
      </c>
      <c r="D458" s="358"/>
      <c r="E458" s="95"/>
      <c r="F458" s="41" t="s">
        <v>392</v>
      </c>
      <c r="G458" s="42">
        <v>2</v>
      </c>
      <c r="H458" s="1">
        <v>726.25</v>
      </c>
      <c r="I458" s="43">
        <f t="shared" si="285"/>
        <v>1452.5</v>
      </c>
      <c r="J458" s="1">
        <v>406</v>
      </c>
      <c r="K458" s="43">
        <f t="shared" si="286"/>
        <v>812</v>
      </c>
      <c r="L458" s="44">
        <f t="shared" si="287"/>
        <v>1132.25</v>
      </c>
      <c r="M458" s="43">
        <f t="shared" si="288"/>
        <v>2264.5</v>
      </c>
    </row>
    <row r="459" spans="1:13" ht="30" customHeight="1" x14ac:dyDescent="0.25">
      <c r="A459" s="76"/>
      <c r="B459" s="100"/>
      <c r="C459" s="357" t="s">
        <v>725</v>
      </c>
      <c r="D459" s="358"/>
      <c r="E459" s="95"/>
      <c r="F459" s="41" t="s">
        <v>392</v>
      </c>
      <c r="G459" s="42">
        <v>1</v>
      </c>
      <c r="H459" s="1">
        <v>1146.25</v>
      </c>
      <c r="I459" s="43">
        <f t="shared" si="285"/>
        <v>1146.25</v>
      </c>
      <c r="J459" s="1">
        <v>448</v>
      </c>
      <c r="K459" s="43">
        <f t="shared" si="286"/>
        <v>448</v>
      </c>
      <c r="L459" s="44">
        <f t="shared" si="287"/>
        <v>1594.25</v>
      </c>
      <c r="M459" s="43">
        <f t="shared" si="288"/>
        <v>1594.25</v>
      </c>
    </row>
    <row r="460" spans="1:13" ht="30" customHeight="1" x14ac:dyDescent="0.25">
      <c r="A460" s="76"/>
      <c r="B460" s="100"/>
      <c r="C460" s="357" t="s">
        <v>726</v>
      </c>
      <c r="D460" s="358"/>
      <c r="E460" s="95"/>
      <c r="F460" s="41" t="s">
        <v>392</v>
      </c>
      <c r="G460" s="42">
        <v>11</v>
      </c>
      <c r="H460" s="1">
        <v>1662.5</v>
      </c>
      <c r="I460" s="43">
        <f t="shared" si="285"/>
        <v>18287.5</v>
      </c>
      <c r="J460" s="1">
        <v>496.99999999999994</v>
      </c>
      <c r="K460" s="43">
        <f t="shared" si="286"/>
        <v>5466.9999999999991</v>
      </c>
      <c r="L460" s="44">
        <f t="shared" si="287"/>
        <v>2159.5</v>
      </c>
      <c r="M460" s="43">
        <f t="shared" si="288"/>
        <v>23754.5</v>
      </c>
    </row>
    <row r="461" spans="1:13" ht="30" customHeight="1" x14ac:dyDescent="0.25">
      <c r="A461" s="76"/>
      <c r="B461" s="37" t="s">
        <v>877</v>
      </c>
      <c r="C461" s="270" t="s">
        <v>876</v>
      </c>
      <c r="D461" s="356"/>
      <c r="E461" s="77" t="s">
        <v>878</v>
      </c>
      <c r="F461" s="97"/>
      <c r="G461" s="84"/>
      <c r="H461" s="78"/>
      <c r="I461" s="79">
        <f>SUM(I462)</f>
        <v>13000</v>
      </c>
      <c r="J461" s="78"/>
      <c r="K461" s="79">
        <f>SUM(K462)</f>
        <v>3750</v>
      </c>
      <c r="L461" s="78"/>
      <c r="M461" s="79">
        <f>SUM(M462)</f>
        <v>16750</v>
      </c>
    </row>
    <row r="462" spans="1:13" ht="30" customHeight="1" x14ac:dyDescent="0.25">
      <c r="A462" s="76"/>
      <c r="B462" s="98"/>
      <c r="C462" s="357" t="s">
        <v>726</v>
      </c>
      <c r="D462" s="358"/>
      <c r="E462" s="95"/>
      <c r="F462" s="41" t="s">
        <v>392</v>
      </c>
      <c r="G462" s="42">
        <v>1</v>
      </c>
      <c r="H462" s="1">
        <v>13000</v>
      </c>
      <c r="I462" s="43">
        <f t="shared" ref="I462" si="289">+H462*G462</f>
        <v>13000</v>
      </c>
      <c r="J462" s="1">
        <v>3750</v>
      </c>
      <c r="K462" s="43">
        <f t="shared" ref="K462" si="290">+J462*G462</f>
        <v>3750</v>
      </c>
      <c r="L462" s="44">
        <f t="shared" ref="L462" si="291">+J462+H462</f>
        <v>16750</v>
      </c>
      <c r="M462" s="43">
        <f t="shared" ref="M462" si="292">+L462*G462</f>
        <v>16750</v>
      </c>
    </row>
    <row r="463" spans="1:13" ht="30" customHeight="1" x14ac:dyDescent="0.25">
      <c r="A463" s="76"/>
      <c r="B463" s="37" t="s">
        <v>879</v>
      </c>
      <c r="C463" s="270" t="s">
        <v>880</v>
      </c>
      <c r="D463" s="356"/>
      <c r="E463" s="77" t="s">
        <v>881</v>
      </c>
      <c r="F463" s="97"/>
      <c r="G463" s="84"/>
      <c r="H463" s="78"/>
      <c r="I463" s="79">
        <f>SUM(I464)</f>
        <v>12500</v>
      </c>
      <c r="J463" s="78"/>
      <c r="K463" s="79">
        <f>SUM(K464)</f>
        <v>3750</v>
      </c>
      <c r="L463" s="78"/>
      <c r="M463" s="79">
        <f>SUM(M464)</f>
        <v>16250</v>
      </c>
    </row>
    <row r="464" spans="1:13" ht="30" customHeight="1" x14ac:dyDescent="0.25">
      <c r="A464" s="76"/>
      <c r="B464" s="98"/>
      <c r="C464" s="357" t="s">
        <v>795</v>
      </c>
      <c r="D464" s="358"/>
      <c r="E464" s="95"/>
      <c r="F464" s="41" t="s">
        <v>392</v>
      </c>
      <c r="G464" s="42">
        <v>1</v>
      </c>
      <c r="H464" s="1">
        <v>12500</v>
      </c>
      <c r="I464" s="43">
        <f t="shared" ref="I464" si="293">+H464*G464</f>
        <v>12500</v>
      </c>
      <c r="J464" s="1">
        <v>3750</v>
      </c>
      <c r="K464" s="43">
        <f t="shared" ref="K464" si="294">+J464*G464</f>
        <v>3750</v>
      </c>
      <c r="L464" s="44">
        <f t="shared" ref="L464" si="295">+J464+H464</f>
        <v>16250</v>
      </c>
      <c r="M464" s="43">
        <f t="shared" ref="M464" si="296">+L464*G464</f>
        <v>16250</v>
      </c>
    </row>
    <row r="465" spans="1:13" ht="42.75" customHeight="1" x14ac:dyDescent="0.25">
      <c r="A465" s="76"/>
      <c r="B465" s="37" t="s">
        <v>882</v>
      </c>
      <c r="C465" s="270" t="s">
        <v>883</v>
      </c>
      <c r="D465" s="356"/>
      <c r="E465" s="77" t="s">
        <v>2375</v>
      </c>
      <c r="F465" s="97"/>
      <c r="G465" s="84"/>
      <c r="H465" s="78"/>
      <c r="I465" s="79">
        <f>SUM(I466)</f>
        <v>850000</v>
      </c>
      <c r="J465" s="78"/>
      <c r="K465" s="79">
        <f>SUM(K466)</f>
        <v>57000</v>
      </c>
      <c r="L465" s="78"/>
      <c r="M465" s="79">
        <f>SUM(M466)</f>
        <v>907000</v>
      </c>
    </row>
    <row r="466" spans="1:13" ht="163.5" customHeight="1" x14ac:dyDescent="0.25">
      <c r="A466" s="76"/>
      <c r="B466" s="98"/>
      <c r="C466" s="329" t="s">
        <v>2376</v>
      </c>
      <c r="D466" s="330"/>
      <c r="E466" s="95"/>
      <c r="F466" s="41" t="s">
        <v>392</v>
      </c>
      <c r="G466" s="42">
        <v>2</v>
      </c>
      <c r="H466" s="1">
        <v>425000</v>
      </c>
      <c r="I466" s="43">
        <f t="shared" ref="I466" si="297">+H466*G466</f>
        <v>850000</v>
      </c>
      <c r="J466" s="1">
        <v>28500</v>
      </c>
      <c r="K466" s="43">
        <f t="shared" ref="K466" si="298">+J466*G466</f>
        <v>57000</v>
      </c>
      <c r="L466" s="44">
        <f t="shared" ref="L466" si="299">+J466+H466</f>
        <v>453500</v>
      </c>
      <c r="M466" s="43">
        <f t="shared" ref="M466" si="300">+L466*G466</f>
        <v>907000</v>
      </c>
    </row>
    <row r="467" spans="1:13" ht="30" customHeight="1" x14ac:dyDescent="0.25">
      <c r="A467" s="76"/>
      <c r="B467" s="37" t="s">
        <v>884</v>
      </c>
      <c r="C467" s="270" t="s">
        <v>885</v>
      </c>
      <c r="D467" s="356"/>
      <c r="E467" s="77" t="s">
        <v>886</v>
      </c>
      <c r="F467" s="97"/>
      <c r="G467" s="84"/>
      <c r="H467" s="78"/>
      <c r="I467" s="79">
        <f>SUM(I468)</f>
        <v>200000</v>
      </c>
      <c r="J467" s="78"/>
      <c r="K467" s="79">
        <f>SUM(K468)</f>
        <v>56000</v>
      </c>
      <c r="L467" s="78"/>
      <c r="M467" s="79">
        <f>SUM(M468)</f>
        <v>256000</v>
      </c>
    </row>
    <row r="468" spans="1:13" ht="30" customHeight="1" x14ac:dyDescent="0.25">
      <c r="A468" s="76"/>
      <c r="B468" s="98"/>
      <c r="C468" s="329" t="s">
        <v>723</v>
      </c>
      <c r="D468" s="330"/>
      <c r="E468" s="95"/>
      <c r="F468" s="41" t="s">
        <v>392</v>
      </c>
      <c r="G468" s="42">
        <v>16</v>
      </c>
      <c r="H468" s="1">
        <v>12500</v>
      </c>
      <c r="I468" s="43">
        <f t="shared" ref="I468" si="301">+H468*G468</f>
        <v>200000</v>
      </c>
      <c r="J468" s="1">
        <v>3500</v>
      </c>
      <c r="K468" s="43">
        <f t="shared" ref="K468" si="302">+J468*G468</f>
        <v>56000</v>
      </c>
      <c r="L468" s="44">
        <f t="shared" ref="L468" si="303">+J468+H468</f>
        <v>16000</v>
      </c>
      <c r="M468" s="43">
        <f t="shared" ref="M468" si="304">+L468*G468</f>
        <v>256000</v>
      </c>
    </row>
    <row r="469" spans="1:13" ht="30" customHeight="1" x14ac:dyDescent="0.25">
      <c r="A469" s="76"/>
      <c r="B469" s="37" t="s">
        <v>887</v>
      </c>
      <c r="C469" s="270" t="s">
        <v>888</v>
      </c>
      <c r="D469" s="356"/>
      <c r="E469" s="77" t="s">
        <v>889</v>
      </c>
      <c r="F469" s="97"/>
      <c r="G469" s="84"/>
      <c r="H469" s="78"/>
      <c r="I469" s="79">
        <f>SUM(I470)</f>
        <v>20000</v>
      </c>
      <c r="J469" s="78"/>
      <c r="K469" s="79">
        <f>SUM(K470)</f>
        <v>12000</v>
      </c>
      <c r="L469" s="78"/>
      <c r="M469" s="79">
        <f>SUM(M470)</f>
        <v>32000</v>
      </c>
    </row>
    <row r="470" spans="1:13" ht="30" customHeight="1" x14ac:dyDescent="0.25">
      <c r="A470" s="76"/>
      <c r="B470" s="98"/>
      <c r="C470" s="329" t="s">
        <v>890</v>
      </c>
      <c r="D470" s="330"/>
      <c r="E470" s="95"/>
      <c r="F470" s="41" t="s">
        <v>392</v>
      </c>
      <c r="G470" s="42">
        <v>16</v>
      </c>
      <c r="H470" s="1">
        <v>1250</v>
      </c>
      <c r="I470" s="43">
        <f t="shared" ref="I470" si="305">+H470*G470</f>
        <v>20000</v>
      </c>
      <c r="J470" s="1">
        <v>750</v>
      </c>
      <c r="K470" s="43">
        <f t="shared" ref="K470" si="306">+J470*G470</f>
        <v>12000</v>
      </c>
      <c r="L470" s="44">
        <f t="shared" ref="L470" si="307">+J470+H470</f>
        <v>2000</v>
      </c>
      <c r="M470" s="43">
        <f t="shared" ref="M470" si="308">+L470*G470</f>
        <v>32000</v>
      </c>
    </row>
    <row r="471" spans="1:13" ht="30" customHeight="1" x14ac:dyDescent="0.25">
      <c r="A471" s="76"/>
      <c r="B471" s="37" t="s">
        <v>891</v>
      </c>
      <c r="C471" s="270" t="s">
        <v>892</v>
      </c>
      <c r="D471" s="356"/>
      <c r="E471" s="77" t="s">
        <v>893</v>
      </c>
      <c r="F471" s="97"/>
      <c r="G471" s="84"/>
      <c r="H471" s="78"/>
      <c r="I471" s="79">
        <f>SUM(I472)</f>
        <v>360000</v>
      </c>
      <c r="J471" s="78"/>
      <c r="K471" s="79">
        <f>SUM(K472)</f>
        <v>60000</v>
      </c>
      <c r="L471" s="78"/>
      <c r="M471" s="79">
        <f>SUM(M472)</f>
        <v>420000</v>
      </c>
    </row>
    <row r="472" spans="1:13" ht="45" customHeight="1" x14ac:dyDescent="0.25">
      <c r="A472" s="76"/>
      <c r="B472" s="98"/>
      <c r="C472" s="329" t="s">
        <v>894</v>
      </c>
      <c r="D472" s="330"/>
      <c r="E472" s="95"/>
      <c r="F472" s="41" t="s">
        <v>392</v>
      </c>
      <c r="G472" s="42">
        <v>16</v>
      </c>
      <c r="H472" s="1">
        <v>22500</v>
      </c>
      <c r="I472" s="43">
        <f t="shared" ref="I472" si="309">+H472*G472</f>
        <v>360000</v>
      </c>
      <c r="J472" s="1">
        <v>3750</v>
      </c>
      <c r="K472" s="43">
        <f t="shared" ref="K472" si="310">+J472*G472</f>
        <v>60000</v>
      </c>
      <c r="L472" s="44">
        <f t="shared" ref="L472" si="311">+J472+H472</f>
        <v>26250</v>
      </c>
      <c r="M472" s="43">
        <f t="shared" ref="M472" si="312">+L472*G472</f>
        <v>420000</v>
      </c>
    </row>
    <row r="473" spans="1:13" ht="50.25" customHeight="1" x14ac:dyDescent="0.25">
      <c r="A473" s="76"/>
      <c r="B473" s="37" t="s">
        <v>895</v>
      </c>
      <c r="C473" s="270" t="s">
        <v>896</v>
      </c>
      <c r="D473" s="356"/>
      <c r="E473" s="77" t="s">
        <v>897</v>
      </c>
      <c r="F473" s="97"/>
      <c r="G473" s="84"/>
      <c r="H473" s="78"/>
      <c r="I473" s="79">
        <f>SUM(I474:I475)</f>
        <v>66350</v>
      </c>
      <c r="J473" s="78"/>
      <c r="K473" s="79">
        <f>SUM(K474:K475)</f>
        <v>4500</v>
      </c>
      <c r="L473" s="78"/>
      <c r="M473" s="79">
        <f>SUM(M474:M475)</f>
        <v>70850</v>
      </c>
    </row>
    <row r="474" spans="1:13" ht="30" customHeight="1" x14ac:dyDescent="0.25">
      <c r="A474" s="76"/>
      <c r="B474" s="98"/>
      <c r="C474" s="329" t="s">
        <v>2377</v>
      </c>
      <c r="D474" s="358"/>
      <c r="E474" s="95"/>
      <c r="F474" s="41" t="s">
        <v>392</v>
      </c>
      <c r="G474" s="42">
        <v>1</v>
      </c>
      <c r="H474" s="1">
        <v>38500</v>
      </c>
      <c r="I474" s="43">
        <f t="shared" ref="I474:I475" si="313">+H474*G474</f>
        <v>38500</v>
      </c>
      <c r="J474" s="1">
        <v>2250</v>
      </c>
      <c r="K474" s="43">
        <f t="shared" ref="K474:K475" si="314">+J474*G474</f>
        <v>2250</v>
      </c>
      <c r="L474" s="44">
        <f t="shared" ref="L474:L475" si="315">+J474+H474</f>
        <v>40750</v>
      </c>
      <c r="M474" s="43">
        <f t="shared" ref="M474:M475" si="316">+L474*G474</f>
        <v>40750</v>
      </c>
    </row>
    <row r="475" spans="1:13" ht="30" customHeight="1" x14ac:dyDescent="0.25">
      <c r="A475" s="76"/>
      <c r="B475" s="100"/>
      <c r="C475" s="329" t="s">
        <v>2378</v>
      </c>
      <c r="D475" s="358"/>
      <c r="E475" s="95"/>
      <c r="F475" s="41" t="s">
        <v>392</v>
      </c>
      <c r="G475" s="42">
        <v>1</v>
      </c>
      <c r="H475" s="1">
        <v>27850</v>
      </c>
      <c r="I475" s="43">
        <f t="shared" si="313"/>
        <v>27850</v>
      </c>
      <c r="J475" s="1">
        <v>2250</v>
      </c>
      <c r="K475" s="43">
        <f t="shared" si="314"/>
        <v>2250</v>
      </c>
      <c r="L475" s="44">
        <f t="shared" si="315"/>
        <v>30100</v>
      </c>
      <c r="M475" s="43">
        <f t="shared" si="316"/>
        <v>30100</v>
      </c>
    </row>
    <row r="476" spans="1:13" ht="50.25" customHeight="1" x14ac:dyDescent="0.25">
      <c r="A476" s="76"/>
      <c r="B476" s="37" t="s">
        <v>898</v>
      </c>
      <c r="C476" s="270" t="s">
        <v>899</v>
      </c>
      <c r="D476" s="356"/>
      <c r="E476" s="77" t="s">
        <v>897</v>
      </c>
      <c r="F476" s="97"/>
      <c r="G476" s="84"/>
      <c r="H476" s="78"/>
      <c r="I476" s="79">
        <f>SUM(I477)</f>
        <v>85000</v>
      </c>
      <c r="J476" s="78"/>
      <c r="K476" s="79">
        <f>SUM(K477)</f>
        <v>12500</v>
      </c>
      <c r="L476" s="78"/>
      <c r="M476" s="79">
        <f>SUM(M477)</f>
        <v>97500</v>
      </c>
    </row>
    <row r="477" spans="1:13" ht="58.5" customHeight="1" x14ac:dyDescent="0.25">
      <c r="A477" s="76"/>
      <c r="B477" s="98"/>
      <c r="C477" s="329" t="s">
        <v>2379</v>
      </c>
      <c r="D477" s="330"/>
      <c r="E477" s="95"/>
      <c r="F477" s="41" t="s">
        <v>392</v>
      </c>
      <c r="G477" s="42">
        <v>1</v>
      </c>
      <c r="H477" s="1">
        <v>85000</v>
      </c>
      <c r="I477" s="43">
        <f t="shared" ref="I477" si="317">+H477*G477</f>
        <v>85000</v>
      </c>
      <c r="J477" s="1">
        <v>12500</v>
      </c>
      <c r="K477" s="43">
        <f t="shared" ref="K477" si="318">+J477*G477</f>
        <v>12500</v>
      </c>
      <c r="L477" s="44">
        <f t="shared" ref="L477" si="319">+J477+H477</f>
        <v>97500</v>
      </c>
      <c r="M477" s="43">
        <f t="shared" ref="M477" si="320">+L477*G477</f>
        <v>97500</v>
      </c>
    </row>
    <row r="478" spans="1:13" ht="50.25" customHeight="1" x14ac:dyDescent="0.25">
      <c r="A478" s="76"/>
      <c r="B478" s="37" t="s">
        <v>900</v>
      </c>
      <c r="C478" s="270" t="s">
        <v>901</v>
      </c>
      <c r="D478" s="356"/>
      <c r="E478" s="77" t="s">
        <v>897</v>
      </c>
      <c r="F478" s="97"/>
      <c r="G478" s="84"/>
      <c r="H478" s="78"/>
      <c r="I478" s="79">
        <f>SUM(I479)</f>
        <v>110000</v>
      </c>
      <c r="J478" s="78"/>
      <c r="K478" s="79">
        <f>SUM(K479)</f>
        <v>12500</v>
      </c>
      <c r="L478" s="78"/>
      <c r="M478" s="79">
        <f>SUM(M479)</f>
        <v>122500</v>
      </c>
    </row>
    <row r="479" spans="1:13" ht="30" customHeight="1" x14ac:dyDescent="0.25">
      <c r="A479" s="76"/>
      <c r="B479" s="98"/>
      <c r="C479" s="329" t="s">
        <v>902</v>
      </c>
      <c r="D479" s="330"/>
      <c r="E479" s="95"/>
      <c r="F479" s="41" t="s">
        <v>392</v>
      </c>
      <c r="G479" s="42">
        <v>1</v>
      </c>
      <c r="H479" s="1">
        <v>110000</v>
      </c>
      <c r="I479" s="43">
        <f t="shared" ref="I479" si="321">+H479*G479</f>
        <v>110000</v>
      </c>
      <c r="J479" s="1">
        <v>12500</v>
      </c>
      <c r="K479" s="43">
        <f t="shared" ref="K479" si="322">+J479*G479</f>
        <v>12500</v>
      </c>
      <c r="L479" s="44">
        <f t="shared" ref="L479" si="323">+J479+H479</f>
        <v>122500</v>
      </c>
      <c r="M479" s="43">
        <f t="shared" ref="M479" si="324">+L479*G479</f>
        <v>122500</v>
      </c>
    </row>
    <row r="480" spans="1:13" ht="30" customHeight="1" x14ac:dyDescent="0.25">
      <c r="A480" s="76"/>
      <c r="B480" s="37" t="s">
        <v>903</v>
      </c>
      <c r="C480" s="270" t="s">
        <v>904</v>
      </c>
      <c r="D480" s="356"/>
      <c r="E480" s="77" t="s">
        <v>905</v>
      </c>
      <c r="F480" s="97"/>
      <c r="G480" s="84"/>
      <c r="H480" s="78"/>
      <c r="I480" s="79">
        <f>SUM(I481)</f>
        <v>35000</v>
      </c>
      <c r="J480" s="78"/>
      <c r="K480" s="79">
        <f>SUM(K481)</f>
        <v>5500</v>
      </c>
      <c r="L480" s="78"/>
      <c r="M480" s="79">
        <f>SUM(M481)</f>
        <v>40500</v>
      </c>
    </row>
    <row r="481" spans="1:13" ht="30" customHeight="1" thickBot="1" x14ac:dyDescent="0.3">
      <c r="A481" s="76"/>
      <c r="B481" s="98"/>
      <c r="C481" s="329" t="s">
        <v>784</v>
      </c>
      <c r="D481" s="330"/>
      <c r="E481" s="95"/>
      <c r="F481" s="41" t="s">
        <v>392</v>
      </c>
      <c r="G481" s="42">
        <v>1</v>
      </c>
      <c r="H481" s="1">
        <v>35000</v>
      </c>
      <c r="I481" s="43">
        <f t="shared" ref="I481" si="325">+H481*G481</f>
        <v>35000</v>
      </c>
      <c r="J481" s="1">
        <v>5500</v>
      </c>
      <c r="K481" s="43">
        <f t="shared" ref="K481" si="326">+J481*G481</f>
        <v>5500</v>
      </c>
      <c r="L481" s="44">
        <f t="shared" ref="L481" si="327">+J481+H481</f>
        <v>40500</v>
      </c>
      <c r="M481" s="43">
        <f t="shared" ref="M481" si="328">+L481*G481</f>
        <v>40500</v>
      </c>
    </row>
    <row r="482" spans="1:13" ht="37.5" customHeight="1" thickTop="1" thickBot="1" x14ac:dyDescent="0.3">
      <c r="A482" s="53"/>
      <c r="B482" s="54" t="s">
        <v>907</v>
      </c>
      <c r="C482" s="272" t="s">
        <v>906</v>
      </c>
      <c r="D482" s="273"/>
      <c r="E482" s="273"/>
      <c r="F482" s="31"/>
      <c r="G482" s="32"/>
      <c r="H482" s="33"/>
      <c r="I482" s="34">
        <f>+I483+I498+I510+I514+I517+I520+I522+I525+I528+I530+I537+I539+I541+I543+I545+I547+I549+I552+I555+I557+I559+I561+I563+I565</f>
        <v>9291765.5</v>
      </c>
      <c r="J482" s="33"/>
      <c r="K482" s="34">
        <f>+K483+K498+K510+K514+K517+K520+K522+K525+K528+K530+K537+K539+K541+K543+K545+K547+K549+K552+K555+K557+K559+K561+K563+K565</f>
        <v>5117204</v>
      </c>
      <c r="L482" s="35"/>
      <c r="M482" s="34">
        <f>+M483+M498+M510+M514+M517+M520+M522+M525+M528+M530+M537+M539+M541+M543+M545+M547+M549+M552+M555+M557+M559+M561+M563+M565</f>
        <v>14408969.5</v>
      </c>
    </row>
    <row r="483" spans="1:13" ht="50.25" customHeight="1" thickTop="1" x14ac:dyDescent="0.25">
      <c r="A483" s="69"/>
      <c r="B483" s="70" t="s">
        <v>908</v>
      </c>
      <c r="C483" s="274" t="s">
        <v>916</v>
      </c>
      <c r="D483" s="275"/>
      <c r="E483" s="71" t="s">
        <v>915</v>
      </c>
      <c r="F483" s="90"/>
      <c r="G483" s="73"/>
      <c r="H483" s="74"/>
      <c r="I483" s="75">
        <f>SUM(I484:I497)</f>
        <v>2325000</v>
      </c>
      <c r="J483" s="74"/>
      <c r="K483" s="75">
        <f>SUM(K484:K497)</f>
        <v>455000</v>
      </c>
      <c r="L483" s="74"/>
      <c r="M483" s="75">
        <f>SUM(M484:M497)</f>
        <v>2780000</v>
      </c>
    </row>
    <row r="484" spans="1:13" ht="30" customHeight="1" x14ac:dyDescent="0.25">
      <c r="A484" s="76"/>
      <c r="B484" s="359"/>
      <c r="C484" s="354" t="s">
        <v>909</v>
      </c>
      <c r="D484" s="355"/>
      <c r="E484" s="332"/>
      <c r="F484" s="335" t="s">
        <v>392</v>
      </c>
      <c r="G484" s="347">
        <v>2</v>
      </c>
      <c r="H484" s="344">
        <v>1050000</v>
      </c>
      <c r="I484" s="338">
        <f t="shared" ref="I484" si="329">+H484*G484</f>
        <v>2100000</v>
      </c>
      <c r="J484" s="344">
        <v>185000</v>
      </c>
      <c r="K484" s="338">
        <f>+J484*G484</f>
        <v>370000</v>
      </c>
      <c r="L484" s="367">
        <f>+H484+J484</f>
        <v>1235000</v>
      </c>
      <c r="M484" s="338">
        <f>+L484*G484</f>
        <v>2470000</v>
      </c>
    </row>
    <row r="485" spans="1:13" ht="30" customHeight="1" x14ac:dyDescent="0.25">
      <c r="A485" s="76"/>
      <c r="B485" s="360"/>
      <c r="C485" s="350" t="s">
        <v>910</v>
      </c>
      <c r="D485" s="351"/>
      <c r="E485" s="333"/>
      <c r="F485" s="336"/>
      <c r="G485" s="348"/>
      <c r="H485" s="345"/>
      <c r="I485" s="339"/>
      <c r="J485" s="345"/>
      <c r="K485" s="339"/>
      <c r="L485" s="368"/>
      <c r="M485" s="339"/>
    </row>
    <row r="486" spans="1:13" ht="30" customHeight="1" x14ac:dyDescent="0.25">
      <c r="A486" s="76"/>
      <c r="B486" s="360"/>
      <c r="C486" s="350" t="s">
        <v>911</v>
      </c>
      <c r="D486" s="351"/>
      <c r="E486" s="333"/>
      <c r="F486" s="336"/>
      <c r="G486" s="348"/>
      <c r="H486" s="345"/>
      <c r="I486" s="339"/>
      <c r="J486" s="345"/>
      <c r="K486" s="339"/>
      <c r="L486" s="368"/>
      <c r="M486" s="339"/>
    </row>
    <row r="487" spans="1:13" ht="30" customHeight="1" x14ac:dyDescent="0.25">
      <c r="A487" s="76"/>
      <c r="B487" s="360"/>
      <c r="C487" s="350" t="s">
        <v>2353</v>
      </c>
      <c r="D487" s="351"/>
      <c r="E487" s="333"/>
      <c r="F487" s="336"/>
      <c r="G487" s="348"/>
      <c r="H487" s="345"/>
      <c r="I487" s="339"/>
      <c r="J487" s="345"/>
      <c r="K487" s="339"/>
      <c r="L487" s="368"/>
      <c r="M487" s="339"/>
    </row>
    <row r="488" spans="1:13" ht="30" customHeight="1" x14ac:dyDescent="0.25">
      <c r="A488" s="76"/>
      <c r="B488" s="360"/>
      <c r="C488" s="350" t="s">
        <v>912</v>
      </c>
      <c r="D488" s="351"/>
      <c r="E488" s="333"/>
      <c r="F488" s="336"/>
      <c r="G488" s="348"/>
      <c r="H488" s="345"/>
      <c r="I488" s="339"/>
      <c r="J488" s="345"/>
      <c r="K488" s="339"/>
      <c r="L488" s="368"/>
      <c r="M488" s="339"/>
    </row>
    <row r="489" spans="1:13" ht="30" customHeight="1" x14ac:dyDescent="0.25">
      <c r="A489" s="76"/>
      <c r="B489" s="360"/>
      <c r="C489" s="350" t="s">
        <v>913</v>
      </c>
      <c r="D489" s="351"/>
      <c r="E489" s="333"/>
      <c r="F489" s="336"/>
      <c r="G489" s="348"/>
      <c r="H489" s="345"/>
      <c r="I489" s="339"/>
      <c r="J489" s="345"/>
      <c r="K489" s="339"/>
      <c r="L489" s="368"/>
      <c r="M489" s="339"/>
    </row>
    <row r="490" spans="1:13" ht="30" customHeight="1" x14ac:dyDescent="0.25">
      <c r="A490" s="76"/>
      <c r="B490" s="361"/>
      <c r="C490" s="352" t="s">
        <v>914</v>
      </c>
      <c r="D490" s="353"/>
      <c r="E490" s="334"/>
      <c r="F490" s="337"/>
      <c r="G490" s="349"/>
      <c r="H490" s="346"/>
      <c r="I490" s="340"/>
      <c r="J490" s="346"/>
      <c r="K490" s="340"/>
      <c r="L490" s="371"/>
      <c r="M490" s="340"/>
    </row>
    <row r="491" spans="1:13" ht="30" customHeight="1" x14ac:dyDescent="0.25">
      <c r="A491" s="76"/>
      <c r="B491" s="359"/>
      <c r="C491" s="354" t="s">
        <v>917</v>
      </c>
      <c r="D491" s="355"/>
      <c r="E491" s="332"/>
      <c r="F491" s="335" t="s">
        <v>392</v>
      </c>
      <c r="G491" s="347">
        <v>1</v>
      </c>
      <c r="H491" s="344">
        <v>225000</v>
      </c>
      <c r="I491" s="338">
        <f t="shared" ref="I491" si="330">+H491*G491</f>
        <v>225000</v>
      </c>
      <c r="J491" s="344">
        <v>85000</v>
      </c>
      <c r="K491" s="338">
        <f>+J491*G491</f>
        <v>85000</v>
      </c>
      <c r="L491" s="367">
        <f>+H491+J491</f>
        <v>310000</v>
      </c>
      <c r="M491" s="338">
        <f>+L491*G491</f>
        <v>310000</v>
      </c>
    </row>
    <row r="492" spans="1:13" ht="30" customHeight="1" x14ac:dyDescent="0.25">
      <c r="A492" s="76"/>
      <c r="B492" s="360"/>
      <c r="C492" s="350" t="s">
        <v>910</v>
      </c>
      <c r="D492" s="351"/>
      <c r="E492" s="333"/>
      <c r="F492" s="336"/>
      <c r="G492" s="348"/>
      <c r="H492" s="345"/>
      <c r="I492" s="339"/>
      <c r="J492" s="345"/>
      <c r="K492" s="339"/>
      <c r="L492" s="368"/>
      <c r="M492" s="339"/>
    </row>
    <row r="493" spans="1:13" ht="30" customHeight="1" x14ac:dyDescent="0.25">
      <c r="A493" s="76"/>
      <c r="B493" s="360"/>
      <c r="C493" s="350" t="s">
        <v>911</v>
      </c>
      <c r="D493" s="351"/>
      <c r="E493" s="333"/>
      <c r="F493" s="336"/>
      <c r="G493" s="348"/>
      <c r="H493" s="345"/>
      <c r="I493" s="339"/>
      <c r="J493" s="345"/>
      <c r="K493" s="339"/>
      <c r="L493" s="368"/>
      <c r="M493" s="339"/>
    </row>
    <row r="494" spans="1:13" ht="30" customHeight="1" x14ac:dyDescent="0.25">
      <c r="A494" s="76"/>
      <c r="B494" s="360"/>
      <c r="C494" s="350" t="s">
        <v>918</v>
      </c>
      <c r="D494" s="351"/>
      <c r="E494" s="333"/>
      <c r="F494" s="336"/>
      <c r="G494" s="348"/>
      <c r="H494" s="345"/>
      <c r="I494" s="339"/>
      <c r="J494" s="345"/>
      <c r="K494" s="339"/>
      <c r="L494" s="368"/>
      <c r="M494" s="339"/>
    </row>
    <row r="495" spans="1:13" ht="30" customHeight="1" x14ac:dyDescent="0.25">
      <c r="A495" s="76"/>
      <c r="B495" s="360"/>
      <c r="C495" s="350" t="s">
        <v>919</v>
      </c>
      <c r="D495" s="351"/>
      <c r="E495" s="333"/>
      <c r="F495" s="336"/>
      <c r="G495" s="348"/>
      <c r="H495" s="345"/>
      <c r="I495" s="339"/>
      <c r="J495" s="345"/>
      <c r="K495" s="339"/>
      <c r="L495" s="368"/>
      <c r="M495" s="339"/>
    </row>
    <row r="496" spans="1:13" ht="30" customHeight="1" x14ac:dyDescent="0.25">
      <c r="A496" s="76"/>
      <c r="B496" s="360"/>
      <c r="C496" s="350" t="s">
        <v>920</v>
      </c>
      <c r="D496" s="351"/>
      <c r="E496" s="333"/>
      <c r="F496" s="336"/>
      <c r="G496" s="348"/>
      <c r="H496" s="345"/>
      <c r="I496" s="339"/>
      <c r="J496" s="345"/>
      <c r="K496" s="339"/>
      <c r="L496" s="368"/>
      <c r="M496" s="339"/>
    </row>
    <row r="497" spans="1:13" ht="30" customHeight="1" x14ac:dyDescent="0.25">
      <c r="A497" s="76"/>
      <c r="B497" s="360"/>
      <c r="C497" s="369" t="s">
        <v>921</v>
      </c>
      <c r="D497" s="370"/>
      <c r="E497" s="333"/>
      <c r="F497" s="336"/>
      <c r="G497" s="348"/>
      <c r="H497" s="345"/>
      <c r="I497" s="339"/>
      <c r="J497" s="345"/>
      <c r="K497" s="339"/>
      <c r="L497" s="368"/>
      <c r="M497" s="339"/>
    </row>
    <row r="498" spans="1:13" ht="30" customHeight="1" x14ac:dyDescent="0.25">
      <c r="A498" s="76"/>
      <c r="B498" s="37" t="s">
        <v>923</v>
      </c>
      <c r="C498" s="270" t="s">
        <v>922</v>
      </c>
      <c r="D498" s="271"/>
      <c r="E498" s="77" t="s">
        <v>722</v>
      </c>
      <c r="F498" s="97"/>
      <c r="G498" s="84"/>
      <c r="H498" s="78"/>
      <c r="I498" s="79">
        <f>SUM(I499:I509)</f>
        <v>1076635.5</v>
      </c>
      <c r="J498" s="78"/>
      <c r="K498" s="79">
        <f>SUM(K499:K509)</f>
        <v>1680417</v>
      </c>
      <c r="L498" s="78"/>
      <c r="M498" s="79">
        <f>SUM(M499:M509)</f>
        <v>2757052.5</v>
      </c>
    </row>
    <row r="499" spans="1:13" ht="30" customHeight="1" x14ac:dyDescent="0.25">
      <c r="A499" s="76"/>
      <c r="B499" s="98"/>
      <c r="C499" s="357" t="s">
        <v>782</v>
      </c>
      <c r="D499" s="358"/>
      <c r="E499" s="332"/>
      <c r="F499" s="41" t="s">
        <v>77</v>
      </c>
      <c r="G499" s="42">
        <v>850</v>
      </c>
      <c r="H499" s="1">
        <v>202</v>
      </c>
      <c r="I499" s="43">
        <f t="shared" ref="I499:I502" si="331">+H499*G499</f>
        <v>171700</v>
      </c>
      <c r="J499" s="1">
        <v>462</v>
      </c>
      <c r="K499" s="43">
        <f t="shared" ref="K499:K502" si="332">+J499*G499</f>
        <v>392700</v>
      </c>
      <c r="L499" s="44">
        <f t="shared" ref="L499:L502" si="333">+J499+H499</f>
        <v>664</v>
      </c>
      <c r="M499" s="43">
        <f t="shared" ref="M499:M502" si="334">+L499*G499</f>
        <v>564400</v>
      </c>
    </row>
    <row r="500" spans="1:13" ht="30" customHeight="1" x14ac:dyDescent="0.25">
      <c r="A500" s="76"/>
      <c r="B500" s="100"/>
      <c r="C500" s="357" t="s">
        <v>783</v>
      </c>
      <c r="D500" s="358"/>
      <c r="E500" s="333"/>
      <c r="F500" s="41" t="s">
        <v>77</v>
      </c>
      <c r="G500" s="42">
        <v>300</v>
      </c>
      <c r="H500" s="1">
        <v>260</v>
      </c>
      <c r="I500" s="43">
        <f t="shared" si="331"/>
        <v>78000</v>
      </c>
      <c r="J500" s="1">
        <v>552</v>
      </c>
      <c r="K500" s="43">
        <f t="shared" si="332"/>
        <v>165600</v>
      </c>
      <c r="L500" s="44">
        <f t="shared" si="333"/>
        <v>812</v>
      </c>
      <c r="M500" s="43">
        <f t="shared" si="334"/>
        <v>243600</v>
      </c>
    </row>
    <row r="501" spans="1:13" ht="30" customHeight="1" x14ac:dyDescent="0.25">
      <c r="A501" s="76"/>
      <c r="B501" s="100"/>
      <c r="C501" s="357" t="s">
        <v>784</v>
      </c>
      <c r="D501" s="358"/>
      <c r="E501" s="333"/>
      <c r="F501" s="41" t="s">
        <v>77</v>
      </c>
      <c r="G501" s="42">
        <v>185</v>
      </c>
      <c r="H501" s="1">
        <v>298</v>
      </c>
      <c r="I501" s="43">
        <f t="shared" si="331"/>
        <v>55130</v>
      </c>
      <c r="J501" s="1">
        <v>672</v>
      </c>
      <c r="K501" s="43">
        <f t="shared" si="332"/>
        <v>124320</v>
      </c>
      <c r="L501" s="44">
        <f t="shared" si="333"/>
        <v>970</v>
      </c>
      <c r="M501" s="43">
        <f t="shared" si="334"/>
        <v>179450</v>
      </c>
    </row>
    <row r="502" spans="1:13" ht="30" customHeight="1" x14ac:dyDescent="0.25">
      <c r="A502" s="76"/>
      <c r="B502" s="100"/>
      <c r="C502" s="357" t="s">
        <v>785</v>
      </c>
      <c r="D502" s="358"/>
      <c r="E502" s="333"/>
      <c r="F502" s="41" t="s">
        <v>77</v>
      </c>
      <c r="G502" s="42">
        <v>150</v>
      </c>
      <c r="H502" s="1">
        <v>420</v>
      </c>
      <c r="I502" s="43">
        <f t="shared" si="331"/>
        <v>63000</v>
      </c>
      <c r="J502" s="1">
        <v>696</v>
      </c>
      <c r="K502" s="43">
        <f t="shared" si="332"/>
        <v>104400</v>
      </c>
      <c r="L502" s="44">
        <f t="shared" si="333"/>
        <v>1116</v>
      </c>
      <c r="M502" s="43">
        <f t="shared" si="334"/>
        <v>167400</v>
      </c>
    </row>
    <row r="503" spans="1:13" ht="30" customHeight="1" x14ac:dyDescent="0.25">
      <c r="A503" s="76"/>
      <c r="B503" s="102"/>
      <c r="C503" s="276" t="s">
        <v>924</v>
      </c>
      <c r="D503" s="278"/>
      <c r="E503" s="334"/>
      <c r="F503" s="41" t="s">
        <v>731</v>
      </c>
      <c r="G503" s="4">
        <v>0.15</v>
      </c>
      <c r="H503" s="119"/>
      <c r="I503" s="120">
        <f>SUM(I499:I502)*G503</f>
        <v>55174.5</v>
      </c>
      <c r="J503" s="119"/>
      <c r="K503" s="120">
        <f>SUM(K499:K502)*G503</f>
        <v>118053</v>
      </c>
      <c r="L503" s="121"/>
      <c r="M503" s="120">
        <f>+I503+K503</f>
        <v>173227.5</v>
      </c>
    </row>
    <row r="504" spans="1:13" ht="30" customHeight="1" x14ac:dyDescent="0.25">
      <c r="A504" s="76"/>
      <c r="B504" s="98"/>
      <c r="C504" s="357" t="s">
        <v>786</v>
      </c>
      <c r="D504" s="358"/>
      <c r="E504" s="332"/>
      <c r="F504" s="41" t="s">
        <v>77</v>
      </c>
      <c r="G504" s="42">
        <v>400</v>
      </c>
      <c r="H504" s="1">
        <v>532</v>
      </c>
      <c r="I504" s="43">
        <f t="shared" ref="I504:I508" si="335">+H504*G504</f>
        <v>212800</v>
      </c>
      <c r="J504" s="1">
        <v>768</v>
      </c>
      <c r="K504" s="43">
        <f t="shared" ref="K504:K508" si="336">+J504*G504</f>
        <v>307200</v>
      </c>
      <c r="L504" s="44">
        <f t="shared" ref="L504:L508" si="337">+J504+H504</f>
        <v>1300</v>
      </c>
      <c r="M504" s="43">
        <f t="shared" ref="M504:M508" si="338">+L504*G504</f>
        <v>520000</v>
      </c>
    </row>
    <row r="505" spans="1:13" ht="30" customHeight="1" x14ac:dyDescent="0.25">
      <c r="A505" s="76"/>
      <c r="B505" s="100"/>
      <c r="C505" s="357" t="s">
        <v>787</v>
      </c>
      <c r="D505" s="358"/>
      <c r="E505" s="333"/>
      <c r="F505" s="41" t="s">
        <v>77</v>
      </c>
      <c r="G505" s="42">
        <v>60</v>
      </c>
      <c r="H505" s="1">
        <v>698</v>
      </c>
      <c r="I505" s="43">
        <f t="shared" si="335"/>
        <v>41880</v>
      </c>
      <c r="J505" s="1">
        <v>852</v>
      </c>
      <c r="K505" s="43">
        <f t="shared" si="336"/>
        <v>51120</v>
      </c>
      <c r="L505" s="44">
        <f t="shared" si="337"/>
        <v>1550</v>
      </c>
      <c r="M505" s="43">
        <f t="shared" si="338"/>
        <v>93000</v>
      </c>
    </row>
    <row r="506" spans="1:13" ht="30" customHeight="1" x14ac:dyDescent="0.25">
      <c r="A506" s="76"/>
      <c r="B506" s="100"/>
      <c r="C506" s="357" t="s">
        <v>925</v>
      </c>
      <c r="D506" s="358"/>
      <c r="E506" s="333"/>
      <c r="F506" s="41" t="s">
        <v>77</v>
      </c>
      <c r="G506" s="42">
        <v>100</v>
      </c>
      <c r="H506" s="1">
        <v>1004</v>
      </c>
      <c r="I506" s="43">
        <f t="shared" si="335"/>
        <v>100400</v>
      </c>
      <c r="J506" s="1">
        <v>936</v>
      </c>
      <c r="K506" s="43">
        <f t="shared" si="336"/>
        <v>93600</v>
      </c>
      <c r="L506" s="44">
        <f t="shared" si="337"/>
        <v>1940</v>
      </c>
      <c r="M506" s="43">
        <f t="shared" si="338"/>
        <v>194000</v>
      </c>
    </row>
    <row r="507" spans="1:13" ht="30" customHeight="1" x14ac:dyDescent="0.25">
      <c r="A507" s="76"/>
      <c r="B507" s="100"/>
      <c r="C507" s="357" t="s">
        <v>926</v>
      </c>
      <c r="D507" s="358"/>
      <c r="E507" s="333"/>
      <c r="F507" s="41" t="s">
        <v>77</v>
      </c>
      <c r="G507" s="42">
        <v>10</v>
      </c>
      <c r="H507" s="1">
        <v>1370</v>
      </c>
      <c r="I507" s="43">
        <f t="shared" ref="I507" si="339">+H507*G507</f>
        <v>13700</v>
      </c>
      <c r="J507" s="1">
        <v>1380</v>
      </c>
      <c r="K507" s="43">
        <f t="shared" ref="K507" si="340">+J507*G507</f>
        <v>13800</v>
      </c>
      <c r="L507" s="44">
        <f t="shared" ref="L507" si="341">+J507+H507</f>
        <v>2750</v>
      </c>
      <c r="M507" s="43">
        <f t="shared" ref="M507" si="342">+L507*G507</f>
        <v>27500</v>
      </c>
    </row>
    <row r="508" spans="1:13" ht="30" customHeight="1" x14ac:dyDescent="0.25">
      <c r="A508" s="76"/>
      <c r="B508" s="100"/>
      <c r="C508" s="357" t="s">
        <v>927</v>
      </c>
      <c r="D508" s="358"/>
      <c r="E508" s="333"/>
      <c r="F508" s="41" t="s">
        <v>77</v>
      </c>
      <c r="G508" s="42">
        <v>50</v>
      </c>
      <c r="H508" s="1">
        <v>1640</v>
      </c>
      <c r="I508" s="43">
        <f t="shared" si="335"/>
        <v>82000</v>
      </c>
      <c r="J508" s="1">
        <v>1380</v>
      </c>
      <c r="K508" s="43">
        <f t="shared" si="336"/>
        <v>69000</v>
      </c>
      <c r="L508" s="44">
        <f t="shared" si="337"/>
        <v>3020</v>
      </c>
      <c r="M508" s="43">
        <f t="shared" si="338"/>
        <v>151000</v>
      </c>
    </row>
    <row r="509" spans="1:13" ht="30" customHeight="1" x14ac:dyDescent="0.25">
      <c r="A509" s="76"/>
      <c r="B509" s="102"/>
      <c r="C509" s="122" t="s">
        <v>928</v>
      </c>
      <c r="D509" s="123"/>
      <c r="E509" s="334"/>
      <c r="F509" s="41" t="s">
        <v>731</v>
      </c>
      <c r="G509" s="4">
        <v>0.45</v>
      </c>
      <c r="H509" s="119"/>
      <c r="I509" s="120">
        <f>SUM(I504:I508)*G509</f>
        <v>202851</v>
      </c>
      <c r="J509" s="119"/>
      <c r="K509" s="120">
        <f>SUM(K504:K508)*G509</f>
        <v>240624</v>
      </c>
      <c r="L509" s="121"/>
      <c r="M509" s="120">
        <f>+I509+K509</f>
        <v>443475</v>
      </c>
    </row>
    <row r="510" spans="1:13" ht="30" customHeight="1" x14ac:dyDescent="0.25">
      <c r="A510" s="76"/>
      <c r="B510" s="37" t="s">
        <v>929</v>
      </c>
      <c r="C510" s="270" t="s">
        <v>930</v>
      </c>
      <c r="D510" s="271"/>
      <c r="E510" s="77"/>
      <c r="F510" s="97"/>
      <c r="G510" s="84"/>
      <c r="H510" s="78"/>
      <c r="I510" s="79">
        <f>SUM(I511:I513)</f>
        <v>2842937.5</v>
      </c>
      <c r="J510" s="78"/>
      <c r="K510" s="79">
        <f>SUM(K511:K513)</f>
        <v>2545980</v>
      </c>
      <c r="L510" s="78"/>
      <c r="M510" s="79">
        <f>SUM(M511:M513)</f>
        <v>5388917.5</v>
      </c>
    </row>
    <row r="511" spans="1:13" ht="30" customHeight="1" x14ac:dyDescent="0.25">
      <c r="A511" s="76"/>
      <c r="B511" s="98"/>
      <c r="C511" s="357" t="s">
        <v>931</v>
      </c>
      <c r="D511" s="358"/>
      <c r="E511" s="332"/>
      <c r="F511" s="41" t="s">
        <v>77</v>
      </c>
      <c r="G511" s="42">
        <v>14485</v>
      </c>
      <c r="H511" s="1">
        <v>187.5</v>
      </c>
      <c r="I511" s="43">
        <f t="shared" ref="I511:I513" si="343">+H511*G511</f>
        <v>2715937.5</v>
      </c>
      <c r="J511" s="1">
        <v>168</v>
      </c>
      <c r="K511" s="43">
        <f t="shared" ref="K511:K513" si="344">+J511*G511</f>
        <v>2433480</v>
      </c>
      <c r="L511" s="44">
        <f t="shared" ref="L511:L513" si="345">+J511+H511</f>
        <v>355.5</v>
      </c>
      <c r="M511" s="43">
        <f t="shared" ref="M511:M513" si="346">+L511*G511</f>
        <v>5149417.5</v>
      </c>
    </row>
    <row r="512" spans="1:13" ht="30" customHeight="1" x14ac:dyDescent="0.25">
      <c r="A512" s="76"/>
      <c r="B512" s="100"/>
      <c r="C512" s="357" t="s">
        <v>932</v>
      </c>
      <c r="D512" s="358"/>
      <c r="E512" s="333"/>
      <c r="F512" s="41" t="s">
        <v>77</v>
      </c>
      <c r="G512" s="42">
        <v>560</v>
      </c>
      <c r="H512" s="1">
        <v>200</v>
      </c>
      <c r="I512" s="43">
        <f t="shared" si="343"/>
        <v>112000</v>
      </c>
      <c r="J512" s="1">
        <v>180</v>
      </c>
      <c r="K512" s="43">
        <f t="shared" si="344"/>
        <v>100800</v>
      </c>
      <c r="L512" s="44">
        <f t="shared" si="345"/>
        <v>380</v>
      </c>
      <c r="M512" s="43">
        <f t="shared" si="346"/>
        <v>212800</v>
      </c>
    </row>
    <row r="513" spans="1:13" ht="30" customHeight="1" x14ac:dyDescent="0.25">
      <c r="A513" s="76"/>
      <c r="B513" s="100"/>
      <c r="C513" s="357" t="s">
        <v>933</v>
      </c>
      <c r="D513" s="358"/>
      <c r="E513" s="334"/>
      <c r="F513" s="41" t="s">
        <v>77</v>
      </c>
      <c r="G513" s="42">
        <v>60</v>
      </c>
      <c r="H513" s="1">
        <v>250</v>
      </c>
      <c r="I513" s="43">
        <f t="shared" si="343"/>
        <v>15000</v>
      </c>
      <c r="J513" s="1">
        <v>195</v>
      </c>
      <c r="K513" s="43">
        <f t="shared" si="344"/>
        <v>11700</v>
      </c>
      <c r="L513" s="44">
        <f t="shared" si="345"/>
        <v>445</v>
      </c>
      <c r="M513" s="43">
        <f t="shared" si="346"/>
        <v>26700</v>
      </c>
    </row>
    <row r="514" spans="1:13" ht="30" customHeight="1" x14ac:dyDescent="0.25">
      <c r="A514" s="76"/>
      <c r="B514" s="37" t="s">
        <v>934</v>
      </c>
      <c r="C514" s="270" t="s">
        <v>935</v>
      </c>
      <c r="D514" s="271"/>
      <c r="E514" s="77" t="s">
        <v>936</v>
      </c>
      <c r="F514" s="97"/>
      <c r="G514" s="84"/>
      <c r="H514" s="78"/>
      <c r="I514" s="79">
        <f>SUM(I515:I516)</f>
        <v>230950</v>
      </c>
      <c r="J514" s="78"/>
      <c r="K514" s="79">
        <f>SUM(K515:K516)</f>
        <v>110532</v>
      </c>
      <c r="L514" s="78"/>
      <c r="M514" s="79">
        <f>SUM(M515:M516)</f>
        <v>341482</v>
      </c>
    </row>
    <row r="515" spans="1:13" ht="30" customHeight="1" x14ac:dyDescent="0.25">
      <c r="A515" s="76"/>
      <c r="B515" s="98"/>
      <c r="C515" s="357" t="s">
        <v>937</v>
      </c>
      <c r="D515" s="358"/>
      <c r="E515" s="332"/>
      <c r="F515" s="41" t="s">
        <v>392</v>
      </c>
      <c r="G515" s="42">
        <v>11</v>
      </c>
      <c r="H515" s="1">
        <v>825</v>
      </c>
      <c r="I515" s="43">
        <f t="shared" ref="I515:I516" si="347">+H515*G515</f>
        <v>9075</v>
      </c>
      <c r="J515" s="1">
        <v>302</v>
      </c>
      <c r="K515" s="43">
        <f t="shared" ref="K515:K516" si="348">+J515*G515</f>
        <v>3322</v>
      </c>
      <c r="L515" s="44">
        <f t="shared" ref="L515:L516" si="349">+J515+H515</f>
        <v>1127</v>
      </c>
      <c r="M515" s="43">
        <f t="shared" ref="M515:M516" si="350">+L515*G515</f>
        <v>12397</v>
      </c>
    </row>
    <row r="516" spans="1:13" ht="30" customHeight="1" x14ac:dyDescent="0.25">
      <c r="A516" s="76"/>
      <c r="B516" s="100"/>
      <c r="C516" s="357" t="s">
        <v>938</v>
      </c>
      <c r="D516" s="358"/>
      <c r="E516" s="334"/>
      <c r="F516" s="41" t="s">
        <v>392</v>
      </c>
      <c r="G516" s="42">
        <v>355</v>
      </c>
      <c r="H516" s="1">
        <v>625</v>
      </c>
      <c r="I516" s="43">
        <f t="shared" si="347"/>
        <v>221875</v>
      </c>
      <c r="J516" s="1">
        <v>302</v>
      </c>
      <c r="K516" s="43">
        <f t="shared" si="348"/>
        <v>107210</v>
      </c>
      <c r="L516" s="44">
        <f t="shared" si="349"/>
        <v>927</v>
      </c>
      <c r="M516" s="43">
        <f t="shared" si="350"/>
        <v>329085</v>
      </c>
    </row>
    <row r="517" spans="1:13" ht="30" customHeight="1" x14ac:dyDescent="0.25">
      <c r="A517" s="76"/>
      <c r="B517" s="37" t="s">
        <v>939</v>
      </c>
      <c r="C517" s="270" t="s">
        <v>940</v>
      </c>
      <c r="D517" s="271"/>
      <c r="E517" s="77" t="s">
        <v>941</v>
      </c>
      <c r="F517" s="97"/>
      <c r="G517" s="84"/>
      <c r="H517" s="78"/>
      <c r="I517" s="79">
        <f>SUM(I518:I519)</f>
        <v>502500</v>
      </c>
      <c r="J517" s="78"/>
      <c r="K517" s="79">
        <f>SUM(K518:K519)</f>
        <v>90500</v>
      </c>
      <c r="L517" s="78"/>
      <c r="M517" s="79">
        <f>SUM(M518:M519)</f>
        <v>593000</v>
      </c>
    </row>
    <row r="518" spans="1:13" ht="30" customHeight="1" x14ac:dyDescent="0.25">
      <c r="A518" s="76"/>
      <c r="B518" s="98"/>
      <c r="C518" s="329" t="s">
        <v>942</v>
      </c>
      <c r="D518" s="330"/>
      <c r="E518" s="332"/>
      <c r="F518" s="41" t="s">
        <v>392</v>
      </c>
      <c r="G518" s="42">
        <v>14</v>
      </c>
      <c r="H518" s="1">
        <v>32500</v>
      </c>
      <c r="I518" s="43">
        <f t="shared" ref="I518:I519" si="351">+H518*G518</f>
        <v>455000</v>
      </c>
      <c r="J518" s="1">
        <v>6000</v>
      </c>
      <c r="K518" s="43">
        <f t="shared" ref="K518:K519" si="352">+J518*G518</f>
        <v>84000</v>
      </c>
      <c r="L518" s="44">
        <f t="shared" ref="L518:L519" si="353">+J518+H518</f>
        <v>38500</v>
      </c>
      <c r="M518" s="43">
        <f t="shared" ref="M518:M519" si="354">+L518*G518</f>
        <v>539000</v>
      </c>
    </row>
    <row r="519" spans="1:13" ht="30" customHeight="1" x14ac:dyDescent="0.25">
      <c r="A519" s="76"/>
      <c r="B519" s="100"/>
      <c r="C519" s="329" t="s">
        <v>943</v>
      </c>
      <c r="D519" s="330"/>
      <c r="E519" s="334"/>
      <c r="F519" s="41" t="s">
        <v>392</v>
      </c>
      <c r="G519" s="42">
        <v>1</v>
      </c>
      <c r="H519" s="1">
        <v>47500</v>
      </c>
      <c r="I519" s="43">
        <f t="shared" si="351"/>
        <v>47500</v>
      </c>
      <c r="J519" s="1">
        <v>6500</v>
      </c>
      <c r="K519" s="43">
        <f t="shared" si="352"/>
        <v>6500</v>
      </c>
      <c r="L519" s="44">
        <f t="shared" si="353"/>
        <v>54000</v>
      </c>
      <c r="M519" s="43">
        <f t="shared" si="354"/>
        <v>54000</v>
      </c>
    </row>
    <row r="520" spans="1:13" ht="30" customHeight="1" x14ac:dyDescent="0.25">
      <c r="A520" s="76"/>
      <c r="B520" s="37" t="s">
        <v>945</v>
      </c>
      <c r="C520" s="270" t="s">
        <v>944</v>
      </c>
      <c r="D520" s="271"/>
      <c r="E520" s="77" t="s">
        <v>722</v>
      </c>
      <c r="F520" s="97"/>
      <c r="G520" s="84"/>
      <c r="H520" s="78"/>
      <c r="I520" s="79">
        <f>SUM(I521:I521)</f>
        <v>75000</v>
      </c>
      <c r="J520" s="78"/>
      <c r="K520" s="79">
        <f>SUM(K521:K521)</f>
        <v>19500</v>
      </c>
      <c r="L520" s="78"/>
      <c r="M520" s="79">
        <f>SUM(M521:M521)</f>
        <v>94500</v>
      </c>
    </row>
    <row r="521" spans="1:13" ht="30" customHeight="1" x14ac:dyDescent="0.25">
      <c r="A521" s="76"/>
      <c r="B521" s="98"/>
      <c r="C521" s="357" t="s">
        <v>946</v>
      </c>
      <c r="D521" s="358"/>
      <c r="E521" s="91"/>
      <c r="F521" s="41" t="s">
        <v>77</v>
      </c>
      <c r="G521" s="42">
        <v>6</v>
      </c>
      <c r="H521" s="1">
        <v>12500</v>
      </c>
      <c r="I521" s="43">
        <f t="shared" ref="I521" si="355">+H521*G521</f>
        <v>75000</v>
      </c>
      <c r="J521" s="1">
        <v>3250</v>
      </c>
      <c r="K521" s="43">
        <f t="shared" ref="K521" si="356">+J521*G521</f>
        <v>19500</v>
      </c>
      <c r="L521" s="44">
        <f t="shared" ref="L521" si="357">+J521+H521</f>
        <v>15750</v>
      </c>
      <c r="M521" s="43">
        <f t="shared" ref="M521" si="358">+L521*G521</f>
        <v>94500</v>
      </c>
    </row>
    <row r="522" spans="1:13" ht="30" customHeight="1" x14ac:dyDescent="0.25">
      <c r="A522" s="76"/>
      <c r="B522" s="37" t="s">
        <v>947</v>
      </c>
      <c r="C522" s="270" t="s">
        <v>948</v>
      </c>
      <c r="D522" s="271"/>
      <c r="E522" s="77" t="s">
        <v>2380</v>
      </c>
      <c r="F522" s="97"/>
      <c r="G522" s="84"/>
      <c r="H522" s="78"/>
      <c r="I522" s="79">
        <f>SUM(I523:I524)</f>
        <v>194000</v>
      </c>
      <c r="J522" s="78"/>
      <c r="K522" s="79">
        <f>SUM(K523:K524)</f>
        <v>36000</v>
      </c>
      <c r="L522" s="78"/>
      <c r="M522" s="79">
        <f>SUM(M523:M524)</f>
        <v>230000</v>
      </c>
    </row>
    <row r="523" spans="1:13" ht="30" customHeight="1" x14ac:dyDescent="0.25">
      <c r="A523" s="76"/>
      <c r="B523" s="98"/>
      <c r="C523" s="329" t="s">
        <v>725</v>
      </c>
      <c r="D523" s="330"/>
      <c r="E523" s="332"/>
      <c r="F523" s="41" t="s">
        <v>392</v>
      </c>
      <c r="G523" s="42">
        <v>1</v>
      </c>
      <c r="H523" s="1">
        <v>0</v>
      </c>
      <c r="I523" s="43">
        <f t="shared" ref="I523:I524" si="359">+H523*G523</f>
        <v>0</v>
      </c>
      <c r="J523" s="1">
        <v>0</v>
      </c>
      <c r="K523" s="43">
        <f t="shared" ref="K523:K524" si="360">+J523*G523</f>
        <v>0</v>
      </c>
      <c r="L523" s="44">
        <f t="shared" ref="L523:L524" si="361">+J523+H523</f>
        <v>0</v>
      </c>
      <c r="M523" s="43">
        <f t="shared" ref="M523:M524" si="362">+L523*G523</f>
        <v>0</v>
      </c>
    </row>
    <row r="524" spans="1:13" ht="30" customHeight="1" x14ac:dyDescent="0.25">
      <c r="A524" s="76"/>
      <c r="B524" s="100"/>
      <c r="C524" s="329" t="s">
        <v>949</v>
      </c>
      <c r="D524" s="330"/>
      <c r="E524" s="334"/>
      <c r="F524" s="41" t="s">
        <v>392</v>
      </c>
      <c r="G524" s="42">
        <v>4</v>
      </c>
      <c r="H524" s="1">
        <v>48500</v>
      </c>
      <c r="I524" s="43">
        <f t="shared" si="359"/>
        <v>194000</v>
      </c>
      <c r="J524" s="1">
        <v>9000</v>
      </c>
      <c r="K524" s="43">
        <f t="shared" si="360"/>
        <v>36000</v>
      </c>
      <c r="L524" s="44">
        <f t="shared" si="361"/>
        <v>57500</v>
      </c>
      <c r="M524" s="43">
        <f t="shared" si="362"/>
        <v>230000</v>
      </c>
    </row>
    <row r="525" spans="1:13" ht="30" customHeight="1" x14ac:dyDescent="0.25">
      <c r="A525" s="76"/>
      <c r="B525" s="37" t="s">
        <v>950</v>
      </c>
      <c r="C525" s="270" t="s">
        <v>797</v>
      </c>
      <c r="D525" s="271"/>
      <c r="E525" s="77" t="s">
        <v>2380</v>
      </c>
      <c r="F525" s="97"/>
      <c r="G525" s="84"/>
      <c r="H525" s="78"/>
      <c r="I525" s="79">
        <f>SUM(I526:I527)</f>
        <v>73450</v>
      </c>
      <c r="J525" s="78"/>
      <c r="K525" s="79">
        <f>SUM(K526:K527)</f>
        <v>6415</v>
      </c>
      <c r="L525" s="78"/>
      <c r="M525" s="79">
        <f>SUM(M526:M527)</f>
        <v>79865</v>
      </c>
    </row>
    <row r="526" spans="1:13" ht="30" customHeight="1" x14ac:dyDescent="0.25">
      <c r="A526" s="76"/>
      <c r="B526" s="98"/>
      <c r="C526" s="329" t="s">
        <v>725</v>
      </c>
      <c r="D526" s="330"/>
      <c r="E526" s="332"/>
      <c r="F526" s="41" t="s">
        <v>392</v>
      </c>
      <c r="G526" s="42">
        <v>1</v>
      </c>
      <c r="H526" s="1">
        <v>450</v>
      </c>
      <c r="I526" s="43">
        <f t="shared" ref="I526:I527" si="363">+H526*G526</f>
        <v>450</v>
      </c>
      <c r="J526" s="1">
        <v>415</v>
      </c>
      <c r="K526" s="43">
        <f t="shared" ref="K526:K527" si="364">+J526*G526</f>
        <v>415</v>
      </c>
      <c r="L526" s="44">
        <f t="shared" ref="L526:L527" si="365">+J526+H526</f>
        <v>865</v>
      </c>
      <c r="M526" s="43">
        <f t="shared" ref="M526:M527" si="366">+L526*G526</f>
        <v>865</v>
      </c>
    </row>
    <row r="527" spans="1:13" ht="30" customHeight="1" x14ac:dyDescent="0.25">
      <c r="A527" s="76"/>
      <c r="B527" s="100"/>
      <c r="C527" s="329" t="s">
        <v>949</v>
      </c>
      <c r="D527" s="330"/>
      <c r="E527" s="334"/>
      <c r="F527" s="41" t="s">
        <v>392</v>
      </c>
      <c r="G527" s="42">
        <v>2</v>
      </c>
      <c r="H527" s="1">
        <v>36500</v>
      </c>
      <c r="I527" s="43">
        <f t="shared" si="363"/>
        <v>73000</v>
      </c>
      <c r="J527" s="1">
        <v>3000</v>
      </c>
      <c r="K527" s="43">
        <f t="shared" si="364"/>
        <v>6000</v>
      </c>
      <c r="L527" s="44">
        <f t="shared" si="365"/>
        <v>39500</v>
      </c>
      <c r="M527" s="43">
        <f t="shared" si="366"/>
        <v>79000</v>
      </c>
    </row>
    <row r="528" spans="1:13" ht="30" customHeight="1" x14ac:dyDescent="0.25">
      <c r="A528" s="76"/>
      <c r="B528" s="37" t="s">
        <v>951</v>
      </c>
      <c r="C528" s="270" t="s">
        <v>952</v>
      </c>
      <c r="D528" s="271"/>
      <c r="E528" s="77" t="s">
        <v>2380</v>
      </c>
      <c r="F528" s="97"/>
      <c r="G528" s="84"/>
      <c r="H528" s="78"/>
      <c r="I528" s="79">
        <f>SUM(I529:I529)</f>
        <v>18000</v>
      </c>
      <c r="J528" s="78"/>
      <c r="K528" s="79">
        <f>SUM(K529:K529)</f>
        <v>2760</v>
      </c>
      <c r="L528" s="78"/>
      <c r="M528" s="79">
        <f>SUM(M529:M529)</f>
        <v>20760</v>
      </c>
    </row>
    <row r="529" spans="1:13" ht="30" customHeight="1" x14ac:dyDescent="0.25">
      <c r="A529" s="76"/>
      <c r="B529" s="98"/>
      <c r="C529" s="357" t="s">
        <v>953</v>
      </c>
      <c r="D529" s="358"/>
      <c r="E529" s="91"/>
      <c r="F529" s="41" t="s">
        <v>392</v>
      </c>
      <c r="G529" s="42">
        <v>1</v>
      </c>
      <c r="H529" s="1">
        <v>18000</v>
      </c>
      <c r="I529" s="43">
        <f t="shared" ref="I529" si="367">+H529*G529</f>
        <v>18000</v>
      </c>
      <c r="J529" s="1">
        <v>2760</v>
      </c>
      <c r="K529" s="43">
        <f t="shared" ref="K529" si="368">+J529*G529</f>
        <v>2760</v>
      </c>
      <c r="L529" s="44">
        <f t="shared" ref="L529" si="369">+J529+H529</f>
        <v>20760</v>
      </c>
      <c r="M529" s="43">
        <f t="shared" ref="M529" si="370">+L529*G529</f>
        <v>20760</v>
      </c>
    </row>
    <row r="530" spans="1:13" ht="30" customHeight="1" x14ac:dyDescent="0.25">
      <c r="A530" s="76"/>
      <c r="B530" s="37" t="s">
        <v>954</v>
      </c>
      <c r="C530" s="270" t="s">
        <v>955</v>
      </c>
      <c r="D530" s="271"/>
      <c r="E530" s="77" t="s">
        <v>2381</v>
      </c>
      <c r="F530" s="97"/>
      <c r="G530" s="84"/>
      <c r="H530" s="78"/>
      <c r="I530" s="79">
        <f>SUM(I531:I536)</f>
        <v>386070</v>
      </c>
      <c r="J530" s="78"/>
      <c r="K530" s="79">
        <f>SUM(K531:K536)</f>
        <v>53490</v>
      </c>
      <c r="L530" s="78"/>
      <c r="M530" s="79">
        <f>SUM(M531:M536)</f>
        <v>439560</v>
      </c>
    </row>
    <row r="531" spans="1:13" ht="30" customHeight="1" x14ac:dyDescent="0.25">
      <c r="A531" s="76"/>
      <c r="B531" s="98"/>
      <c r="C531" s="329" t="s">
        <v>925</v>
      </c>
      <c r="D531" s="330"/>
      <c r="E531" s="332" t="s">
        <v>956</v>
      </c>
      <c r="F531" s="41" t="s">
        <v>392</v>
      </c>
      <c r="G531" s="42">
        <v>5</v>
      </c>
      <c r="H531" s="1">
        <v>22000</v>
      </c>
      <c r="I531" s="43">
        <f t="shared" ref="I531" si="371">+H531*G531</f>
        <v>110000</v>
      </c>
      <c r="J531" s="1">
        <v>3000</v>
      </c>
      <c r="K531" s="43">
        <f t="shared" ref="K531" si="372">+J531*G531</f>
        <v>15000</v>
      </c>
      <c r="L531" s="44">
        <f t="shared" ref="L531" si="373">+J531+H531</f>
        <v>25000</v>
      </c>
      <c r="M531" s="43">
        <f t="shared" ref="M531" si="374">+L531*G531</f>
        <v>125000</v>
      </c>
    </row>
    <row r="532" spans="1:13" ht="30" customHeight="1" x14ac:dyDescent="0.25">
      <c r="A532" s="76"/>
      <c r="B532" s="100"/>
      <c r="C532" s="329" t="s">
        <v>926</v>
      </c>
      <c r="D532" s="330"/>
      <c r="E532" s="333"/>
      <c r="F532" s="41" t="s">
        <v>392</v>
      </c>
      <c r="G532" s="42">
        <v>2</v>
      </c>
      <c r="H532" s="1">
        <v>24500</v>
      </c>
      <c r="I532" s="43">
        <f t="shared" ref="I532:I536" si="375">+H532*G532</f>
        <v>49000</v>
      </c>
      <c r="J532" s="1">
        <v>3600</v>
      </c>
      <c r="K532" s="43">
        <f t="shared" ref="K532:K536" si="376">+J532*G532</f>
        <v>7200</v>
      </c>
      <c r="L532" s="44">
        <f t="shared" ref="L532:L536" si="377">+J532+H532</f>
        <v>28100</v>
      </c>
      <c r="M532" s="43">
        <f t="shared" ref="M532:M536" si="378">+L532*G532</f>
        <v>56200</v>
      </c>
    </row>
    <row r="533" spans="1:13" ht="30" customHeight="1" x14ac:dyDescent="0.25">
      <c r="A533" s="76"/>
      <c r="B533" s="100"/>
      <c r="C533" s="329" t="s">
        <v>927</v>
      </c>
      <c r="D533" s="330"/>
      <c r="E533" s="333"/>
      <c r="F533" s="41" t="s">
        <v>392</v>
      </c>
      <c r="G533" s="42">
        <v>8</v>
      </c>
      <c r="H533" s="1">
        <v>27850</v>
      </c>
      <c r="I533" s="43">
        <f t="shared" si="375"/>
        <v>222800</v>
      </c>
      <c r="J533" s="1">
        <v>3600</v>
      </c>
      <c r="K533" s="43">
        <f t="shared" si="376"/>
        <v>28800</v>
      </c>
      <c r="L533" s="44">
        <f t="shared" si="377"/>
        <v>31450</v>
      </c>
      <c r="M533" s="43">
        <f t="shared" si="378"/>
        <v>251600</v>
      </c>
    </row>
    <row r="534" spans="1:13" ht="30" customHeight="1" x14ac:dyDescent="0.25">
      <c r="A534" s="76"/>
      <c r="B534" s="100"/>
      <c r="C534" s="364" t="s">
        <v>874</v>
      </c>
      <c r="D534" s="124" t="s">
        <v>795</v>
      </c>
      <c r="E534" s="99"/>
      <c r="F534" s="41" t="s">
        <v>392</v>
      </c>
      <c r="G534" s="42">
        <v>2</v>
      </c>
      <c r="H534" s="1">
        <v>475</v>
      </c>
      <c r="I534" s="43">
        <f t="shared" si="375"/>
        <v>950</v>
      </c>
      <c r="J534" s="1">
        <v>415</v>
      </c>
      <c r="K534" s="43">
        <f t="shared" si="376"/>
        <v>830</v>
      </c>
      <c r="L534" s="44">
        <f t="shared" si="377"/>
        <v>890</v>
      </c>
      <c r="M534" s="43">
        <f t="shared" si="378"/>
        <v>1780</v>
      </c>
    </row>
    <row r="535" spans="1:13" ht="30" customHeight="1" x14ac:dyDescent="0.25">
      <c r="A535" s="76"/>
      <c r="B535" s="100"/>
      <c r="C535" s="365"/>
      <c r="D535" s="125" t="s">
        <v>724</v>
      </c>
      <c r="E535" s="101"/>
      <c r="F535" s="41" t="s">
        <v>392</v>
      </c>
      <c r="G535" s="42">
        <v>2</v>
      </c>
      <c r="H535" s="1">
        <v>685</v>
      </c>
      <c r="I535" s="43">
        <f t="shared" si="375"/>
        <v>1370</v>
      </c>
      <c r="J535" s="1">
        <v>415</v>
      </c>
      <c r="K535" s="43">
        <f t="shared" si="376"/>
        <v>830</v>
      </c>
      <c r="L535" s="44">
        <f t="shared" si="377"/>
        <v>1100</v>
      </c>
      <c r="M535" s="43">
        <f t="shared" si="378"/>
        <v>2200</v>
      </c>
    </row>
    <row r="536" spans="1:13" ht="30" customHeight="1" x14ac:dyDescent="0.25">
      <c r="A536" s="76"/>
      <c r="B536" s="100"/>
      <c r="C536" s="366"/>
      <c r="D536" s="126" t="s">
        <v>725</v>
      </c>
      <c r="E536" s="101"/>
      <c r="F536" s="41" t="s">
        <v>392</v>
      </c>
      <c r="G536" s="42">
        <v>2</v>
      </c>
      <c r="H536" s="1">
        <v>975</v>
      </c>
      <c r="I536" s="43">
        <f t="shared" si="375"/>
        <v>1950</v>
      </c>
      <c r="J536" s="1">
        <v>415</v>
      </c>
      <c r="K536" s="43">
        <f t="shared" si="376"/>
        <v>830</v>
      </c>
      <c r="L536" s="44">
        <f t="shared" si="377"/>
        <v>1390</v>
      </c>
      <c r="M536" s="43">
        <f t="shared" si="378"/>
        <v>2780</v>
      </c>
    </row>
    <row r="537" spans="1:13" ht="30" customHeight="1" x14ac:dyDescent="0.25">
      <c r="A537" s="76"/>
      <c r="B537" s="37" t="s">
        <v>957</v>
      </c>
      <c r="C537" s="270" t="s">
        <v>958</v>
      </c>
      <c r="D537" s="271"/>
      <c r="E537" s="77" t="s">
        <v>959</v>
      </c>
      <c r="F537" s="97"/>
      <c r="G537" s="84"/>
      <c r="H537" s="78"/>
      <c r="I537" s="79">
        <f>SUM(I538:I538)</f>
        <v>3437.5</v>
      </c>
      <c r="J537" s="78"/>
      <c r="K537" s="79">
        <f>SUM(K538:K538)</f>
        <v>1250</v>
      </c>
      <c r="L537" s="78"/>
      <c r="M537" s="79">
        <f>SUM(M538:M538)</f>
        <v>4687.5</v>
      </c>
    </row>
    <row r="538" spans="1:13" ht="30" customHeight="1" x14ac:dyDescent="0.25">
      <c r="A538" s="76"/>
      <c r="B538" s="98"/>
      <c r="C538" s="357" t="s">
        <v>960</v>
      </c>
      <c r="D538" s="358"/>
      <c r="E538" s="91"/>
      <c r="F538" s="41" t="s">
        <v>392</v>
      </c>
      <c r="G538" s="42">
        <v>5</v>
      </c>
      <c r="H538" s="1">
        <v>687.5</v>
      </c>
      <c r="I538" s="43">
        <f t="shared" ref="I538" si="379">+H538*G538</f>
        <v>3437.5</v>
      </c>
      <c r="J538" s="1">
        <v>250</v>
      </c>
      <c r="K538" s="43">
        <f t="shared" ref="K538" si="380">+J538*G538</f>
        <v>1250</v>
      </c>
      <c r="L538" s="44">
        <f t="shared" ref="L538" si="381">+J538+H538</f>
        <v>937.5</v>
      </c>
      <c r="M538" s="43">
        <f t="shared" ref="M538" si="382">+L538*G538</f>
        <v>4687.5</v>
      </c>
    </row>
    <row r="539" spans="1:13" ht="46.5" customHeight="1" x14ac:dyDescent="0.25">
      <c r="A539" s="76"/>
      <c r="B539" s="37" t="s">
        <v>961</v>
      </c>
      <c r="C539" s="270" t="s">
        <v>962</v>
      </c>
      <c r="D539" s="271"/>
      <c r="E539" s="77" t="s">
        <v>963</v>
      </c>
      <c r="F539" s="97"/>
      <c r="G539" s="84"/>
      <c r="H539" s="78"/>
      <c r="I539" s="79">
        <f>SUM(I540:I540)</f>
        <v>53750</v>
      </c>
      <c r="J539" s="78"/>
      <c r="K539" s="79">
        <f>SUM(K540:K540)</f>
        <v>6000</v>
      </c>
      <c r="L539" s="78"/>
      <c r="M539" s="79">
        <f>SUM(M540:M540)</f>
        <v>59750</v>
      </c>
    </row>
    <row r="540" spans="1:13" ht="30" customHeight="1" x14ac:dyDescent="0.25">
      <c r="A540" s="76"/>
      <c r="B540" s="98"/>
      <c r="C540" s="357" t="s">
        <v>953</v>
      </c>
      <c r="D540" s="358"/>
      <c r="E540" s="91"/>
      <c r="F540" s="41" t="s">
        <v>392</v>
      </c>
      <c r="G540" s="42">
        <v>5</v>
      </c>
      <c r="H540" s="1">
        <v>10750</v>
      </c>
      <c r="I540" s="43">
        <f t="shared" ref="I540" si="383">+H540*G540</f>
        <v>53750</v>
      </c>
      <c r="J540" s="1">
        <v>1200</v>
      </c>
      <c r="K540" s="43">
        <f t="shared" ref="K540" si="384">+J540*G540</f>
        <v>6000</v>
      </c>
      <c r="L540" s="44">
        <f t="shared" ref="L540" si="385">+J540+H540</f>
        <v>11950</v>
      </c>
      <c r="M540" s="43">
        <f t="shared" ref="M540" si="386">+L540*G540</f>
        <v>59750</v>
      </c>
    </row>
    <row r="541" spans="1:13" ht="30" customHeight="1" x14ac:dyDescent="0.25">
      <c r="A541" s="76"/>
      <c r="B541" s="37" t="s">
        <v>964</v>
      </c>
      <c r="C541" s="270" t="s">
        <v>965</v>
      </c>
      <c r="D541" s="271"/>
      <c r="E541" s="77" t="s">
        <v>966</v>
      </c>
      <c r="F541" s="97"/>
      <c r="G541" s="84"/>
      <c r="H541" s="78"/>
      <c r="I541" s="79">
        <f>SUM(I542:I542)</f>
        <v>295000</v>
      </c>
      <c r="J541" s="78"/>
      <c r="K541" s="79">
        <f>SUM(K542:K542)</f>
        <v>37000</v>
      </c>
      <c r="L541" s="78"/>
      <c r="M541" s="79">
        <f>SUM(M542:M542)</f>
        <v>332000</v>
      </c>
    </row>
    <row r="542" spans="1:13" ht="30" customHeight="1" x14ac:dyDescent="0.25">
      <c r="A542" s="76"/>
      <c r="B542" s="100"/>
      <c r="C542" s="329" t="s">
        <v>927</v>
      </c>
      <c r="D542" s="330"/>
      <c r="E542" s="95" t="s">
        <v>967</v>
      </c>
      <c r="F542" s="41" t="s">
        <v>392</v>
      </c>
      <c r="G542" s="42">
        <v>2</v>
      </c>
      <c r="H542" s="1">
        <v>147500</v>
      </c>
      <c r="I542" s="43">
        <f t="shared" ref="I542" si="387">+H542*G542</f>
        <v>295000</v>
      </c>
      <c r="J542" s="1">
        <v>18500</v>
      </c>
      <c r="K542" s="43">
        <f t="shared" ref="K542" si="388">+J542*G542</f>
        <v>37000</v>
      </c>
      <c r="L542" s="44">
        <f t="shared" ref="L542" si="389">+J542+H542</f>
        <v>166000</v>
      </c>
      <c r="M542" s="43">
        <f t="shared" ref="M542" si="390">+L542*G542</f>
        <v>332000</v>
      </c>
    </row>
    <row r="543" spans="1:13" ht="30" customHeight="1" x14ac:dyDescent="0.25">
      <c r="A543" s="76"/>
      <c r="B543" s="37" t="s">
        <v>968</v>
      </c>
      <c r="C543" s="270" t="s">
        <v>969</v>
      </c>
      <c r="D543" s="271"/>
      <c r="E543" s="77" t="s">
        <v>970</v>
      </c>
      <c r="F543" s="97"/>
      <c r="G543" s="84"/>
      <c r="H543" s="78"/>
      <c r="I543" s="79">
        <f>SUM(I544:I544)</f>
        <v>85500</v>
      </c>
      <c r="J543" s="78"/>
      <c r="K543" s="79">
        <f>SUM(K544:K544)</f>
        <v>10680</v>
      </c>
      <c r="L543" s="78"/>
      <c r="M543" s="79">
        <f>SUM(M544:M544)</f>
        <v>96180</v>
      </c>
    </row>
    <row r="544" spans="1:13" ht="30" customHeight="1" x14ac:dyDescent="0.25">
      <c r="A544" s="76"/>
      <c r="B544" s="100"/>
      <c r="C544" s="329" t="s">
        <v>926</v>
      </c>
      <c r="D544" s="330"/>
      <c r="E544" s="95"/>
      <c r="F544" s="41" t="s">
        <v>392</v>
      </c>
      <c r="G544" s="42">
        <v>1</v>
      </c>
      <c r="H544" s="1">
        <v>85500</v>
      </c>
      <c r="I544" s="43">
        <f t="shared" ref="I544" si="391">+H544*G544</f>
        <v>85500</v>
      </c>
      <c r="J544" s="1">
        <v>10680</v>
      </c>
      <c r="K544" s="43">
        <f t="shared" ref="K544" si="392">+J544*G544</f>
        <v>10680</v>
      </c>
      <c r="L544" s="44">
        <f t="shared" ref="L544" si="393">+J544+H544</f>
        <v>96180</v>
      </c>
      <c r="M544" s="43">
        <f t="shared" ref="M544" si="394">+L544*G544</f>
        <v>96180</v>
      </c>
    </row>
    <row r="545" spans="1:13" ht="30" customHeight="1" x14ac:dyDescent="0.25">
      <c r="A545" s="76"/>
      <c r="B545" s="37" t="s">
        <v>971</v>
      </c>
      <c r="C545" s="270" t="s">
        <v>972</v>
      </c>
      <c r="D545" s="271"/>
      <c r="E545" s="77" t="s">
        <v>973</v>
      </c>
      <c r="F545" s="97"/>
      <c r="G545" s="84"/>
      <c r="H545" s="78"/>
      <c r="I545" s="79">
        <f>SUM(I546:I546)</f>
        <v>91250</v>
      </c>
      <c r="J545" s="78"/>
      <c r="K545" s="79">
        <f>SUM(K546:K546)</f>
        <v>12500</v>
      </c>
      <c r="L545" s="78"/>
      <c r="M545" s="79">
        <f>SUM(M546:M546)</f>
        <v>103750</v>
      </c>
    </row>
    <row r="546" spans="1:13" ht="30" customHeight="1" x14ac:dyDescent="0.25">
      <c r="A546" s="76"/>
      <c r="B546" s="100"/>
      <c r="C546" s="329" t="s">
        <v>783</v>
      </c>
      <c r="D546" s="330"/>
      <c r="E546" s="95"/>
      <c r="F546" s="41" t="s">
        <v>392</v>
      </c>
      <c r="G546" s="42">
        <v>5</v>
      </c>
      <c r="H546" s="1">
        <v>18250</v>
      </c>
      <c r="I546" s="43">
        <f t="shared" ref="I546" si="395">+H546*G546</f>
        <v>91250</v>
      </c>
      <c r="J546" s="1">
        <v>2500</v>
      </c>
      <c r="K546" s="43">
        <f t="shared" ref="K546" si="396">+J546*G546</f>
        <v>12500</v>
      </c>
      <c r="L546" s="44">
        <f t="shared" ref="L546" si="397">+J546+H546</f>
        <v>20750</v>
      </c>
      <c r="M546" s="43">
        <f t="shared" ref="M546" si="398">+L546*G546</f>
        <v>103750</v>
      </c>
    </row>
    <row r="547" spans="1:13" ht="30" customHeight="1" x14ac:dyDescent="0.25">
      <c r="A547" s="76"/>
      <c r="B547" s="37" t="s">
        <v>974</v>
      </c>
      <c r="C547" s="270" t="s">
        <v>975</v>
      </c>
      <c r="D547" s="271"/>
      <c r="E547" s="77" t="s">
        <v>976</v>
      </c>
      <c r="F547" s="97"/>
      <c r="G547" s="84"/>
      <c r="H547" s="78"/>
      <c r="I547" s="79">
        <f>SUM(I548:I548)</f>
        <v>22450</v>
      </c>
      <c r="J547" s="78"/>
      <c r="K547" s="79">
        <f>SUM(K548:K548)</f>
        <v>7200</v>
      </c>
      <c r="L547" s="78"/>
      <c r="M547" s="79">
        <f>SUM(M548:M548)</f>
        <v>29650</v>
      </c>
    </row>
    <row r="548" spans="1:13" ht="30" customHeight="1" x14ac:dyDescent="0.25">
      <c r="A548" s="76"/>
      <c r="B548" s="100"/>
      <c r="C548" s="329" t="s">
        <v>977</v>
      </c>
      <c r="D548" s="330"/>
      <c r="E548" s="95"/>
      <c r="F548" s="41" t="s">
        <v>392</v>
      </c>
      <c r="G548" s="42">
        <v>1</v>
      </c>
      <c r="H548" s="1">
        <v>22450</v>
      </c>
      <c r="I548" s="43">
        <f t="shared" ref="I548" si="399">+H548*G548</f>
        <v>22450</v>
      </c>
      <c r="J548" s="1">
        <v>7200</v>
      </c>
      <c r="K548" s="43">
        <f t="shared" ref="K548" si="400">+J548*G548</f>
        <v>7200</v>
      </c>
      <c r="L548" s="44">
        <f t="shared" ref="L548" si="401">+J548+H548</f>
        <v>29650</v>
      </c>
      <c r="M548" s="43">
        <f t="shared" ref="M548" si="402">+L548*G548</f>
        <v>29650</v>
      </c>
    </row>
    <row r="549" spans="1:13" ht="30" customHeight="1" x14ac:dyDescent="0.25">
      <c r="A549" s="76"/>
      <c r="B549" s="37" t="s">
        <v>978</v>
      </c>
      <c r="C549" s="270" t="s">
        <v>979</v>
      </c>
      <c r="D549" s="271"/>
      <c r="E549" s="77" t="s">
        <v>976</v>
      </c>
      <c r="F549" s="97"/>
      <c r="G549" s="84"/>
      <c r="H549" s="78"/>
      <c r="I549" s="79">
        <f>SUM(I550:I551)</f>
        <v>527975</v>
      </c>
      <c r="J549" s="78"/>
      <c r="K549" s="79">
        <f>SUM(K550:K551)</f>
        <v>24480</v>
      </c>
      <c r="L549" s="78"/>
      <c r="M549" s="79">
        <f>SUM(M550:M551)</f>
        <v>552455</v>
      </c>
    </row>
    <row r="550" spans="1:13" ht="30" customHeight="1" x14ac:dyDescent="0.25">
      <c r="A550" s="76"/>
      <c r="B550" s="98"/>
      <c r="C550" s="329" t="s">
        <v>728</v>
      </c>
      <c r="D550" s="330"/>
      <c r="E550" s="332"/>
      <c r="F550" s="41" t="s">
        <v>392</v>
      </c>
      <c r="G550" s="42">
        <v>11</v>
      </c>
      <c r="H550" s="1">
        <v>1925</v>
      </c>
      <c r="I550" s="43">
        <f t="shared" ref="I550:I551" si="403">+H550*G550</f>
        <v>21175</v>
      </c>
      <c r="J550" s="1">
        <v>1080</v>
      </c>
      <c r="K550" s="43">
        <f t="shared" ref="K550:K551" si="404">+J550*G550</f>
        <v>11880</v>
      </c>
      <c r="L550" s="44">
        <f t="shared" ref="L550:L551" si="405">+J550+H550</f>
        <v>3005</v>
      </c>
      <c r="M550" s="43">
        <f t="shared" ref="M550:M551" si="406">+L550*G550</f>
        <v>33055</v>
      </c>
    </row>
    <row r="551" spans="1:13" ht="30" customHeight="1" x14ac:dyDescent="0.25">
      <c r="A551" s="76"/>
      <c r="B551" s="100"/>
      <c r="C551" s="329" t="s">
        <v>980</v>
      </c>
      <c r="D551" s="330"/>
      <c r="E551" s="334"/>
      <c r="F551" s="41" t="s">
        <v>392</v>
      </c>
      <c r="G551" s="42">
        <v>7</v>
      </c>
      <c r="H551" s="1">
        <v>72400</v>
      </c>
      <c r="I551" s="43">
        <f t="shared" si="403"/>
        <v>506800</v>
      </c>
      <c r="J551" s="1">
        <v>1800</v>
      </c>
      <c r="K551" s="43">
        <f t="shared" si="404"/>
        <v>12600</v>
      </c>
      <c r="L551" s="44">
        <f t="shared" si="405"/>
        <v>74200</v>
      </c>
      <c r="M551" s="43">
        <f t="shared" si="406"/>
        <v>519400</v>
      </c>
    </row>
    <row r="552" spans="1:13" ht="54" customHeight="1" x14ac:dyDescent="0.25">
      <c r="A552" s="76"/>
      <c r="B552" s="37" t="s">
        <v>981</v>
      </c>
      <c r="C552" s="270" t="s">
        <v>982</v>
      </c>
      <c r="D552" s="271"/>
      <c r="E552" s="77" t="s">
        <v>983</v>
      </c>
      <c r="F552" s="97"/>
      <c r="G552" s="84"/>
      <c r="H552" s="78"/>
      <c r="I552" s="79">
        <f>SUM(I553:I554)</f>
        <v>311960</v>
      </c>
      <c r="J552" s="78"/>
      <c r="K552" s="79">
        <f>SUM(K553:K554)</f>
        <v>0</v>
      </c>
      <c r="L552" s="78"/>
      <c r="M552" s="79">
        <f>SUM(M553:M554)</f>
        <v>311960</v>
      </c>
    </row>
    <row r="553" spans="1:13" ht="53.25" customHeight="1" x14ac:dyDescent="0.25">
      <c r="A553" s="76"/>
      <c r="B553" s="98"/>
      <c r="C553" s="329" t="s">
        <v>985</v>
      </c>
      <c r="D553" s="330"/>
      <c r="E553" s="332" t="s">
        <v>984</v>
      </c>
      <c r="F553" s="41" t="s">
        <v>392</v>
      </c>
      <c r="G553" s="42">
        <v>1</v>
      </c>
      <c r="H553" s="1">
        <v>237600</v>
      </c>
      <c r="I553" s="43">
        <f t="shared" ref="I553:I554" si="407">+H553*G553</f>
        <v>237600</v>
      </c>
      <c r="J553" s="1"/>
      <c r="K553" s="43">
        <f t="shared" ref="K553:K554" si="408">+J553*G553</f>
        <v>0</v>
      </c>
      <c r="L553" s="44">
        <f t="shared" ref="L553:L554" si="409">+J553+H553</f>
        <v>237600</v>
      </c>
      <c r="M553" s="43">
        <f t="shared" ref="M553:M554" si="410">+L553*G553</f>
        <v>237600</v>
      </c>
    </row>
    <row r="554" spans="1:13" ht="53.25" customHeight="1" x14ac:dyDescent="0.25">
      <c r="A554" s="76"/>
      <c r="B554" s="100"/>
      <c r="C554" s="329" t="s">
        <v>986</v>
      </c>
      <c r="D554" s="330"/>
      <c r="E554" s="334"/>
      <c r="F554" s="41" t="s">
        <v>392</v>
      </c>
      <c r="G554" s="42">
        <v>1</v>
      </c>
      <c r="H554" s="1">
        <v>74360</v>
      </c>
      <c r="I554" s="43">
        <f t="shared" si="407"/>
        <v>74360</v>
      </c>
      <c r="J554" s="1"/>
      <c r="K554" s="43">
        <f t="shared" si="408"/>
        <v>0</v>
      </c>
      <c r="L554" s="44">
        <f t="shared" si="409"/>
        <v>74360</v>
      </c>
      <c r="M554" s="43">
        <f t="shared" si="410"/>
        <v>74360</v>
      </c>
    </row>
    <row r="555" spans="1:13" ht="30" customHeight="1" x14ac:dyDescent="0.25">
      <c r="A555" s="76"/>
      <c r="B555" s="37" t="s">
        <v>987</v>
      </c>
      <c r="C555" s="270" t="s">
        <v>988</v>
      </c>
      <c r="D555" s="271"/>
      <c r="E555" s="77"/>
      <c r="F555" s="97"/>
      <c r="G555" s="84"/>
      <c r="H555" s="78"/>
      <c r="I555" s="79">
        <f>SUM(I556:I556)</f>
        <v>54000</v>
      </c>
      <c r="J555" s="78"/>
      <c r="K555" s="79">
        <f>SUM(K556:K556)</f>
        <v>0</v>
      </c>
      <c r="L555" s="78"/>
      <c r="M555" s="79">
        <f>SUM(M556:M556)</f>
        <v>54000</v>
      </c>
    </row>
    <row r="556" spans="1:13" ht="30" customHeight="1" x14ac:dyDescent="0.25">
      <c r="A556" s="76"/>
      <c r="B556" s="100"/>
      <c r="C556" s="329" t="s">
        <v>988</v>
      </c>
      <c r="D556" s="330"/>
      <c r="E556" s="95"/>
      <c r="F556" s="41" t="s">
        <v>18</v>
      </c>
      <c r="G556" s="42">
        <v>1</v>
      </c>
      <c r="H556" s="1">
        <v>54000</v>
      </c>
      <c r="I556" s="43">
        <f t="shared" ref="I556" si="411">+H556*G556</f>
        <v>54000</v>
      </c>
      <c r="J556" s="1"/>
      <c r="K556" s="43">
        <f t="shared" ref="K556" si="412">+J556*G556</f>
        <v>0</v>
      </c>
      <c r="L556" s="44">
        <f t="shared" ref="L556" si="413">+J556+H556</f>
        <v>54000</v>
      </c>
      <c r="M556" s="43">
        <f t="shared" ref="M556" si="414">+L556*G556</f>
        <v>54000</v>
      </c>
    </row>
    <row r="557" spans="1:13" ht="30" customHeight="1" x14ac:dyDescent="0.25">
      <c r="A557" s="76"/>
      <c r="B557" s="37" t="s">
        <v>989</v>
      </c>
      <c r="C557" s="270" t="s">
        <v>990</v>
      </c>
      <c r="D557" s="271"/>
      <c r="E557" s="77"/>
      <c r="F557" s="97"/>
      <c r="G557" s="84"/>
      <c r="H557" s="78"/>
      <c r="I557" s="79">
        <f>SUM(I558:I558)</f>
        <v>3500</v>
      </c>
      <c r="J557" s="78"/>
      <c r="K557" s="79">
        <f>SUM(K558:K558)</f>
        <v>0</v>
      </c>
      <c r="L557" s="78"/>
      <c r="M557" s="79">
        <f>SUM(M558:M558)</f>
        <v>3500</v>
      </c>
    </row>
    <row r="558" spans="1:13" ht="30" customHeight="1" x14ac:dyDescent="0.25">
      <c r="A558" s="76"/>
      <c r="B558" s="100"/>
      <c r="C558" s="329" t="s">
        <v>990</v>
      </c>
      <c r="D558" s="330"/>
      <c r="E558" s="95"/>
      <c r="F558" s="41" t="s">
        <v>18</v>
      </c>
      <c r="G558" s="42">
        <v>1</v>
      </c>
      <c r="H558" s="1">
        <v>3500</v>
      </c>
      <c r="I558" s="43">
        <f t="shared" ref="I558" si="415">+H558*G558</f>
        <v>3500</v>
      </c>
      <c r="J558" s="1"/>
      <c r="K558" s="43">
        <f t="shared" ref="K558" si="416">+J558*G558</f>
        <v>0</v>
      </c>
      <c r="L558" s="44">
        <f t="shared" ref="L558" si="417">+J558+H558</f>
        <v>3500</v>
      </c>
      <c r="M558" s="43">
        <f t="shared" ref="M558" si="418">+L558*G558</f>
        <v>3500</v>
      </c>
    </row>
    <row r="559" spans="1:13" ht="30" customHeight="1" x14ac:dyDescent="0.25">
      <c r="A559" s="76"/>
      <c r="B559" s="37" t="s">
        <v>991</v>
      </c>
      <c r="C559" s="270" t="s">
        <v>992</v>
      </c>
      <c r="D559" s="271"/>
      <c r="E559" s="77"/>
      <c r="F559" s="97"/>
      <c r="G559" s="84"/>
      <c r="H559" s="78"/>
      <c r="I559" s="79">
        <f>SUM(I560:I560)</f>
        <v>15000</v>
      </c>
      <c r="J559" s="78"/>
      <c r="K559" s="79">
        <f>SUM(K560:K560)</f>
        <v>300</v>
      </c>
      <c r="L559" s="78"/>
      <c r="M559" s="79">
        <f>SUM(M560:M560)</f>
        <v>15300</v>
      </c>
    </row>
    <row r="560" spans="1:13" ht="30" customHeight="1" x14ac:dyDescent="0.25">
      <c r="A560" s="76"/>
      <c r="B560" s="100"/>
      <c r="C560" s="329" t="s">
        <v>992</v>
      </c>
      <c r="D560" s="330"/>
      <c r="E560" s="95"/>
      <c r="F560" s="41" t="s">
        <v>18</v>
      </c>
      <c r="G560" s="42">
        <v>2</v>
      </c>
      <c r="H560" s="1">
        <v>7500</v>
      </c>
      <c r="I560" s="43">
        <f t="shared" ref="I560" si="419">+H560*G560</f>
        <v>15000</v>
      </c>
      <c r="J560" s="1">
        <v>150</v>
      </c>
      <c r="K560" s="43">
        <f t="shared" ref="K560" si="420">+J560*G560</f>
        <v>300</v>
      </c>
      <c r="L560" s="44">
        <f t="shared" ref="L560" si="421">+J560+H560</f>
        <v>7650</v>
      </c>
      <c r="M560" s="43">
        <f t="shared" ref="M560" si="422">+L560*G560</f>
        <v>15300</v>
      </c>
    </row>
    <row r="561" spans="1:13" ht="30" customHeight="1" x14ac:dyDescent="0.25">
      <c r="A561" s="76"/>
      <c r="B561" s="37" t="s">
        <v>2357</v>
      </c>
      <c r="C561" s="270" t="s">
        <v>2354</v>
      </c>
      <c r="D561" s="271"/>
      <c r="E561" s="77"/>
      <c r="F561" s="97"/>
      <c r="G561" s="84"/>
      <c r="H561" s="78"/>
      <c r="I561" s="79">
        <f>SUM(I562:I562)</f>
        <v>45900</v>
      </c>
      <c r="J561" s="78"/>
      <c r="K561" s="79">
        <f>SUM(K562:K562)</f>
        <v>5700</v>
      </c>
      <c r="L561" s="78"/>
      <c r="M561" s="79">
        <f>SUM(M562:M562)</f>
        <v>51600</v>
      </c>
    </row>
    <row r="562" spans="1:13" ht="30" customHeight="1" x14ac:dyDescent="0.25">
      <c r="A562" s="76"/>
      <c r="B562" s="100"/>
      <c r="C562" s="329" t="s">
        <v>2355</v>
      </c>
      <c r="D562" s="330"/>
      <c r="E562" s="95"/>
      <c r="F562" s="41" t="s">
        <v>38</v>
      </c>
      <c r="G562" s="42">
        <v>2</v>
      </c>
      <c r="H562" s="1">
        <v>22950</v>
      </c>
      <c r="I562" s="43">
        <f t="shared" ref="I562" si="423">+H562*G562</f>
        <v>45900</v>
      </c>
      <c r="J562" s="1">
        <v>2850</v>
      </c>
      <c r="K562" s="43">
        <f t="shared" ref="K562" si="424">+J562*G562</f>
        <v>5700</v>
      </c>
      <c r="L562" s="44">
        <f t="shared" ref="L562" si="425">+J562+H562</f>
        <v>25800</v>
      </c>
      <c r="M562" s="43">
        <f t="shared" ref="M562" si="426">+L562*G562</f>
        <v>51600</v>
      </c>
    </row>
    <row r="563" spans="1:13" ht="30" customHeight="1" x14ac:dyDescent="0.25">
      <c r="A563" s="76"/>
      <c r="B563" s="37" t="s">
        <v>2358</v>
      </c>
      <c r="C563" s="270" t="s">
        <v>2356</v>
      </c>
      <c r="D563" s="271"/>
      <c r="E563" s="77"/>
      <c r="F563" s="97"/>
      <c r="G563" s="84"/>
      <c r="H563" s="78"/>
      <c r="I563" s="79">
        <f t="shared" ref="I563" si="427">SUM(I564:I564)</f>
        <v>49000</v>
      </c>
      <c r="J563" s="78"/>
      <c r="K563" s="79">
        <f t="shared" ref="K563" si="428">SUM(K564:K564)</f>
        <v>7000</v>
      </c>
      <c r="L563" s="78"/>
      <c r="M563" s="79">
        <f t="shared" ref="M563" si="429">SUM(M564:M564)</f>
        <v>56000</v>
      </c>
    </row>
    <row r="564" spans="1:13" ht="35.25" customHeight="1" x14ac:dyDescent="0.25">
      <c r="A564" s="76"/>
      <c r="B564" s="100"/>
      <c r="C564" s="362" t="s">
        <v>2360</v>
      </c>
      <c r="D564" s="363"/>
      <c r="E564" s="95"/>
      <c r="F564" s="41" t="s">
        <v>38</v>
      </c>
      <c r="G564" s="42">
        <v>2</v>
      </c>
      <c r="H564" s="1">
        <v>24500</v>
      </c>
      <c r="I564" s="43">
        <f t="shared" ref="I564" si="430">+H564*G564</f>
        <v>49000</v>
      </c>
      <c r="J564" s="1">
        <v>3500</v>
      </c>
      <c r="K564" s="43">
        <f t="shared" ref="K564" si="431">+J564*G564</f>
        <v>7000</v>
      </c>
      <c r="L564" s="44">
        <f t="shared" ref="L564" si="432">+J564+H564</f>
        <v>28000</v>
      </c>
      <c r="M564" s="43">
        <f t="shared" ref="M564" si="433">+L564*G564</f>
        <v>56000</v>
      </c>
    </row>
    <row r="565" spans="1:13" ht="30" customHeight="1" x14ac:dyDescent="0.25">
      <c r="A565" s="76"/>
      <c r="B565" s="37" t="s">
        <v>2359</v>
      </c>
      <c r="C565" s="270" t="s">
        <v>2361</v>
      </c>
      <c r="D565" s="271"/>
      <c r="E565" s="77"/>
      <c r="F565" s="97"/>
      <c r="G565" s="84"/>
      <c r="H565" s="78"/>
      <c r="I565" s="79">
        <f t="shared" ref="I565" si="434">SUM(I566:I566)</f>
        <v>8500</v>
      </c>
      <c r="J565" s="78"/>
      <c r="K565" s="79">
        <f t="shared" ref="K565" si="435">SUM(K566:K566)</f>
        <v>4500</v>
      </c>
      <c r="L565" s="78"/>
      <c r="M565" s="79">
        <f t="shared" ref="M565" si="436">SUM(M566:M566)</f>
        <v>13000</v>
      </c>
    </row>
    <row r="566" spans="1:13" ht="30" customHeight="1" thickBot="1" x14ac:dyDescent="0.3">
      <c r="A566" s="76"/>
      <c r="B566" s="100"/>
      <c r="C566" s="329" t="s">
        <v>2361</v>
      </c>
      <c r="D566" s="330"/>
      <c r="E566" s="95"/>
      <c r="F566" s="41" t="s">
        <v>18</v>
      </c>
      <c r="G566" s="42">
        <v>2</v>
      </c>
      <c r="H566" s="1">
        <v>4250</v>
      </c>
      <c r="I566" s="43">
        <f t="shared" ref="I566" si="437">+H566*G566</f>
        <v>8500</v>
      </c>
      <c r="J566" s="1">
        <v>2250</v>
      </c>
      <c r="K566" s="43">
        <f t="shared" ref="K566" si="438">+J566*G566</f>
        <v>4500</v>
      </c>
      <c r="L566" s="44">
        <f t="shared" ref="L566" si="439">+J566+H566</f>
        <v>6500</v>
      </c>
      <c r="M566" s="43">
        <f t="shared" ref="M566" si="440">+L566*G566</f>
        <v>13000</v>
      </c>
    </row>
    <row r="567" spans="1:13" ht="37.5" customHeight="1" thickTop="1" thickBot="1" x14ac:dyDescent="0.3">
      <c r="A567" s="53"/>
      <c r="B567" s="54" t="s">
        <v>10</v>
      </c>
      <c r="C567" s="272" t="s">
        <v>993</v>
      </c>
      <c r="D567" s="273"/>
      <c r="E567" s="273"/>
      <c r="F567" s="31"/>
      <c r="G567" s="32"/>
      <c r="H567" s="33"/>
      <c r="I567" s="34">
        <f>+I568+I576+I581+I584+I586+I589+I592+I594+I596+I598+I600+I605</f>
        <v>1624940</v>
      </c>
      <c r="J567" s="33"/>
      <c r="K567" s="34">
        <f>+K568+K576+K581+K584+K586+K589+K592+K594+K596+K598+K600+K605</f>
        <v>687090</v>
      </c>
      <c r="L567" s="35"/>
      <c r="M567" s="34">
        <f>+M568+M576+M581+M584+M586+M589+M592+M594+M596+M598+M600+M605</f>
        <v>2312030</v>
      </c>
    </row>
    <row r="568" spans="1:13" ht="30" customHeight="1" thickTop="1" x14ac:dyDescent="0.25">
      <c r="A568" s="76"/>
      <c r="B568" s="37" t="s">
        <v>999</v>
      </c>
      <c r="C568" s="270" t="s">
        <v>996</v>
      </c>
      <c r="D568" s="271"/>
      <c r="E568" s="77" t="s">
        <v>722</v>
      </c>
      <c r="F568" s="97"/>
      <c r="G568" s="84"/>
      <c r="H568" s="78"/>
      <c r="I568" s="79">
        <f>SUM(I569:I575)</f>
        <v>611010</v>
      </c>
      <c r="J568" s="78"/>
      <c r="K568" s="79">
        <f>SUM(K569:K575)</f>
        <v>631800</v>
      </c>
      <c r="L568" s="78"/>
      <c r="M568" s="79">
        <f>SUM(M569:M575)</f>
        <v>1242810</v>
      </c>
    </row>
    <row r="569" spans="1:13" ht="30" customHeight="1" x14ac:dyDescent="0.25">
      <c r="A569" s="76"/>
      <c r="B569" s="359"/>
      <c r="C569" s="357" t="s">
        <v>782</v>
      </c>
      <c r="D569" s="358"/>
      <c r="E569" s="332" t="s">
        <v>995</v>
      </c>
      <c r="F569" s="41" t="s">
        <v>77</v>
      </c>
      <c r="G569" s="42">
        <v>50</v>
      </c>
      <c r="H569" s="1">
        <v>650</v>
      </c>
      <c r="I569" s="43">
        <f t="shared" ref="I569:I572" si="441">+H569*G569</f>
        <v>32500</v>
      </c>
      <c r="J569" s="1">
        <v>1560</v>
      </c>
      <c r="K569" s="43">
        <f t="shared" ref="K569:K572" si="442">+J569*G569</f>
        <v>78000</v>
      </c>
      <c r="L569" s="44">
        <f t="shared" ref="L569:L572" si="443">+J569+H569</f>
        <v>2210</v>
      </c>
      <c r="M569" s="43">
        <f t="shared" ref="M569:M572" si="444">+L569*G569</f>
        <v>110500</v>
      </c>
    </row>
    <row r="570" spans="1:13" ht="30" customHeight="1" x14ac:dyDescent="0.25">
      <c r="A570" s="76"/>
      <c r="B570" s="360"/>
      <c r="C570" s="357" t="s">
        <v>783</v>
      </c>
      <c r="D570" s="358"/>
      <c r="E570" s="333"/>
      <c r="F570" s="41" t="s">
        <v>77</v>
      </c>
      <c r="G570" s="42">
        <v>10</v>
      </c>
      <c r="H570" s="1">
        <v>800</v>
      </c>
      <c r="I570" s="43">
        <f t="shared" si="441"/>
        <v>8000</v>
      </c>
      <c r="J570" s="1">
        <v>1560</v>
      </c>
      <c r="K570" s="43">
        <f t="shared" si="442"/>
        <v>15600</v>
      </c>
      <c r="L570" s="44">
        <f t="shared" si="443"/>
        <v>2360</v>
      </c>
      <c r="M570" s="43">
        <f t="shared" si="444"/>
        <v>23600</v>
      </c>
    </row>
    <row r="571" spans="1:13" ht="30" customHeight="1" x14ac:dyDescent="0.25">
      <c r="A571" s="76"/>
      <c r="B571" s="360"/>
      <c r="C571" s="357" t="s">
        <v>784</v>
      </c>
      <c r="D571" s="358"/>
      <c r="E571" s="333"/>
      <c r="F571" s="41" t="s">
        <v>77</v>
      </c>
      <c r="G571" s="42">
        <v>40</v>
      </c>
      <c r="H571" s="1">
        <v>1115</v>
      </c>
      <c r="I571" s="43">
        <f t="shared" si="441"/>
        <v>44600</v>
      </c>
      <c r="J571" s="1">
        <v>1560</v>
      </c>
      <c r="K571" s="43">
        <f t="shared" si="442"/>
        <v>62400</v>
      </c>
      <c r="L571" s="44">
        <f t="shared" si="443"/>
        <v>2675</v>
      </c>
      <c r="M571" s="43">
        <f t="shared" si="444"/>
        <v>107000</v>
      </c>
    </row>
    <row r="572" spans="1:13" ht="30" customHeight="1" x14ac:dyDescent="0.25">
      <c r="A572" s="76"/>
      <c r="B572" s="360"/>
      <c r="C572" s="357" t="s">
        <v>785</v>
      </c>
      <c r="D572" s="358"/>
      <c r="E572" s="333"/>
      <c r="F572" s="41" t="s">
        <v>77</v>
      </c>
      <c r="G572" s="42">
        <v>50</v>
      </c>
      <c r="H572" s="1">
        <v>1350</v>
      </c>
      <c r="I572" s="43">
        <f t="shared" si="441"/>
        <v>67500</v>
      </c>
      <c r="J572" s="1">
        <v>1560</v>
      </c>
      <c r="K572" s="43">
        <f t="shared" si="442"/>
        <v>78000</v>
      </c>
      <c r="L572" s="44">
        <f t="shared" si="443"/>
        <v>2910</v>
      </c>
      <c r="M572" s="43">
        <f t="shared" si="444"/>
        <v>145500</v>
      </c>
    </row>
    <row r="573" spans="1:13" ht="30" customHeight="1" x14ac:dyDescent="0.25">
      <c r="A573" s="76"/>
      <c r="B573" s="360"/>
      <c r="C573" s="276" t="s">
        <v>994</v>
      </c>
      <c r="D573" s="278"/>
      <c r="E573" s="334"/>
      <c r="F573" s="41" t="s">
        <v>731</v>
      </c>
      <c r="G573" s="4">
        <v>0.35</v>
      </c>
      <c r="H573" s="119"/>
      <c r="I573" s="120">
        <f>SUM(I569:I572)*G573</f>
        <v>53410</v>
      </c>
      <c r="J573" s="119"/>
      <c r="K573" s="120">
        <f>SUM(K569:K572)*G573</f>
        <v>81900</v>
      </c>
      <c r="L573" s="121"/>
      <c r="M573" s="120">
        <f>+I573+K573</f>
        <v>135310</v>
      </c>
    </row>
    <row r="574" spans="1:13" ht="30" customHeight="1" x14ac:dyDescent="0.25">
      <c r="A574" s="76"/>
      <c r="B574" s="360"/>
      <c r="C574" s="276" t="s">
        <v>998</v>
      </c>
      <c r="D574" s="278"/>
      <c r="E574" s="96"/>
      <c r="F574" s="41" t="s">
        <v>77</v>
      </c>
      <c r="G574" s="42">
        <v>150</v>
      </c>
      <c r="H574" s="1">
        <v>2000</v>
      </c>
      <c r="I574" s="43">
        <f t="shared" si="1"/>
        <v>300000</v>
      </c>
      <c r="J574" s="1">
        <v>1560</v>
      </c>
      <c r="K574" s="43">
        <f t="shared" si="2"/>
        <v>234000</v>
      </c>
      <c r="L574" s="44">
        <f t="shared" si="3"/>
        <v>3560</v>
      </c>
      <c r="M574" s="43">
        <f t="shared" si="4"/>
        <v>534000</v>
      </c>
    </row>
    <row r="575" spans="1:13" ht="30" customHeight="1" x14ac:dyDescent="0.25">
      <c r="A575" s="76"/>
      <c r="B575" s="361"/>
      <c r="C575" s="276" t="s">
        <v>994</v>
      </c>
      <c r="D575" s="278"/>
      <c r="E575" s="96"/>
      <c r="F575" s="41" t="s">
        <v>731</v>
      </c>
      <c r="G575" s="4">
        <v>0.35</v>
      </c>
      <c r="H575" s="119"/>
      <c r="I575" s="120">
        <f>SUM(I574)*G575</f>
        <v>105000</v>
      </c>
      <c r="J575" s="119"/>
      <c r="K575" s="120">
        <f>SUM(K574)*G575</f>
        <v>81900</v>
      </c>
      <c r="L575" s="121"/>
      <c r="M575" s="120">
        <f>+I575+K575</f>
        <v>186900</v>
      </c>
    </row>
    <row r="576" spans="1:13" ht="30" customHeight="1" x14ac:dyDescent="0.25">
      <c r="A576" s="76"/>
      <c r="B576" s="37" t="s">
        <v>1000</v>
      </c>
      <c r="C576" s="270" t="s">
        <v>1001</v>
      </c>
      <c r="D576" s="271"/>
      <c r="E576" s="77" t="s">
        <v>1002</v>
      </c>
      <c r="F576" s="97"/>
      <c r="G576" s="84"/>
      <c r="H576" s="78"/>
      <c r="I576" s="79">
        <f>SUM(I577:I580)</f>
        <v>42510</v>
      </c>
      <c r="J576" s="78"/>
      <c r="K576" s="79">
        <f>SUM(K577:K580)</f>
        <v>17280</v>
      </c>
      <c r="L576" s="78"/>
      <c r="M576" s="79">
        <f>SUM(M577:M580)</f>
        <v>59790</v>
      </c>
    </row>
    <row r="577" spans="1:13" ht="30" customHeight="1" x14ac:dyDescent="0.25">
      <c r="A577" s="76"/>
      <c r="B577" s="94"/>
      <c r="C577" s="357" t="s">
        <v>781</v>
      </c>
      <c r="D577" s="358"/>
      <c r="E577" s="96"/>
      <c r="F577" s="41" t="s">
        <v>392</v>
      </c>
      <c r="G577" s="42">
        <v>10</v>
      </c>
      <c r="H577" s="1">
        <v>510</v>
      </c>
      <c r="I577" s="43">
        <f t="shared" ref="I577:I580" si="445">+H577*G577</f>
        <v>5100</v>
      </c>
      <c r="J577" s="1">
        <v>720</v>
      </c>
      <c r="K577" s="43">
        <f t="shared" ref="K577:K580" si="446">+J577*G577</f>
        <v>7200</v>
      </c>
      <c r="L577" s="44">
        <f t="shared" ref="L577:L580" si="447">+J577+H577</f>
        <v>1230</v>
      </c>
      <c r="M577" s="43">
        <f t="shared" ref="M577:M580" si="448">+L577*G577</f>
        <v>12300</v>
      </c>
    </row>
    <row r="578" spans="1:13" ht="30" customHeight="1" x14ac:dyDescent="0.25">
      <c r="A578" s="76"/>
      <c r="B578" s="94"/>
      <c r="C578" s="357" t="s">
        <v>782</v>
      </c>
      <c r="D578" s="358"/>
      <c r="E578" s="96"/>
      <c r="F578" s="41" t="s">
        <v>392</v>
      </c>
      <c r="G578" s="42">
        <v>7</v>
      </c>
      <c r="H578" s="1">
        <v>1230</v>
      </c>
      <c r="I578" s="43">
        <f t="shared" si="445"/>
        <v>8610</v>
      </c>
      <c r="J578" s="1">
        <v>720</v>
      </c>
      <c r="K578" s="43">
        <f t="shared" si="446"/>
        <v>5040</v>
      </c>
      <c r="L578" s="44">
        <f t="shared" si="447"/>
        <v>1950</v>
      </c>
      <c r="M578" s="43">
        <f t="shared" si="448"/>
        <v>13650</v>
      </c>
    </row>
    <row r="579" spans="1:13" ht="30" customHeight="1" x14ac:dyDescent="0.25">
      <c r="A579" s="76"/>
      <c r="B579" s="94"/>
      <c r="C579" s="357" t="s">
        <v>784</v>
      </c>
      <c r="D579" s="358"/>
      <c r="E579" s="96"/>
      <c r="F579" s="41" t="s">
        <v>392</v>
      </c>
      <c r="G579" s="42">
        <v>3</v>
      </c>
      <c r="H579" s="1">
        <v>3200</v>
      </c>
      <c r="I579" s="43">
        <f t="shared" si="445"/>
        <v>9600</v>
      </c>
      <c r="J579" s="1">
        <v>720</v>
      </c>
      <c r="K579" s="43">
        <f t="shared" si="446"/>
        <v>2160</v>
      </c>
      <c r="L579" s="44">
        <f t="shared" si="447"/>
        <v>3920</v>
      </c>
      <c r="M579" s="43">
        <f t="shared" si="448"/>
        <v>11760</v>
      </c>
    </row>
    <row r="580" spans="1:13" ht="30" customHeight="1" x14ac:dyDescent="0.25">
      <c r="A580" s="76"/>
      <c r="B580" s="94"/>
      <c r="C580" s="357" t="s">
        <v>785</v>
      </c>
      <c r="D580" s="358"/>
      <c r="E580" s="96"/>
      <c r="F580" s="41" t="s">
        <v>392</v>
      </c>
      <c r="G580" s="42">
        <v>4</v>
      </c>
      <c r="H580" s="1">
        <v>4800</v>
      </c>
      <c r="I580" s="43">
        <f t="shared" si="445"/>
        <v>19200</v>
      </c>
      <c r="J580" s="1">
        <v>720</v>
      </c>
      <c r="K580" s="43">
        <f t="shared" si="446"/>
        <v>2880</v>
      </c>
      <c r="L580" s="44">
        <f t="shared" si="447"/>
        <v>5520</v>
      </c>
      <c r="M580" s="43">
        <f t="shared" si="448"/>
        <v>22080</v>
      </c>
    </row>
    <row r="581" spans="1:13" ht="30" customHeight="1" x14ac:dyDescent="0.25">
      <c r="A581" s="76"/>
      <c r="B581" s="37" t="s">
        <v>1003</v>
      </c>
      <c r="C581" s="270" t="s">
        <v>1004</v>
      </c>
      <c r="D581" s="271"/>
      <c r="E581" s="77"/>
      <c r="F581" s="97"/>
      <c r="G581" s="84"/>
      <c r="H581" s="78"/>
      <c r="I581" s="79">
        <f>SUM(I582:I583)</f>
        <v>12400</v>
      </c>
      <c r="J581" s="78"/>
      <c r="K581" s="79">
        <f>SUM(K582:K583)</f>
        <v>2900</v>
      </c>
      <c r="L581" s="78"/>
      <c r="M581" s="79">
        <f>SUM(M582:M583)</f>
        <v>15300</v>
      </c>
    </row>
    <row r="582" spans="1:13" ht="30" customHeight="1" x14ac:dyDescent="0.25">
      <c r="A582" s="76"/>
      <c r="B582" s="94"/>
      <c r="C582" s="329" t="s">
        <v>1005</v>
      </c>
      <c r="D582" s="330"/>
      <c r="E582" s="96"/>
      <c r="F582" s="41" t="s">
        <v>392</v>
      </c>
      <c r="G582" s="42">
        <v>1</v>
      </c>
      <c r="H582" s="1">
        <v>6200</v>
      </c>
      <c r="I582" s="43">
        <f t="shared" ref="I582:I583" si="449">+H582*G582</f>
        <v>6200</v>
      </c>
      <c r="J582" s="1">
        <v>1450</v>
      </c>
      <c r="K582" s="43">
        <f t="shared" ref="K582:K583" si="450">+J582*G582</f>
        <v>1450</v>
      </c>
      <c r="L582" s="44">
        <f t="shared" ref="L582:L583" si="451">+J582+H582</f>
        <v>7650</v>
      </c>
      <c r="M582" s="43">
        <f t="shared" ref="M582:M583" si="452">+L582*G582</f>
        <v>7650</v>
      </c>
    </row>
    <row r="583" spans="1:13" ht="30" customHeight="1" x14ac:dyDescent="0.25">
      <c r="A583" s="76"/>
      <c r="B583" s="94"/>
      <c r="C583" s="329" t="s">
        <v>1006</v>
      </c>
      <c r="D583" s="330"/>
      <c r="E583" s="96"/>
      <c r="F583" s="41" t="s">
        <v>392</v>
      </c>
      <c r="G583" s="42">
        <v>1</v>
      </c>
      <c r="H583" s="1">
        <v>6200</v>
      </c>
      <c r="I583" s="43">
        <f t="shared" si="449"/>
        <v>6200</v>
      </c>
      <c r="J583" s="1">
        <v>1450</v>
      </c>
      <c r="K583" s="43">
        <f t="shared" si="450"/>
        <v>1450</v>
      </c>
      <c r="L583" s="44">
        <f t="shared" si="451"/>
        <v>7650</v>
      </c>
      <c r="M583" s="43">
        <f t="shared" si="452"/>
        <v>7650</v>
      </c>
    </row>
    <row r="584" spans="1:13" ht="30" customHeight="1" x14ac:dyDescent="0.25">
      <c r="A584" s="76"/>
      <c r="B584" s="37" t="s">
        <v>1010</v>
      </c>
      <c r="C584" s="270" t="s">
        <v>1007</v>
      </c>
      <c r="D584" s="271"/>
      <c r="E584" s="77"/>
      <c r="F584" s="97"/>
      <c r="G584" s="84"/>
      <c r="H584" s="78"/>
      <c r="I584" s="79">
        <f>SUM(I585:I585)</f>
        <v>12600</v>
      </c>
      <c r="J584" s="78"/>
      <c r="K584" s="79">
        <f>SUM(K585:K585)</f>
        <v>4500</v>
      </c>
      <c r="L584" s="78"/>
      <c r="M584" s="79">
        <f>SUM(M585:M585)</f>
        <v>17100</v>
      </c>
    </row>
    <row r="585" spans="1:13" ht="30" customHeight="1" x14ac:dyDescent="0.25">
      <c r="A585" s="76"/>
      <c r="B585" s="100"/>
      <c r="C585" s="329" t="s">
        <v>1009</v>
      </c>
      <c r="D585" s="330"/>
      <c r="E585" s="95"/>
      <c r="F585" s="41" t="s">
        <v>392</v>
      </c>
      <c r="G585" s="42">
        <v>1</v>
      </c>
      <c r="H585" s="1">
        <v>12600</v>
      </c>
      <c r="I585" s="43">
        <f t="shared" ref="I585" si="453">+H585*G585</f>
        <v>12600</v>
      </c>
      <c r="J585" s="1">
        <v>4500</v>
      </c>
      <c r="K585" s="43">
        <f t="shared" ref="K585" si="454">+J585*G585</f>
        <v>4500</v>
      </c>
      <c r="L585" s="44">
        <f t="shared" ref="L585" si="455">+J585+H585</f>
        <v>17100</v>
      </c>
      <c r="M585" s="43">
        <f t="shared" ref="M585" si="456">+L585*G585</f>
        <v>17100</v>
      </c>
    </row>
    <row r="586" spans="1:13" ht="30" customHeight="1" x14ac:dyDescent="0.25">
      <c r="A586" s="76"/>
      <c r="B586" s="37" t="s">
        <v>1011</v>
      </c>
      <c r="C586" s="270" t="s">
        <v>1008</v>
      </c>
      <c r="D586" s="271"/>
      <c r="E586" s="77"/>
      <c r="F586" s="97"/>
      <c r="G586" s="84"/>
      <c r="H586" s="78"/>
      <c r="I586" s="79">
        <f>SUM(I587:I588)</f>
        <v>3720</v>
      </c>
      <c r="J586" s="78"/>
      <c r="K586" s="79">
        <f>SUM(K587:K588)</f>
        <v>1440</v>
      </c>
      <c r="L586" s="78"/>
      <c r="M586" s="79">
        <f>SUM(M587:M588)</f>
        <v>5160</v>
      </c>
    </row>
    <row r="587" spans="1:13" ht="30" customHeight="1" x14ac:dyDescent="0.25">
      <c r="A587" s="76"/>
      <c r="B587" s="94"/>
      <c r="C587" s="357" t="s">
        <v>784</v>
      </c>
      <c r="D587" s="358"/>
      <c r="E587" s="96"/>
      <c r="F587" s="41" t="s">
        <v>392</v>
      </c>
      <c r="G587" s="42">
        <v>1</v>
      </c>
      <c r="H587" s="1">
        <v>1860</v>
      </c>
      <c r="I587" s="43">
        <f t="shared" ref="I587:I588" si="457">+H587*G587</f>
        <v>1860</v>
      </c>
      <c r="J587" s="1">
        <v>720</v>
      </c>
      <c r="K587" s="43">
        <f t="shared" ref="K587:K588" si="458">+J587*G587</f>
        <v>720</v>
      </c>
      <c r="L587" s="44">
        <f t="shared" ref="L587:L588" si="459">+J587+H587</f>
        <v>2580</v>
      </c>
      <c r="M587" s="43">
        <f t="shared" ref="M587:M588" si="460">+L587*G587</f>
        <v>2580</v>
      </c>
    </row>
    <row r="588" spans="1:13" ht="30" customHeight="1" x14ac:dyDescent="0.25">
      <c r="A588" s="76"/>
      <c r="B588" s="94"/>
      <c r="C588" s="357" t="s">
        <v>785</v>
      </c>
      <c r="D588" s="358"/>
      <c r="E588" s="96"/>
      <c r="F588" s="41" t="s">
        <v>392</v>
      </c>
      <c r="G588" s="42">
        <v>1</v>
      </c>
      <c r="H588" s="1">
        <v>1860</v>
      </c>
      <c r="I588" s="43">
        <f t="shared" si="457"/>
        <v>1860</v>
      </c>
      <c r="J588" s="1">
        <v>720</v>
      </c>
      <c r="K588" s="43">
        <f t="shared" si="458"/>
        <v>720</v>
      </c>
      <c r="L588" s="44">
        <f t="shared" si="459"/>
        <v>2580</v>
      </c>
      <c r="M588" s="43">
        <f t="shared" si="460"/>
        <v>2580</v>
      </c>
    </row>
    <row r="589" spans="1:13" ht="30" customHeight="1" x14ac:dyDescent="0.25">
      <c r="A589" s="76"/>
      <c r="B589" s="37" t="s">
        <v>1012</v>
      </c>
      <c r="C589" s="270" t="s">
        <v>1013</v>
      </c>
      <c r="D589" s="271"/>
      <c r="E589" s="77"/>
      <c r="F589" s="97"/>
      <c r="G589" s="84"/>
      <c r="H589" s="78"/>
      <c r="I589" s="79">
        <f>SUM(I590:I591)</f>
        <v>3700</v>
      </c>
      <c r="J589" s="78"/>
      <c r="K589" s="79">
        <f>SUM(K590:K591)</f>
        <v>2100</v>
      </c>
      <c r="L589" s="78"/>
      <c r="M589" s="79">
        <f>SUM(M590:M591)</f>
        <v>5800</v>
      </c>
    </row>
    <row r="590" spans="1:13" ht="30" customHeight="1" x14ac:dyDescent="0.25">
      <c r="A590" s="76"/>
      <c r="B590" s="94"/>
      <c r="C590" s="357" t="s">
        <v>1014</v>
      </c>
      <c r="D590" s="358"/>
      <c r="E590" s="96"/>
      <c r="F590" s="41" t="s">
        <v>392</v>
      </c>
      <c r="G590" s="42">
        <v>2</v>
      </c>
      <c r="H590" s="1">
        <v>810</v>
      </c>
      <c r="I590" s="43">
        <f t="shared" ref="I590:I591" si="461">+H590*G590</f>
        <v>1620</v>
      </c>
      <c r="J590" s="1">
        <v>350</v>
      </c>
      <c r="K590" s="43">
        <f t="shared" ref="K590:K591" si="462">+J590*G590</f>
        <v>700</v>
      </c>
      <c r="L590" s="44">
        <f t="shared" ref="L590:L591" si="463">+J590+H590</f>
        <v>1160</v>
      </c>
      <c r="M590" s="43">
        <f t="shared" ref="M590:M591" si="464">+L590*G590</f>
        <v>2320</v>
      </c>
    </row>
    <row r="591" spans="1:13" ht="30" customHeight="1" x14ac:dyDescent="0.25">
      <c r="A591" s="76"/>
      <c r="B591" s="94"/>
      <c r="C591" s="357" t="s">
        <v>1014</v>
      </c>
      <c r="D591" s="358"/>
      <c r="E591" s="96"/>
      <c r="F591" s="41" t="s">
        <v>392</v>
      </c>
      <c r="G591" s="42">
        <v>4</v>
      </c>
      <c r="H591" s="1">
        <v>520</v>
      </c>
      <c r="I591" s="43">
        <f t="shared" si="461"/>
        <v>2080</v>
      </c>
      <c r="J591" s="1">
        <v>350</v>
      </c>
      <c r="K591" s="43">
        <f t="shared" si="462"/>
        <v>1400</v>
      </c>
      <c r="L591" s="44">
        <f t="shared" si="463"/>
        <v>870</v>
      </c>
      <c r="M591" s="43">
        <f t="shared" si="464"/>
        <v>3480</v>
      </c>
    </row>
    <row r="592" spans="1:13" ht="30" customHeight="1" x14ac:dyDescent="0.25">
      <c r="A592" s="76"/>
      <c r="B592" s="37" t="s">
        <v>1015</v>
      </c>
      <c r="C592" s="270" t="s">
        <v>1016</v>
      </c>
      <c r="D592" s="271"/>
      <c r="E592" s="77"/>
      <c r="F592" s="97"/>
      <c r="G592" s="84"/>
      <c r="H592" s="78"/>
      <c r="I592" s="79">
        <f>SUM(I593:I593)</f>
        <v>2250</v>
      </c>
      <c r="J592" s="78"/>
      <c r="K592" s="79">
        <f>SUM(K593:K593)</f>
        <v>450</v>
      </c>
      <c r="L592" s="78"/>
      <c r="M592" s="79">
        <f>SUM(M593:M593)</f>
        <v>2700</v>
      </c>
    </row>
    <row r="593" spans="1:13" ht="30" customHeight="1" x14ac:dyDescent="0.25">
      <c r="A593" s="76"/>
      <c r="B593" s="100"/>
      <c r="C593" s="329" t="s">
        <v>1017</v>
      </c>
      <c r="D593" s="330"/>
      <c r="E593" s="95"/>
      <c r="F593" s="41" t="s">
        <v>392</v>
      </c>
      <c r="G593" s="42">
        <v>1</v>
      </c>
      <c r="H593" s="1">
        <v>2250</v>
      </c>
      <c r="I593" s="43">
        <f t="shared" ref="I593" si="465">+H593*G593</f>
        <v>2250</v>
      </c>
      <c r="J593" s="1">
        <v>450</v>
      </c>
      <c r="K593" s="43">
        <f t="shared" ref="K593" si="466">+J593*G593</f>
        <v>450</v>
      </c>
      <c r="L593" s="44">
        <f t="shared" ref="L593" si="467">+J593+H593</f>
        <v>2700</v>
      </c>
      <c r="M593" s="43">
        <f t="shared" ref="M593" si="468">+L593*G593</f>
        <v>2700</v>
      </c>
    </row>
    <row r="594" spans="1:13" ht="30" customHeight="1" x14ac:dyDescent="0.25">
      <c r="A594" s="76"/>
      <c r="B594" s="37" t="s">
        <v>1018</v>
      </c>
      <c r="C594" s="270" t="s">
        <v>1019</v>
      </c>
      <c r="D594" s="271"/>
      <c r="E594" s="77"/>
      <c r="F594" s="97"/>
      <c r="G594" s="84"/>
      <c r="H594" s="78"/>
      <c r="I594" s="79">
        <f>SUM(I595:I595)</f>
        <v>6650</v>
      </c>
      <c r="J594" s="78"/>
      <c r="K594" s="79">
        <f>SUM(K595:K595)</f>
        <v>2520</v>
      </c>
      <c r="L594" s="78"/>
      <c r="M594" s="79">
        <f>SUM(M595:M595)</f>
        <v>9170</v>
      </c>
    </row>
    <row r="595" spans="1:13" ht="30" customHeight="1" x14ac:dyDescent="0.25">
      <c r="A595" s="76"/>
      <c r="B595" s="100"/>
      <c r="C595" s="329" t="s">
        <v>782</v>
      </c>
      <c r="D595" s="330"/>
      <c r="E595" s="95"/>
      <c r="F595" s="41" t="s">
        <v>392</v>
      </c>
      <c r="G595" s="42">
        <v>7</v>
      </c>
      <c r="H595" s="1">
        <v>950</v>
      </c>
      <c r="I595" s="43">
        <f t="shared" ref="I595" si="469">+H595*G595</f>
        <v>6650</v>
      </c>
      <c r="J595" s="1">
        <v>360</v>
      </c>
      <c r="K595" s="43">
        <f t="shared" ref="K595" si="470">+J595*G595</f>
        <v>2520</v>
      </c>
      <c r="L595" s="44">
        <f t="shared" ref="L595" si="471">+J595+H595</f>
        <v>1310</v>
      </c>
      <c r="M595" s="43">
        <f t="shared" ref="M595" si="472">+L595*G595</f>
        <v>9170</v>
      </c>
    </row>
    <row r="596" spans="1:13" ht="30" customHeight="1" x14ac:dyDescent="0.25">
      <c r="A596" s="76"/>
      <c r="B596" s="37" t="s">
        <v>1020</v>
      </c>
      <c r="C596" s="270" t="s">
        <v>1021</v>
      </c>
      <c r="D596" s="271"/>
      <c r="E596" s="77"/>
      <c r="F596" s="97"/>
      <c r="G596" s="84"/>
      <c r="H596" s="78"/>
      <c r="I596" s="79">
        <f>SUM(I597:I597)</f>
        <v>65500</v>
      </c>
      <c r="J596" s="78"/>
      <c r="K596" s="79">
        <f>SUM(K597:K597)</f>
        <v>4800</v>
      </c>
      <c r="L596" s="78"/>
      <c r="M596" s="79">
        <f>SUM(M597:M597)</f>
        <v>70300</v>
      </c>
    </row>
    <row r="597" spans="1:13" ht="30" customHeight="1" x14ac:dyDescent="0.25">
      <c r="A597" s="76"/>
      <c r="B597" s="100"/>
      <c r="C597" s="329" t="s">
        <v>1022</v>
      </c>
      <c r="D597" s="330"/>
      <c r="E597" s="95"/>
      <c r="F597" s="41" t="s">
        <v>392</v>
      </c>
      <c r="G597" s="42">
        <v>1</v>
      </c>
      <c r="H597" s="1">
        <v>65500</v>
      </c>
      <c r="I597" s="43">
        <f t="shared" ref="I597" si="473">+H597*G597</f>
        <v>65500</v>
      </c>
      <c r="J597" s="1">
        <v>4800</v>
      </c>
      <c r="K597" s="43">
        <f t="shared" ref="K597" si="474">+J597*G597</f>
        <v>4800</v>
      </c>
      <c r="L597" s="44">
        <f t="shared" ref="L597" si="475">+J597+H597</f>
        <v>70300</v>
      </c>
      <c r="M597" s="43">
        <f t="shared" ref="M597" si="476">+L597*G597</f>
        <v>70300</v>
      </c>
    </row>
    <row r="598" spans="1:13" ht="30" customHeight="1" x14ac:dyDescent="0.25">
      <c r="A598" s="76"/>
      <c r="B598" s="37" t="s">
        <v>1023</v>
      </c>
      <c r="C598" s="270" t="s">
        <v>1024</v>
      </c>
      <c r="D598" s="271"/>
      <c r="E598" s="77"/>
      <c r="F598" s="97"/>
      <c r="G598" s="84"/>
      <c r="H598" s="78"/>
      <c r="I598" s="79">
        <f>SUM(I599:I599)</f>
        <v>14600</v>
      </c>
      <c r="J598" s="78"/>
      <c r="K598" s="79">
        <f>SUM(K599:K599)</f>
        <v>4800</v>
      </c>
      <c r="L598" s="78"/>
      <c r="M598" s="79">
        <f>SUM(M599:M599)</f>
        <v>19400</v>
      </c>
    </row>
    <row r="599" spans="1:13" ht="30" customHeight="1" x14ac:dyDescent="0.25">
      <c r="A599" s="76"/>
      <c r="B599" s="100"/>
      <c r="C599" s="329" t="s">
        <v>1025</v>
      </c>
      <c r="D599" s="330"/>
      <c r="E599" s="95"/>
      <c r="F599" s="41" t="s">
        <v>392</v>
      </c>
      <c r="G599" s="42">
        <v>1</v>
      </c>
      <c r="H599" s="1">
        <v>14600</v>
      </c>
      <c r="I599" s="43">
        <f t="shared" ref="I599" si="477">+H599*G599</f>
        <v>14600</v>
      </c>
      <c r="J599" s="1">
        <v>4800</v>
      </c>
      <c r="K599" s="43">
        <f t="shared" ref="K599" si="478">+J599*G599</f>
        <v>4800</v>
      </c>
      <c r="L599" s="44">
        <f t="shared" ref="L599" si="479">+J599+H599</f>
        <v>19400</v>
      </c>
      <c r="M599" s="43">
        <f t="shared" ref="M599" si="480">+L599*G599</f>
        <v>19400</v>
      </c>
    </row>
    <row r="600" spans="1:13" ht="30" customHeight="1" x14ac:dyDescent="0.25">
      <c r="A600" s="76"/>
      <c r="B600" s="37" t="s">
        <v>1026</v>
      </c>
      <c r="C600" s="270" t="s">
        <v>1027</v>
      </c>
      <c r="D600" s="271"/>
      <c r="E600" s="77"/>
      <c r="F600" s="97"/>
      <c r="G600" s="84"/>
      <c r="H600" s="78"/>
      <c r="I600" s="79">
        <f>SUM(I601:I604)</f>
        <v>200000</v>
      </c>
      <c r="J600" s="78"/>
      <c r="K600" s="79">
        <f>SUM(K601:K604)</f>
        <v>0</v>
      </c>
      <c r="L600" s="78"/>
      <c r="M600" s="79">
        <f>SUM(M601:M604)</f>
        <v>200000</v>
      </c>
    </row>
    <row r="601" spans="1:13" ht="54" customHeight="1" x14ac:dyDescent="0.25">
      <c r="A601" s="76"/>
      <c r="B601" s="94"/>
      <c r="C601" s="329" t="s">
        <v>1028</v>
      </c>
      <c r="D601" s="330"/>
      <c r="E601" s="96"/>
      <c r="F601" s="41" t="s">
        <v>18</v>
      </c>
      <c r="G601" s="42">
        <v>1</v>
      </c>
      <c r="H601" s="1">
        <v>85000</v>
      </c>
      <c r="I601" s="43">
        <f t="shared" ref="I601" si="481">+H601*G601</f>
        <v>85000</v>
      </c>
      <c r="J601" s="1"/>
      <c r="K601" s="43">
        <f t="shared" ref="K601" si="482">+J601*G601</f>
        <v>0</v>
      </c>
      <c r="L601" s="44">
        <f t="shared" ref="L601" si="483">+J601+H601</f>
        <v>85000</v>
      </c>
      <c r="M601" s="43">
        <f t="shared" ref="M601" si="484">+L601*G601</f>
        <v>85000</v>
      </c>
    </row>
    <row r="602" spans="1:13" ht="30" customHeight="1" x14ac:dyDescent="0.25">
      <c r="A602" s="76"/>
      <c r="B602" s="94"/>
      <c r="C602" s="329" t="s">
        <v>1029</v>
      </c>
      <c r="D602" s="330"/>
      <c r="E602" s="96"/>
      <c r="F602" s="41" t="s">
        <v>18</v>
      </c>
      <c r="G602" s="42">
        <v>1</v>
      </c>
      <c r="H602" s="1">
        <v>15000</v>
      </c>
      <c r="I602" s="43">
        <f t="shared" ref="I602:I604" si="485">+H602*G602</f>
        <v>15000</v>
      </c>
      <c r="J602" s="1"/>
      <c r="K602" s="43">
        <f t="shared" ref="K602:K604" si="486">+J602*G602</f>
        <v>0</v>
      </c>
      <c r="L602" s="44">
        <f t="shared" ref="L602:L604" si="487">+J602+H602</f>
        <v>15000</v>
      </c>
      <c r="M602" s="43">
        <f t="shared" ref="M602:M604" si="488">+L602*G602</f>
        <v>15000</v>
      </c>
    </row>
    <row r="603" spans="1:13" ht="30" customHeight="1" x14ac:dyDescent="0.25">
      <c r="A603" s="76"/>
      <c r="B603" s="94"/>
      <c r="C603" s="329" t="s">
        <v>1030</v>
      </c>
      <c r="D603" s="330"/>
      <c r="E603" s="96"/>
      <c r="F603" s="41" t="s">
        <v>18</v>
      </c>
      <c r="G603" s="42">
        <v>1</v>
      </c>
      <c r="H603" s="1">
        <v>15000</v>
      </c>
      <c r="I603" s="43">
        <f t="shared" si="485"/>
        <v>15000</v>
      </c>
      <c r="J603" s="1"/>
      <c r="K603" s="43">
        <f t="shared" si="486"/>
        <v>0</v>
      </c>
      <c r="L603" s="44">
        <f t="shared" si="487"/>
        <v>15000</v>
      </c>
      <c r="M603" s="43">
        <f t="shared" si="488"/>
        <v>15000</v>
      </c>
    </row>
    <row r="604" spans="1:13" ht="45" customHeight="1" x14ac:dyDescent="0.25">
      <c r="A604" s="76"/>
      <c r="B604" s="94"/>
      <c r="C604" s="329" t="s">
        <v>1031</v>
      </c>
      <c r="D604" s="330"/>
      <c r="E604" s="96"/>
      <c r="F604" s="41" t="s">
        <v>18</v>
      </c>
      <c r="G604" s="42">
        <v>1</v>
      </c>
      <c r="H604" s="1">
        <v>85000</v>
      </c>
      <c r="I604" s="43">
        <f t="shared" si="485"/>
        <v>85000</v>
      </c>
      <c r="J604" s="1"/>
      <c r="K604" s="43">
        <f t="shared" si="486"/>
        <v>0</v>
      </c>
      <c r="L604" s="44">
        <f t="shared" si="487"/>
        <v>85000</v>
      </c>
      <c r="M604" s="43">
        <f t="shared" si="488"/>
        <v>85000</v>
      </c>
    </row>
    <row r="605" spans="1:13" ht="30" customHeight="1" x14ac:dyDescent="0.25">
      <c r="A605" s="76"/>
      <c r="B605" s="37" t="s">
        <v>1032</v>
      </c>
      <c r="C605" s="270" t="s">
        <v>1033</v>
      </c>
      <c r="D605" s="356"/>
      <c r="E605" s="77"/>
      <c r="F605" s="97"/>
      <c r="G605" s="84"/>
      <c r="H605" s="78"/>
      <c r="I605" s="79">
        <f>SUM(I606)</f>
        <v>650000</v>
      </c>
      <c r="J605" s="78"/>
      <c r="K605" s="79">
        <f>SUM(K606)</f>
        <v>14500</v>
      </c>
      <c r="L605" s="78"/>
      <c r="M605" s="79">
        <f>SUM(M606)</f>
        <v>664500</v>
      </c>
    </row>
    <row r="606" spans="1:13" ht="30" customHeight="1" x14ac:dyDescent="0.25">
      <c r="A606" s="76"/>
      <c r="B606" s="98"/>
      <c r="C606" s="354" t="s">
        <v>1034</v>
      </c>
      <c r="D606" s="355"/>
      <c r="E606" s="332"/>
      <c r="F606" s="335" t="s">
        <v>18</v>
      </c>
      <c r="G606" s="347">
        <v>1</v>
      </c>
      <c r="H606" s="344">
        <v>650000</v>
      </c>
      <c r="I606" s="338">
        <f>+H606*G606</f>
        <v>650000</v>
      </c>
      <c r="J606" s="344">
        <v>14500</v>
      </c>
      <c r="K606" s="338">
        <f>+J606*G606</f>
        <v>14500</v>
      </c>
      <c r="L606" s="341">
        <f>+J606+H606</f>
        <v>664500</v>
      </c>
      <c r="M606" s="338">
        <f>+L606*G606</f>
        <v>664500</v>
      </c>
    </row>
    <row r="607" spans="1:13" ht="30" customHeight="1" x14ac:dyDescent="0.25">
      <c r="A607" s="76"/>
      <c r="B607" s="100"/>
      <c r="C607" s="350" t="s">
        <v>1035</v>
      </c>
      <c r="D607" s="351"/>
      <c r="E607" s="333"/>
      <c r="F607" s="336"/>
      <c r="G607" s="348"/>
      <c r="H607" s="345"/>
      <c r="I607" s="339"/>
      <c r="J607" s="345"/>
      <c r="K607" s="339"/>
      <c r="L607" s="342"/>
      <c r="M607" s="339"/>
    </row>
    <row r="608" spans="1:13" ht="30" customHeight="1" x14ac:dyDescent="0.25">
      <c r="A608" s="76"/>
      <c r="B608" s="100"/>
      <c r="C608" s="350" t="s">
        <v>1036</v>
      </c>
      <c r="D608" s="351"/>
      <c r="E608" s="333"/>
      <c r="F608" s="336"/>
      <c r="G608" s="348"/>
      <c r="H608" s="345"/>
      <c r="I608" s="339"/>
      <c r="J608" s="345"/>
      <c r="K608" s="339"/>
      <c r="L608" s="342"/>
      <c r="M608" s="339"/>
    </row>
    <row r="609" spans="1:13" ht="30" customHeight="1" thickBot="1" x14ac:dyDescent="0.3">
      <c r="A609" s="76"/>
      <c r="B609" s="100"/>
      <c r="C609" s="352" t="s">
        <v>1037</v>
      </c>
      <c r="D609" s="353"/>
      <c r="E609" s="333"/>
      <c r="F609" s="337"/>
      <c r="G609" s="349"/>
      <c r="H609" s="346"/>
      <c r="I609" s="340"/>
      <c r="J609" s="346"/>
      <c r="K609" s="340"/>
      <c r="L609" s="343"/>
      <c r="M609" s="340"/>
    </row>
    <row r="610" spans="1:13" ht="37.5" customHeight="1" thickTop="1" thickBot="1" x14ac:dyDescent="0.3">
      <c r="A610" s="53"/>
      <c r="B610" s="54" t="s">
        <v>11</v>
      </c>
      <c r="C610" s="272" t="s">
        <v>1038</v>
      </c>
      <c r="D610" s="273"/>
      <c r="E610" s="273"/>
      <c r="F610" s="31"/>
      <c r="G610" s="32"/>
      <c r="H610" s="33"/>
      <c r="I610" s="34">
        <f>+I611+I613+I615+I617+I619+I621+I623+I627+I629+I631+I633</f>
        <v>14976000</v>
      </c>
      <c r="J610" s="33"/>
      <c r="K610" s="34">
        <f>+K611+K613+K615+K617+K619+K621+K623+K627+K629+K631+K633</f>
        <v>1785000</v>
      </c>
      <c r="L610" s="35"/>
      <c r="M610" s="34">
        <f>+M611+M613+M615+M617+M619+M621+M623+M627+M629+M631+M633</f>
        <v>16761000</v>
      </c>
    </row>
    <row r="611" spans="1:13" ht="64.5" customHeight="1" thickTop="1" x14ac:dyDescent="0.25">
      <c r="A611" s="76"/>
      <c r="B611" s="37" t="s">
        <v>1039</v>
      </c>
      <c r="C611" s="270" t="s">
        <v>1041</v>
      </c>
      <c r="D611" s="271"/>
      <c r="E611" s="77"/>
      <c r="F611" s="97"/>
      <c r="G611" s="84"/>
      <c r="H611" s="78"/>
      <c r="I611" s="79">
        <f>SUM(I612)</f>
        <v>0</v>
      </c>
      <c r="J611" s="78"/>
      <c r="K611" s="79">
        <f>SUM(K612)</f>
        <v>150000</v>
      </c>
      <c r="L611" s="78"/>
      <c r="M611" s="79">
        <f>SUM(M612)</f>
        <v>150000</v>
      </c>
    </row>
    <row r="612" spans="1:13" ht="128.25" customHeight="1" x14ac:dyDescent="0.25">
      <c r="A612" s="76"/>
      <c r="B612" s="127"/>
      <c r="C612" s="329" t="s">
        <v>1040</v>
      </c>
      <c r="D612" s="330"/>
      <c r="E612" s="99"/>
      <c r="F612" s="41" t="s">
        <v>997</v>
      </c>
      <c r="G612" s="42">
        <v>1</v>
      </c>
      <c r="H612" s="1">
        <v>0</v>
      </c>
      <c r="I612" s="43">
        <f t="shared" ref="I612" si="489">+H612*G612</f>
        <v>0</v>
      </c>
      <c r="J612" s="1">
        <v>150000</v>
      </c>
      <c r="K612" s="43">
        <f t="shared" ref="K612" si="490">+J612*G612</f>
        <v>150000</v>
      </c>
      <c r="L612" s="44">
        <f t="shared" ref="L612" si="491">+J612+H612</f>
        <v>150000</v>
      </c>
      <c r="M612" s="43">
        <f t="shared" ref="M612" si="492">+L612*G612</f>
        <v>150000</v>
      </c>
    </row>
    <row r="613" spans="1:13" ht="64.5" customHeight="1" x14ac:dyDescent="0.25">
      <c r="A613" s="76"/>
      <c r="B613" s="37" t="s">
        <v>1044</v>
      </c>
      <c r="C613" s="270" t="s">
        <v>1042</v>
      </c>
      <c r="D613" s="271"/>
      <c r="E613" s="77"/>
      <c r="F613" s="97"/>
      <c r="G613" s="84"/>
      <c r="H613" s="78"/>
      <c r="I613" s="79">
        <f>SUM(I614)</f>
        <v>0</v>
      </c>
      <c r="J613" s="78"/>
      <c r="K613" s="79">
        <f>SUM(K614)</f>
        <v>375000</v>
      </c>
      <c r="L613" s="78"/>
      <c r="M613" s="79">
        <f>SUM(M614)</f>
        <v>375000</v>
      </c>
    </row>
    <row r="614" spans="1:13" ht="369.75" customHeight="1" x14ac:dyDescent="0.25">
      <c r="A614" s="76"/>
      <c r="B614" s="127"/>
      <c r="C614" s="329" t="s">
        <v>1043</v>
      </c>
      <c r="D614" s="330"/>
      <c r="E614" s="99"/>
      <c r="F614" s="41" t="s">
        <v>997</v>
      </c>
      <c r="G614" s="42">
        <v>1</v>
      </c>
      <c r="H614" s="1">
        <v>0</v>
      </c>
      <c r="I614" s="43">
        <f t="shared" ref="I614" si="493">+H614*G614</f>
        <v>0</v>
      </c>
      <c r="J614" s="1">
        <v>375000</v>
      </c>
      <c r="K614" s="43">
        <f t="shared" ref="K614" si="494">+J614*G614</f>
        <v>375000</v>
      </c>
      <c r="L614" s="44">
        <f t="shared" ref="L614" si="495">+J614+H614</f>
        <v>375000</v>
      </c>
      <c r="M614" s="43">
        <f t="shared" ref="M614" si="496">+L614*G614</f>
        <v>375000</v>
      </c>
    </row>
    <row r="615" spans="1:13" ht="30" customHeight="1" x14ac:dyDescent="0.25">
      <c r="A615" s="76"/>
      <c r="B615" s="37" t="s">
        <v>1045</v>
      </c>
      <c r="C615" s="270" t="s">
        <v>1046</v>
      </c>
      <c r="D615" s="271"/>
      <c r="E615" s="77"/>
      <c r="F615" s="97"/>
      <c r="G615" s="84"/>
      <c r="H615" s="78"/>
      <c r="I615" s="79">
        <f>SUM(I616:I616)</f>
        <v>2600000</v>
      </c>
      <c r="J615" s="78"/>
      <c r="K615" s="79">
        <f>SUM(K616:K616)</f>
        <v>1100000</v>
      </c>
      <c r="L615" s="78"/>
      <c r="M615" s="79">
        <f>SUM(M616:M616)</f>
        <v>3700000</v>
      </c>
    </row>
    <row r="616" spans="1:13" ht="30" customHeight="1" x14ac:dyDescent="0.25">
      <c r="A616" s="76"/>
      <c r="B616" s="100"/>
      <c r="C616" s="329" t="s">
        <v>1046</v>
      </c>
      <c r="D616" s="330"/>
      <c r="E616" s="95"/>
      <c r="F616" s="41" t="s">
        <v>1047</v>
      </c>
      <c r="G616" s="42">
        <v>5000</v>
      </c>
      <c r="H616" s="1">
        <v>520</v>
      </c>
      <c r="I616" s="43">
        <f t="shared" ref="I616" si="497">+H616*G616</f>
        <v>2600000</v>
      </c>
      <c r="J616" s="1">
        <v>220</v>
      </c>
      <c r="K616" s="43">
        <f t="shared" ref="K616" si="498">+J616*G616</f>
        <v>1100000</v>
      </c>
      <c r="L616" s="44">
        <f t="shared" ref="L616" si="499">+J616+H616</f>
        <v>740</v>
      </c>
      <c r="M616" s="43">
        <f t="shared" ref="M616" si="500">+L616*G616</f>
        <v>3700000</v>
      </c>
    </row>
    <row r="617" spans="1:13" ht="30" customHeight="1" x14ac:dyDescent="0.25">
      <c r="A617" s="76"/>
      <c r="B617" s="37" t="s">
        <v>1048</v>
      </c>
      <c r="C617" s="270" t="s">
        <v>1049</v>
      </c>
      <c r="D617" s="271"/>
      <c r="E617" s="77"/>
      <c r="F617" s="97"/>
      <c r="G617" s="84"/>
      <c r="H617" s="78"/>
      <c r="I617" s="79">
        <f>SUM(I618:I618)</f>
        <v>25000</v>
      </c>
      <c r="J617" s="78"/>
      <c r="K617" s="79">
        <f>SUM(K618:K618)</f>
        <v>0</v>
      </c>
      <c r="L617" s="78"/>
      <c r="M617" s="79">
        <f>SUM(M618:M618)</f>
        <v>25000</v>
      </c>
    </row>
    <row r="618" spans="1:13" ht="30" customHeight="1" x14ac:dyDescent="0.25">
      <c r="A618" s="76"/>
      <c r="B618" s="100"/>
      <c r="C618" s="329" t="s">
        <v>1050</v>
      </c>
      <c r="D618" s="330"/>
      <c r="E618" s="95"/>
      <c r="F618" s="41" t="s">
        <v>997</v>
      </c>
      <c r="G618" s="42">
        <v>1</v>
      </c>
      <c r="H618" s="1">
        <v>25000</v>
      </c>
      <c r="I618" s="43">
        <f t="shared" ref="I618" si="501">+H618*G618</f>
        <v>25000</v>
      </c>
      <c r="J618" s="1"/>
      <c r="K618" s="43">
        <f t="shared" ref="K618" si="502">+J618*G618</f>
        <v>0</v>
      </c>
      <c r="L618" s="44">
        <f t="shared" ref="L618" si="503">+J618+H618</f>
        <v>25000</v>
      </c>
      <c r="M618" s="43">
        <f t="shared" ref="M618" si="504">+L618*G618</f>
        <v>25000</v>
      </c>
    </row>
    <row r="619" spans="1:13" ht="30" customHeight="1" x14ac:dyDescent="0.25">
      <c r="A619" s="76"/>
      <c r="B619" s="37" t="s">
        <v>1052</v>
      </c>
      <c r="C619" s="270" t="s">
        <v>1051</v>
      </c>
      <c r="D619" s="271"/>
      <c r="E619" s="77"/>
      <c r="F619" s="97"/>
      <c r="G619" s="84"/>
      <c r="H619" s="78"/>
      <c r="I619" s="79">
        <f t="shared" ref="I619" si="505">SUM(I620:I620)</f>
        <v>25000</v>
      </c>
      <c r="J619" s="78"/>
      <c r="K619" s="79">
        <f t="shared" ref="K619" si="506">SUM(K620:K620)</f>
        <v>0</v>
      </c>
      <c r="L619" s="78"/>
      <c r="M619" s="79">
        <f t="shared" ref="M619" si="507">SUM(M620:M620)</f>
        <v>25000</v>
      </c>
    </row>
    <row r="620" spans="1:13" ht="30" customHeight="1" x14ac:dyDescent="0.25">
      <c r="A620" s="76"/>
      <c r="B620" s="100"/>
      <c r="C620" s="329" t="s">
        <v>1055</v>
      </c>
      <c r="D620" s="330"/>
      <c r="E620" s="95"/>
      <c r="F620" s="41" t="s">
        <v>997</v>
      </c>
      <c r="G620" s="42">
        <v>1</v>
      </c>
      <c r="H620" s="1">
        <v>25000</v>
      </c>
      <c r="I620" s="43">
        <f t="shared" ref="I620" si="508">+H620*G620</f>
        <v>25000</v>
      </c>
      <c r="J620" s="1"/>
      <c r="K620" s="43">
        <f t="shared" ref="K620" si="509">+J620*G620</f>
        <v>0</v>
      </c>
      <c r="L620" s="44">
        <f t="shared" ref="L620" si="510">+J620+H620</f>
        <v>25000</v>
      </c>
      <c r="M620" s="43">
        <f t="shared" ref="M620" si="511">+L620*G620</f>
        <v>25000</v>
      </c>
    </row>
    <row r="621" spans="1:13" ht="30" customHeight="1" x14ac:dyDescent="0.25">
      <c r="A621" s="76"/>
      <c r="B621" s="37" t="s">
        <v>1054</v>
      </c>
      <c r="C621" s="270" t="s">
        <v>1053</v>
      </c>
      <c r="D621" s="271"/>
      <c r="E621" s="77"/>
      <c r="F621" s="97"/>
      <c r="G621" s="84"/>
      <c r="H621" s="78"/>
      <c r="I621" s="79">
        <f t="shared" ref="I621" si="512">SUM(I622:I622)</f>
        <v>1500000</v>
      </c>
      <c r="J621" s="78"/>
      <c r="K621" s="79">
        <f t="shared" ref="K621" si="513">SUM(K622:K622)</f>
        <v>0</v>
      </c>
      <c r="L621" s="78"/>
      <c r="M621" s="79">
        <f t="shared" ref="M621" si="514">SUM(M622:M622)</f>
        <v>1500000</v>
      </c>
    </row>
    <row r="622" spans="1:13" ht="30" customHeight="1" x14ac:dyDescent="0.25">
      <c r="A622" s="76"/>
      <c r="B622" s="100"/>
      <c r="C622" s="329" t="s">
        <v>1053</v>
      </c>
      <c r="D622" s="330"/>
      <c r="E622" s="95"/>
      <c r="F622" s="41" t="s">
        <v>997</v>
      </c>
      <c r="G622" s="42">
        <v>1</v>
      </c>
      <c r="H622" s="1">
        <v>1500000</v>
      </c>
      <c r="I622" s="43">
        <f t="shared" ref="I622" si="515">+H622*G622</f>
        <v>1500000</v>
      </c>
      <c r="J622" s="1"/>
      <c r="K622" s="43">
        <f t="shared" ref="K622" si="516">+J622*G622</f>
        <v>0</v>
      </c>
      <c r="L622" s="44">
        <f t="shared" ref="L622" si="517">+J622+H622</f>
        <v>1500000</v>
      </c>
      <c r="M622" s="43">
        <f t="shared" ref="M622" si="518">+L622*G622</f>
        <v>1500000</v>
      </c>
    </row>
    <row r="623" spans="1:13" ht="30" customHeight="1" x14ac:dyDescent="0.25">
      <c r="A623" s="76"/>
      <c r="B623" s="37" t="s">
        <v>1056</v>
      </c>
      <c r="C623" s="270" t="s">
        <v>1057</v>
      </c>
      <c r="D623" s="271"/>
      <c r="E623" s="77"/>
      <c r="F623" s="97"/>
      <c r="G623" s="84"/>
      <c r="H623" s="78"/>
      <c r="I623" s="79">
        <f>SUM(I624:I626)</f>
        <v>6000</v>
      </c>
      <c r="J623" s="78"/>
      <c r="K623" s="79">
        <f>SUM(K624:K626)</f>
        <v>0</v>
      </c>
      <c r="L623" s="78"/>
      <c r="M623" s="79">
        <f>SUM(M624:M626)</f>
        <v>6000</v>
      </c>
    </row>
    <row r="624" spans="1:13" ht="30" customHeight="1" x14ac:dyDescent="0.25">
      <c r="A624" s="76"/>
      <c r="B624" s="100"/>
      <c r="C624" s="329" t="s">
        <v>757</v>
      </c>
      <c r="D624" s="330"/>
      <c r="E624" s="332"/>
      <c r="F624" s="41" t="s">
        <v>392</v>
      </c>
      <c r="G624" s="42">
        <v>1</v>
      </c>
      <c r="H624" s="1">
        <v>1500</v>
      </c>
      <c r="I624" s="43">
        <f t="shared" ref="I624" si="519">+H624*G624</f>
        <v>1500</v>
      </c>
      <c r="J624" s="1"/>
      <c r="K624" s="43">
        <f t="shared" ref="K624" si="520">+J624*G624</f>
        <v>0</v>
      </c>
      <c r="L624" s="44">
        <f t="shared" ref="L624" si="521">+J624+H624</f>
        <v>1500</v>
      </c>
      <c r="M624" s="43">
        <f t="shared" ref="M624" si="522">+L624*G624</f>
        <v>1500</v>
      </c>
    </row>
    <row r="625" spans="1:13" ht="30" customHeight="1" x14ac:dyDescent="0.25">
      <c r="A625" s="76"/>
      <c r="B625" s="100"/>
      <c r="C625" s="329" t="s">
        <v>758</v>
      </c>
      <c r="D625" s="330"/>
      <c r="E625" s="333"/>
      <c r="F625" s="41" t="s">
        <v>392</v>
      </c>
      <c r="G625" s="42">
        <v>1</v>
      </c>
      <c r="H625" s="1">
        <v>2000</v>
      </c>
      <c r="I625" s="43">
        <f t="shared" ref="I625:I626" si="523">+H625*G625</f>
        <v>2000</v>
      </c>
      <c r="J625" s="1"/>
      <c r="K625" s="43">
        <f t="shared" ref="K625:K626" si="524">+J625*G625</f>
        <v>0</v>
      </c>
      <c r="L625" s="44">
        <f t="shared" ref="L625:L626" si="525">+J625+H625</f>
        <v>2000</v>
      </c>
      <c r="M625" s="43">
        <f t="shared" ref="M625:M626" si="526">+L625*G625</f>
        <v>2000</v>
      </c>
    </row>
    <row r="626" spans="1:13" ht="30" customHeight="1" x14ac:dyDescent="0.25">
      <c r="A626" s="76"/>
      <c r="B626" s="100"/>
      <c r="C626" s="329" t="s">
        <v>759</v>
      </c>
      <c r="D626" s="330"/>
      <c r="E626" s="334"/>
      <c r="F626" s="41" t="s">
        <v>392</v>
      </c>
      <c r="G626" s="42">
        <v>1</v>
      </c>
      <c r="H626" s="1">
        <v>2500</v>
      </c>
      <c r="I626" s="43">
        <f t="shared" si="523"/>
        <v>2500</v>
      </c>
      <c r="J626" s="1"/>
      <c r="K626" s="43">
        <f t="shared" si="524"/>
        <v>0</v>
      </c>
      <c r="L626" s="44">
        <f t="shared" si="525"/>
        <v>2500</v>
      </c>
      <c r="M626" s="43">
        <f t="shared" si="526"/>
        <v>2500</v>
      </c>
    </row>
    <row r="627" spans="1:13" ht="30" customHeight="1" x14ac:dyDescent="0.25">
      <c r="A627" s="76"/>
      <c r="B627" s="37" t="s">
        <v>1058</v>
      </c>
      <c r="C627" s="270" t="s">
        <v>1062</v>
      </c>
      <c r="D627" s="271"/>
      <c r="E627" s="77"/>
      <c r="F627" s="97"/>
      <c r="G627" s="84"/>
      <c r="H627" s="78"/>
      <c r="I627" s="79">
        <f t="shared" ref="I627" si="527">SUM(I628:I628)</f>
        <v>10000000</v>
      </c>
      <c r="J627" s="78"/>
      <c r="K627" s="79">
        <f t="shared" ref="K627" si="528">SUM(K628:K628)</f>
        <v>0</v>
      </c>
      <c r="L627" s="78"/>
      <c r="M627" s="79">
        <f t="shared" ref="M627" si="529">SUM(M628:M628)</f>
        <v>10000000</v>
      </c>
    </row>
    <row r="628" spans="1:13" ht="107.25" customHeight="1" x14ac:dyDescent="0.25">
      <c r="A628" s="76"/>
      <c r="B628" s="100"/>
      <c r="C628" s="329" t="s">
        <v>1059</v>
      </c>
      <c r="D628" s="330"/>
      <c r="E628" s="95" t="s">
        <v>1060</v>
      </c>
      <c r="F628" s="41" t="s">
        <v>997</v>
      </c>
      <c r="G628" s="42">
        <v>1</v>
      </c>
      <c r="H628" s="1">
        <v>10000000</v>
      </c>
      <c r="I628" s="43">
        <f t="shared" ref="I628" si="530">+H628*G628</f>
        <v>10000000</v>
      </c>
      <c r="J628" s="1"/>
      <c r="K628" s="43">
        <f t="shared" ref="K628" si="531">+J628*G628</f>
        <v>0</v>
      </c>
      <c r="L628" s="44">
        <f t="shared" ref="L628" si="532">+J628+H628</f>
        <v>10000000</v>
      </c>
      <c r="M628" s="43">
        <f t="shared" ref="M628" si="533">+L628*G628</f>
        <v>10000000</v>
      </c>
    </row>
    <row r="629" spans="1:13" ht="30" customHeight="1" x14ac:dyDescent="0.25">
      <c r="A629" s="76"/>
      <c r="B629" s="37" t="s">
        <v>1061</v>
      </c>
      <c r="C629" s="270" t="s">
        <v>1063</v>
      </c>
      <c r="D629" s="271"/>
      <c r="E629" s="77"/>
      <c r="F629" s="97"/>
      <c r="G629" s="84"/>
      <c r="H629" s="78"/>
      <c r="I629" s="79">
        <f t="shared" ref="I629" si="534">SUM(I630:I630)</f>
        <v>345000</v>
      </c>
      <c r="J629" s="78"/>
      <c r="K629" s="79">
        <f t="shared" ref="K629" si="535">SUM(K630:K630)</f>
        <v>85000</v>
      </c>
      <c r="L629" s="78"/>
      <c r="M629" s="79">
        <f t="shared" ref="M629" si="536">SUM(M630:M630)</f>
        <v>430000</v>
      </c>
    </row>
    <row r="630" spans="1:13" ht="78" customHeight="1" x14ac:dyDescent="0.25">
      <c r="A630" s="76"/>
      <c r="B630" s="100"/>
      <c r="C630" s="329" t="s">
        <v>1065</v>
      </c>
      <c r="D630" s="330"/>
      <c r="E630" s="95" t="s">
        <v>1064</v>
      </c>
      <c r="F630" s="41" t="s">
        <v>997</v>
      </c>
      <c r="G630" s="42">
        <v>1</v>
      </c>
      <c r="H630" s="1">
        <v>345000</v>
      </c>
      <c r="I630" s="43">
        <f t="shared" ref="I630" si="537">+H630*G630</f>
        <v>345000</v>
      </c>
      <c r="J630" s="1">
        <v>85000</v>
      </c>
      <c r="K630" s="43">
        <f t="shared" ref="K630" si="538">+J630*G630</f>
        <v>85000</v>
      </c>
      <c r="L630" s="44">
        <f t="shared" ref="L630" si="539">+J630+H630</f>
        <v>430000</v>
      </c>
      <c r="M630" s="43">
        <f t="shared" ref="M630" si="540">+L630*G630</f>
        <v>430000</v>
      </c>
    </row>
    <row r="631" spans="1:13" ht="30" customHeight="1" x14ac:dyDescent="0.25">
      <c r="A631" s="76"/>
      <c r="B631" s="37" t="s">
        <v>1066</v>
      </c>
      <c r="C631" s="270" t="s">
        <v>1067</v>
      </c>
      <c r="D631" s="271"/>
      <c r="E631" s="77"/>
      <c r="F631" s="97"/>
      <c r="G631" s="84"/>
      <c r="H631" s="78"/>
      <c r="I631" s="79">
        <f t="shared" ref="I631" si="541">SUM(I632:I632)</f>
        <v>400000</v>
      </c>
      <c r="J631" s="78"/>
      <c r="K631" s="79">
        <f t="shared" ref="K631" si="542">SUM(K632:K632)</f>
        <v>50000</v>
      </c>
      <c r="L631" s="78"/>
      <c r="M631" s="79">
        <f t="shared" ref="M631" si="543">SUM(M632:M632)</f>
        <v>450000</v>
      </c>
    </row>
    <row r="632" spans="1:13" ht="30" customHeight="1" x14ac:dyDescent="0.25">
      <c r="A632" s="76"/>
      <c r="B632" s="100"/>
      <c r="C632" s="329" t="s">
        <v>1068</v>
      </c>
      <c r="D632" s="330"/>
      <c r="E632" s="95"/>
      <c r="F632" s="41" t="s">
        <v>997</v>
      </c>
      <c r="G632" s="42">
        <v>1</v>
      </c>
      <c r="H632" s="1">
        <v>400000</v>
      </c>
      <c r="I632" s="43">
        <f t="shared" ref="I632" si="544">+H632*G632</f>
        <v>400000</v>
      </c>
      <c r="J632" s="1">
        <v>50000</v>
      </c>
      <c r="K632" s="43">
        <f t="shared" ref="K632" si="545">+J632*G632</f>
        <v>50000</v>
      </c>
      <c r="L632" s="44">
        <f t="shared" ref="L632" si="546">+J632+H632</f>
        <v>450000</v>
      </c>
      <c r="M632" s="43">
        <f t="shared" ref="M632" si="547">+L632*G632</f>
        <v>450000</v>
      </c>
    </row>
    <row r="633" spans="1:13" ht="30" customHeight="1" x14ac:dyDescent="0.25">
      <c r="A633" s="76"/>
      <c r="B633" s="37" t="s">
        <v>1069</v>
      </c>
      <c r="C633" s="270" t="s">
        <v>1070</v>
      </c>
      <c r="D633" s="271"/>
      <c r="E633" s="77"/>
      <c r="F633" s="97"/>
      <c r="G633" s="84"/>
      <c r="H633" s="78"/>
      <c r="I633" s="79">
        <f t="shared" ref="I633" si="548">SUM(I634:I634)</f>
        <v>75000</v>
      </c>
      <c r="J633" s="78"/>
      <c r="K633" s="79">
        <f t="shared" ref="K633" si="549">SUM(K634:K634)</f>
        <v>25000</v>
      </c>
      <c r="L633" s="78"/>
      <c r="M633" s="79">
        <f t="shared" ref="M633" si="550">SUM(M634:M634)</f>
        <v>100000</v>
      </c>
    </row>
    <row r="634" spans="1:13" ht="46.5" customHeight="1" x14ac:dyDescent="0.25">
      <c r="A634" s="76"/>
      <c r="B634" s="100"/>
      <c r="C634" s="329" t="s">
        <v>1071</v>
      </c>
      <c r="D634" s="330"/>
      <c r="E634" s="95"/>
      <c r="F634" s="41" t="s">
        <v>997</v>
      </c>
      <c r="G634" s="42">
        <v>1</v>
      </c>
      <c r="H634" s="1">
        <v>75000</v>
      </c>
      <c r="I634" s="43">
        <f t="shared" ref="I634" si="551">+H634*G634</f>
        <v>75000</v>
      </c>
      <c r="J634" s="1">
        <v>25000</v>
      </c>
      <c r="K634" s="43">
        <f t="shared" ref="K634" si="552">+J634*G634</f>
        <v>25000</v>
      </c>
      <c r="L634" s="44">
        <f t="shared" ref="L634" si="553">+J634+H634</f>
        <v>100000</v>
      </c>
      <c r="M634" s="43">
        <f t="shared" ref="M634" si="554">+L634*G634</f>
        <v>100000</v>
      </c>
    </row>
    <row r="635" spans="1:13" ht="14.25" x14ac:dyDescent="0.25">
      <c r="A635" s="128"/>
      <c r="B635" s="128"/>
      <c r="C635" s="46"/>
      <c r="D635" s="46"/>
      <c r="E635" s="47"/>
      <c r="F635" s="48"/>
      <c r="G635" s="49"/>
      <c r="H635" s="50"/>
      <c r="I635" s="50"/>
      <c r="J635" s="50"/>
      <c r="K635" s="50"/>
      <c r="L635" s="50"/>
      <c r="M635" s="51"/>
    </row>
    <row r="636" spans="1:13" s="23" customFormat="1" ht="30" customHeight="1" x14ac:dyDescent="0.2">
      <c r="A636" s="392" t="s">
        <v>2362</v>
      </c>
      <c r="B636" s="331" t="s">
        <v>2366</v>
      </c>
      <c r="C636" s="331"/>
      <c r="D636" s="331"/>
      <c r="F636" s="264" t="str">
        <f>+B3</f>
        <v>H</v>
      </c>
      <c r="G636" s="264" t="str">
        <f>+C3</f>
        <v>HVAC TESİSATI</v>
      </c>
      <c r="H636" s="264"/>
      <c r="I636" s="264"/>
      <c r="J636" s="266" t="s">
        <v>1</v>
      </c>
      <c r="K636" s="266"/>
      <c r="L636" s="267">
        <f>+I3</f>
        <v>9276879.0899999999</v>
      </c>
      <c r="M636" s="267"/>
    </row>
    <row r="637" spans="1:13" s="23" customFormat="1" ht="30" customHeight="1" x14ac:dyDescent="0.2">
      <c r="A637" s="392"/>
      <c r="B637" s="331"/>
      <c r="C637" s="331"/>
      <c r="D637" s="331"/>
      <c r="F637" s="264"/>
      <c r="G637" s="264"/>
      <c r="H637" s="264"/>
      <c r="I637" s="264"/>
      <c r="J637" s="266" t="s">
        <v>2</v>
      </c>
      <c r="K637" s="266"/>
      <c r="L637" s="267">
        <f>+K3</f>
        <v>2802807.2000000007</v>
      </c>
      <c r="M637" s="267"/>
    </row>
    <row r="638" spans="1:13" s="23" customFormat="1" ht="38.25" customHeight="1" thickBot="1" x14ac:dyDescent="0.25">
      <c r="A638" s="392"/>
      <c r="B638" s="331"/>
      <c r="C638" s="331"/>
      <c r="D638" s="331"/>
      <c r="F638" s="265"/>
      <c r="G638" s="265"/>
      <c r="H638" s="265"/>
      <c r="I638" s="265"/>
      <c r="J638" s="268" t="s">
        <v>13</v>
      </c>
      <c r="K638" s="268"/>
      <c r="L638" s="269">
        <f>+L636+L637</f>
        <v>12079686.290000001</v>
      </c>
      <c r="M638" s="269"/>
    </row>
    <row r="639" spans="1:13" s="23" customFormat="1" ht="30" customHeight="1" thickTop="1" x14ac:dyDescent="0.2">
      <c r="A639" s="392" t="s">
        <v>2363</v>
      </c>
      <c r="B639" s="331" t="s">
        <v>2367</v>
      </c>
      <c r="C639" s="331"/>
      <c r="D639" s="331"/>
      <c r="F639" s="264" t="str">
        <f>+B258</f>
        <v>S</v>
      </c>
      <c r="G639" s="264" t="str">
        <f>+C258</f>
        <v>SIHHİ TESİSAT</v>
      </c>
      <c r="H639" s="264"/>
      <c r="I639" s="264"/>
      <c r="J639" s="266" t="s">
        <v>1</v>
      </c>
      <c r="K639" s="266"/>
      <c r="L639" s="267">
        <f>+I258</f>
        <v>11131145.7345</v>
      </c>
      <c r="M639" s="267"/>
    </row>
    <row r="640" spans="1:13" s="23" customFormat="1" ht="30" customHeight="1" x14ac:dyDescent="0.2">
      <c r="A640" s="392"/>
      <c r="B640" s="331"/>
      <c r="C640" s="331"/>
      <c r="D640" s="331"/>
      <c r="F640" s="264"/>
      <c r="G640" s="264"/>
      <c r="H640" s="264"/>
      <c r="I640" s="264"/>
      <c r="J640" s="266" t="s">
        <v>2</v>
      </c>
      <c r="K640" s="266"/>
      <c r="L640" s="267">
        <f>+K258</f>
        <v>2462647.5249999999</v>
      </c>
      <c r="M640" s="267"/>
    </row>
    <row r="641" spans="1:13" s="23" customFormat="1" ht="38.25" customHeight="1" thickBot="1" x14ac:dyDescent="0.25">
      <c r="A641" s="392"/>
      <c r="B641" s="331"/>
      <c r="C641" s="331"/>
      <c r="D641" s="331"/>
      <c r="F641" s="265"/>
      <c r="G641" s="265"/>
      <c r="H641" s="265"/>
      <c r="I641" s="265"/>
      <c r="J641" s="268" t="s">
        <v>13</v>
      </c>
      <c r="K641" s="268"/>
      <c r="L641" s="269">
        <f>+L639+L640</f>
        <v>13593793.259500001</v>
      </c>
      <c r="M641" s="269"/>
    </row>
    <row r="642" spans="1:13" s="23" customFormat="1" ht="30" customHeight="1" thickTop="1" x14ac:dyDescent="0.2">
      <c r="A642" s="392" t="s">
        <v>2364</v>
      </c>
      <c r="B642" s="331" t="s">
        <v>2368</v>
      </c>
      <c r="C642" s="331"/>
      <c r="D642" s="331"/>
      <c r="F642" s="264" t="str">
        <f>+B449</f>
        <v>BH</v>
      </c>
      <c r="G642" s="264" t="str">
        <f>+C449</f>
        <v>BASINÇLI HAVA TESİSATI</v>
      </c>
      <c r="H642" s="264"/>
      <c r="I642" s="264"/>
      <c r="J642" s="266" t="s">
        <v>1</v>
      </c>
      <c r="K642" s="266"/>
      <c r="L642" s="267">
        <f>+I449</f>
        <v>1927586.872</v>
      </c>
      <c r="M642" s="267"/>
    </row>
    <row r="643" spans="1:13" s="23" customFormat="1" ht="30" customHeight="1" x14ac:dyDescent="0.2">
      <c r="A643" s="392"/>
      <c r="B643" s="331"/>
      <c r="C643" s="331"/>
      <c r="D643" s="331"/>
      <c r="F643" s="264"/>
      <c r="G643" s="264"/>
      <c r="H643" s="264"/>
      <c r="I643" s="264"/>
      <c r="J643" s="266" t="s">
        <v>2</v>
      </c>
      <c r="K643" s="266"/>
      <c r="L643" s="267">
        <f>+K449</f>
        <v>605839</v>
      </c>
      <c r="M643" s="267"/>
    </row>
    <row r="644" spans="1:13" s="23" customFormat="1" ht="38.25" customHeight="1" thickBot="1" x14ac:dyDescent="0.25">
      <c r="A644" s="392"/>
      <c r="B644" s="331"/>
      <c r="C644" s="331"/>
      <c r="D644" s="331"/>
      <c r="F644" s="265"/>
      <c r="G644" s="265"/>
      <c r="H644" s="265"/>
      <c r="I644" s="265"/>
      <c r="J644" s="268" t="s">
        <v>13</v>
      </c>
      <c r="K644" s="268"/>
      <c r="L644" s="269">
        <f>+L642+L643</f>
        <v>2533425.872</v>
      </c>
      <c r="M644" s="269"/>
    </row>
    <row r="645" spans="1:13" s="23" customFormat="1" ht="30" customHeight="1" thickTop="1" x14ac:dyDescent="0.2">
      <c r="A645" s="392" t="s">
        <v>2365</v>
      </c>
      <c r="B645" s="331" t="s">
        <v>2369</v>
      </c>
      <c r="C645" s="331"/>
      <c r="D645" s="331"/>
      <c r="F645" s="264" t="str">
        <f>+B482</f>
        <v>Y</v>
      </c>
      <c r="G645" s="264" t="str">
        <f>+C482</f>
        <v>YANGIN TESİSATI</v>
      </c>
      <c r="H645" s="264"/>
      <c r="I645" s="264"/>
      <c r="J645" s="266" t="s">
        <v>1</v>
      </c>
      <c r="K645" s="266"/>
      <c r="L645" s="267">
        <f>+I482</f>
        <v>9291765.5</v>
      </c>
      <c r="M645" s="267"/>
    </row>
    <row r="646" spans="1:13" s="23" customFormat="1" ht="30" customHeight="1" x14ac:dyDescent="0.2">
      <c r="A646" s="392"/>
      <c r="B646" s="331"/>
      <c r="C646" s="331"/>
      <c r="D646" s="331"/>
      <c r="F646" s="264"/>
      <c r="G646" s="264"/>
      <c r="H646" s="264"/>
      <c r="I646" s="264"/>
      <c r="J646" s="266" t="s">
        <v>2</v>
      </c>
      <c r="K646" s="266"/>
      <c r="L646" s="267">
        <f>+K482</f>
        <v>5117204</v>
      </c>
      <c r="M646" s="267"/>
    </row>
    <row r="647" spans="1:13" s="23" customFormat="1" ht="38.25" customHeight="1" thickBot="1" x14ac:dyDescent="0.25">
      <c r="A647" s="392"/>
      <c r="B647" s="331"/>
      <c r="C647" s="331"/>
      <c r="D647" s="331"/>
      <c r="F647" s="265"/>
      <c r="G647" s="265"/>
      <c r="H647" s="265"/>
      <c r="I647" s="265"/>
      <c r="J647" s="268" t="s">
        <v>13</v>
      </c>
      <c r="K647" s="268"/>
      <c r="L647" s="269">
        <f>+L645+L646</f>
        <v>14408969.5</v>
      </c>
      <c r="M647" s="269"/>
    </row>
    <row r="648" spans="1:13" s="23" customFormat="1" ht="30" customHeight="1" thickTop="1" x14ac:dyDescent="0.2">
      <c r="F648" s="264" t="str">
        <f>+B567</f>
        <v>D</v>
      </c>
      <c r="G648" s="328" t="str">
        <f>+C567</f>
        <v>DOĞALGAZ TESİSATI</v>
      </c>
      <c r="H648" s="264"/>
      <c r="I648" s="264"/>
      <c r="J648" s="266" t="s">
        <v>1</v>
      </c>
      <c r="K648" s="266"/>
      <c r="L648" s="267">
        <f>+I567</f>
        <v>1624940</v>
      </c>
      <c r="M648" s="267"/>
    </row>
    <row r="649" spans="1:13" s="23" customFormat="1" ht="30" customHeight="1" x14ac:dyDescent="0.2">
      <c r="F649" s="264"/>
      <c r="G649" s="264"/>
      <c r="H649" s="264"/>
      <c r="I649" s="264"/>
      <c r="J649" s="266" t="s">
        <v>2</v>
      </c>
      <c r="K649" s="266"/>
      <c r="L649" s="267">
        <f>+K567</f>
        <v>687090</v>
      </c>
      <c r="M649" s="267"/>
    </row>
    <row r="650" spans="1:13" s="23" customFormat="1" ht="38.25" customHeight="1" thickBot="1" x14ac:dyDescent="0.25">
      <c r="F650" s="265"/>
      <c r="G650" s="265"/>
      <c r="H650" s="265"/>
      <c r="I650" s="265"/>
      <c r="J650" s="268" t="s">
        <v>13</v>
      </c>
      <c r="K650" s="268"/>
      <c r="L650" s="269">
        <f>+L648+L649</f>
        <v>2312030</v>
      </c>
      <c r="M650" s="269"/>
    </row>
    <row r="651" spans="1:13" s="23" customFormat="1" ht="30" customHeight="1" thickTop="1" x14ac:dyDescent="0.2">
      <c r="F651" s="264" t="str">
        <f>+B610</f>
        <v>G</v>
      </c>
      <c r="G651" s="328" t="str">
        <f>+C610</f>
        <v>GENEL</v>
      </c>
      <c r="H651" s="264"/>
      <c r="I651" s="264"/>
      <c r="J651" s="266" t="s">
        <v>1</v>
      </c>
      <c r="K651" s="266"/>
      <c r="L651" s="267">
        <f>+I610</f>
        <v>14976000</v>
      </c>
      <c r="M651" s="267"/>
    </row>
    <row r="652" spans="1:13" s="23" customFormat="1" ht="30" customHeight="1" x14ac:dyDescent="0.2">
      <c r="F652" s="264"/>
      <c r="G652" s="264"/>
      <c r="H652" s="264"/>
      <c r="I652" s="264"/>
      <c r="J652" s="266" t="s">
        <v>2</v>
      </c>
      <c r="K652" s="266"/>
      <c r="L652" s="267">
        <f>+K610</f>
        <v>1785000</v>
      </c>
      <c r="M652" s="267"/>
    </row>
    <row r="653" spans="1:13" s="23" customFormat="1" ht="38.25" customHeight="1" thickBot="1" x14ac:dyDescent="0.25">
      <c r="F653" s="265"/>
      <c r="G653" s="265"/>
      <c r="H653" s="265"/>
      <c r="I653" s="265"/>
      <c r="J653" s="268" t="s">
        <v>13</v>
      </c>
      <c r="K653" s="268"/>
      <c r="L653" s="269">
        <f>+L651+L652</f>
        <v>16761000</v>
      </c>
      <c r="M653" s="269"/>
    </row>
    <row r="654" spans="1:13" s="23" customFormat="1" ht="30" customHeight="1" thickTop="1" x14ac:dyDescent="0.2">
      <c r="F654" s="255" t="s">
        <v>1392</v>
      </c>
      <c r="G654" s="256"/>
      <c r="H654" s="256"/>
      <c r="I654" s="257"/>
      <c r="J654" s="251" t="s">
        <v>1</v>
      </c>
      <c r="K654" s="251"/>
      <c r="L654" s="252">
        <f>+L636+L639+L642+L645+L648+L651</f>
        <v>48228317.196500003</v>
      </c>
      <c r="M654" s="252"/>
    </row>
    <row r="655" spans="1:13" s="23" customFormat="1" ht="30" customHeight="1" x14ac:dyDescent="0.2">
      <c r="F655" s="258"/>
      <c r="G655" s="259"/>
      <c r="H655" s="259"/>
      <c r="I655" s="260"/>
      <c r="J655" s="251" t="s">
        <v>2</v>
      </c>
      <c r="K655" s="251"/>
      <c r="L655" s="252">
        <f>+L637+L640+L643+L646+L649+L652</f>
        <v>13460587.725000001</v>
      </c>
      <c r="M655" s="252"/>
    </row>
    <row r="656" spans="1:13" s="23" customFormat="1" ht="38.25" customHeight="1" thickBot="1" x14ac:dyDescent="0.25">
      <c r="F656" s="261"/>
      <c r="G656" s="262"/>
      <c r="H656" s="262"/>
      <c r="I656" s="263"/>
      <c r="J656" s="253" t="s">
        <v>13</v>
      </c>
      <c r="K656" s="253"/>
      <c r="L656" s="254">
        <f>+L654+L655</f>
        <v>61688904.921500005</v>
      </c>
      <c r="M656" s="254"/>
    </row>
    <row r="657" ht="33" customHeight="1" thickTop="1" x14ac:dyDescent="0.25"/>
  </sheetData>
  <sheetProtection algorithmName="SHA-512" hashValue="kxy8QZynnPHaf/F0WGqP54P2NvtE+zTsRSIH4Y3JOTuRdlUudNnaG3IlHaqMPoQ0KPm3lO5XLHY9N5lbTooAtg==" saltValue="x1ojefGNkvhvCNeUJAqhJg==" spinCount="100000" sheet="1" selectLockedCells="1"/>
  <mergeCells count="1274">
    <mergeCell ref="A639:A641"/>
    <mergeCell ref="A636:A638"/>
    <mergeCell ref="B636:D638"/>
    <mergeCell ref="A642:A644"/>
    <mergeCell ref="B642:D644"/>
    <mergeCell ref="A645:A647"/>
    <mergeCell ref="B645:D647"/>
    <mergeCell ref="B197:B202"/>
    <mergeCell ref="F197:F202"/>
    <mergeCell ref="G197:G202"/>
    <mergeCell ref="H197:H202"/>
    <mergeCell ref="I197:I202"/>
    <mergeCell ref="J197:J202"/>
    <mergeCell ref="K197:K202"/>
    <mergeCell ref="L197:L202"/>
    <mergeCell ref="A1:E1"/>
    <mergeCell ref="F1:G1"/>
    <mergeCell ref="H1:I1"/>
    <mergeCell ref="J1:K1"/>
    <mergeCell ref="L1:L2"/>
    <mergeCell ref="B5:B9"/>
    <mergeCell ref="B13:B16"/>
    <mergeCell ref="B17:B22"/>
    <mergeCell ref="L5:L9"/>
    <mergeCell ref="B23:B27"/>
    <mergeCell ref="C20:D20"/>
    <mergeCell ref="C21:D21"/>
    <mergeCell ref="C22:D22"/>
    <mergeCell ref="G17:G22"/>
    <mergeCell ref="H17:H22"/>
    <mergeCell ref="I17:I22"/>
    <mergeCell ref="J17:J22"/>
    <mergeCell ref="M1:M2"/>
    <mergeCell ref="C2:D2"/>
    <mergeCell ref="C4:D4"/>
    <mergeCell ref="C5:D5"/>
    <mergeCell ref="C6:D6"/>
    <mergeCell ref="C7:D7"/>
    <mergeCell ref="C8:D8"/>
    <mergeCell ref="C9:D9"/>
    <mergeCell ref="E5:E9"/>
    <mergeCell ref="J640:K640"/>
    <mergeCell ref="L640:M640"/>
    <mergeCell ref="J639:K639"/>
    <mergeCell ref="L639:M639"/>
    <mergeCell ref="F639:F641"/>
    <mergeCell ref="G639:I641"/>
    <mergeCell ref="J641:K641"/>
    <mergeCell ref="L641:M641"/>
    <mergeCell ref="C47:D47"/>
    <mergeCell ref="C53:D53"/>
    <mergeCell ref="C54:D54"/>
    <mergeCell ref="C55:D55"/>
    <mergeCell ref="C158:C165"/>
    <mergeCell ref="C60:D60"/>
    <mergeCell ref="C3:E3"/>
    <mergeCell ref="I13:I16"/>
    <mergeCell ref="J13:J16"/>
    <mergeCell ref="K13:K16"/>
    <mergeCell ref="L13:L16"/>
    <mergeCell ref="M13:M16"/>
    <mergeCell ref="C14:D14"/>
    <mergeCell ref="C15:D15"/>
    <mergeCell ref="C16:D16"/>
    <mergeCell ref="M5:M9"/>
    <mergeCell ref="C10:D10"/>
    <mergeCell ref="C11:D11"/>
    <mergeCell ref="C12:D12"/>
    <mergeCell ref="C13:D13"/>
    <mergeCell ref="E13:E16"/>
    <mergeCell ref="F13:F16"/>
    <mergeCell ref="G13:G16"/>
    <mergeCell ref="H13:H16"/>
    <mergeCell ref="F5:F9"/>
    <mergeCell ref="G5:G9"/>
    <mergeCell ref="H5:H9"/>
    <mergeCell ref="I5:I9"/>
    <mergeCell ref="J5:J9"/>
    <mergeCell ref="K5:K9"/>
    <mergeCell ref="I23:I27"/>
    <mergeCell ref="J23:J27"/>
    <mergeCell ref="K23:K27"/>
    <mergeCell ref="L23:L27"/>
    <mergeCell ref="M23:M27"/>
    <mergeCell ref="C24:D24"/>
    <mergeCell ref="C25:D25"/>
    <mergeCell ref="C26:D26"/>
    <mergeCell ref="C27:D27"/>
    <mergeCell ref="C23:D23"/>
    <mergeCell ref="E23:E27"/>
    <mergeCell ref="F23:F27"/>
    <mergeCell ref="G23:G27"/>
    <mergeCell ref="H23:H27"/>
    <mergeCell ref="M17:M22"/>
    <mergeCell ref="C18:D18"/>
    <mergeCell ref="C19:D19"/>
    <mergeCell ref="K17:K22"/>
    <mergeCell ref="L17:L22"/>
    <mergeCell ref="C17:D17"/>
    <mergeCell ref="E17:E22"/>
    <mergeCell ref="F17:F22"/>
    <mergeCell ref="I33:I36"/>
    <mergeCell ref="J33:J36"/>
    <mergeCell ref="K33:K36"/>
    <mergeCell ref="L33:L36"/>
    <mergeCell ref="M33:M36"/>
    <mergeCell ref="C34:D34"/>
    <mergeCell ref="C35:D35"/>
    <mergeCell ref="C36:D36"/>
    <mergeCell ref="B33:B36"/>
    <mergeCell ref="C33:D33"/>
    <mergeCell ref="E33:E36"/>
    <mergeCell ref="F33:F36"/>
    <mergeCell ref="G33:G36"/>
    <mergeCell ref="H33:H36"/>
    <mergeCell ref="I28:I32"/>
    <mergeCell ref="J28:J32"/>
    <mergeCell ref="K28:K32"/>
    <mergeCell ref="L28:L32"/>
    <mergeCell ref="M28:M32"/>
    <mergeCell ref="C29:D29"/>
    <mergeCell ref="C30:D30"/>
    <mergeCell ref="C31:D31"/>
    <mergeCell ref="C32:D32"/>
    <mergeCell ref="B28:B32"/>
    <mergeCell ref="C28:D28"/>
    <mergeCell ref="E28:E32"/>
    <mergeCell ref="F28:F32"/>
    <mergeCell ref="G28:G32"/>
    <mergeCell ref="H28:H32"/>
    <mergeCell ref="I42:I46"/>
    <mergeCell ref="J42:J46"/>
    <mergeCell ref="K42:K46"/>
    <mergeCell ref="L42:L46"/>
    <mergeCell ref="M42:M46"/>
    <mergeCell ref="C43:D43"/>
    <mergeCell ref="C44:D44"/>
    <mergeCell ref="C45:D45"/>
    <mergeCell ref="C46:D46"/>
    <mergeCell ref="B42:B46"/>
    <mergeCell ref="C42:D42"/>
    <mergeCell ref="E42:E46"/>
    <mergeCell ref="F42:F46"/>
    <mergeCell ref="G42:G46"/>
    <mergeCell ref="H42:H46"/>
    <mergeCell ref="I37:I41"/>
    <mergeCell ref="J37:J41"/>
    <mergeCell ref="K37:K41"/>
    <mergeCell ref="L37:L41"/>
    <mergeCell ref="M37:M41"/>
    <mergeCell ref="C38:D38"/>
    <mergeCell ref="C39:D39"/>
    <mergeCell ref="C40:D40"/>
    <mergeCell ref="C41:D41"/>
    <mergeCell ref="B37:B41"/>
    <mergeCell ref="C37:D37"/>
    <mergeCell ref="E37:E41"/>
    <mergeCell ref="F37:F41"/>
    <mergeCell ref="G37:G41"/>
    <mergeCell ref="H37:H41"/>
    <mergeCell ref="L54:L59"/>
    <mergeCell ref="M54:M59"/>
    <mergeCell ref="C56:D56"/>
    <mergeCell ref="C57:D57"/>
    <mergeCell ref="C58:D58"/>
    <mergeCell ref="C59:D59"/>
    <mergeCell ref="F54:F59"/>
    <mergeCell ref="G54:G59"/>
    <mergeCell ref="H54:H59"/>
    <mergeCell ref="I54:I59"/>
    <mergeCell ref="J54:J59"/>
    <mergeCell ref="K54:K59"/>
    <mergeCell ref="I48:I53"/>
    <mergeCell ref="J48:J53"/>
    <mergeCell ref="K48:K53"/>
    <mergeCell ref="L48:L53"/>
    <mergeCell ref="M48:M53"/>
    <mergeCell ref="C48:D48"/>
    <mergeCell ref="F48:F53"/>
    <mergeCell ref="G48:G53"/>
    <mergeCell ref="H48:H53"/>
    <mergeCell ref="C52:D52"/>
    <mergeCell ref="C51:D51"/>
    <mergeCell ref="C50:D50"/>
    <mergeCell ref="C49:D49"/>
    <mergeCell ref="I66:I70"/>
    <mergeCell ref="J66:J70"/>
    <mergeCell ref="K66:K70"/>
    <mergeCell ref="L66:L70"/>
    <mergeCell ref="M66:M70"/>
    <mergeCell ref="B66:B70"/>
    <mergeCell ref="C67:D67"/>
    <mergeCell ref="E66:E70"/>
    <mergeCell ref="F66:F70"/>
    <mergeCell ref="G66:G70"/>
    <mergeCell ref="H66:H70"/>
    <mergeCell ref="C66:D66"/>
    <mergeCell ref="C68:D68"/>
    <mergeCell ref="C69:D69"/>
    <mergeCell ref="C70:D70"/>
    <mergeCell ref="I61:I65"/>
    <mergeCell ref="J61:J65"/>
    <mergeCell ref="K61:K65"/>
    <mergeCell ref="L61:L65"/>
    <mergeCell ref="M61:M65"/>
    <mergeCell ref="C63:D63"/>
    <mergeCell ref="C62:D62"/>
    <mergeCell ref="C64:D64"/>
    <mergeCell ref="C65:D65"/>
    <mergeCell ref="B61:B65"/>
    <mergeCell ref="C61:D61"/>
    <mergeCell ref="E61:E65"/>
    <mergeCell ref="F61:F65"/>
    <mergeCell ref="G61:G65"/>
    <mergeCell ref="H61:H65"/>
    <mergeCell ref="I76:I80"/>
    <mergeCell ref="J76:J80"/>
    <mergeCell ref="K76:K80"/>
    <mergeCell ref="L76:L80"/>
    <mergeCell ref="M76:M80"/>
    <mergeCell ref="C77:D77"/>
    <mergeCell ref="C78:D78"/>
    <mergeCell ref="C79:D79"/>
    <mergeCell ref="C80:D80"/>
    <mergeCell ref="B76:B80"/>
    <mergeCell ref="C76:D76"/>
    <mergeCell ref="E76:E80"/>
    <mergeCell ref="F76:F80"/>
    <mergeCell ref="G76:G80"/>
    <mergeCell ref="H76:H80"/>
    <mergeCell ref="I71:I75"/>
    <mergeCell ref="J71:J75"/>
    <mergeCell ref="K71:K75"/>
    <mergeCell ref="L71:L75"/>
    <mergeCell ref="M71:M75"/>
    <mergeCell ref="C72:D72"/>
    <mergeCell ref="C73:D73"/>
    <mergeCell ref="C74:D74"/>
    <mergeCell ref="C75:D75"/>
    <mergeCell ref="B71:B75"/>
    <mergeCell ref="C71:D71"/>
    <mergeCell ref="E71:E75"/>
    <mergeCell ref="F71:F75"/>
    <mergeCell ref="G71:G75"/>
    <mergeCell ref="H71:H75"/>
    <mergeCell ref="I86:I88"/>
    <mergeCell ref="J86:J88"/>
    <mergeCell ref="K86:K88"/>
    <mergeCell ref="L86:L88"/>
    <mergeCell ref="M86:M88"/>
    <mergeCell ref="C87:D87"/>
    <mergeCell ref="C88:D88"/>
    <mergeCell ref="B86:B88"/>
    <mergeCell ref="C86:D86"/>
    <mergeCell ref="E86:E88"/>
    <mergeCell ref="F86:F88"/>
    <mergeCell ref="G86:G88"/>
    <mergeCell ref="H86:H88"/>
    <mergeCell ref="I81:I85"/>
    <mergeCell ref="J81:J85"/>
    <mergeCell ref="K81:K85"/>
    <mergeCell ref="L81:L85"/>
    <mergeCell ref="M81:M85"/>
    <mergeCell ref="C82:D82"/>
    <mergeCell ref="C83:D83"/>
    <mergeCell ref="C84:D84"/>
    <mergeCell ref="C85:D85"/>
    <mergeCell ref="B81:B85"/>
    <mergeCell ref="C81:D81"/>
    <mergeCell ref="E81:E85"/>
    <mergeCell ref="F81:F85"/>
    <mergeCell ref="G81:G85"/>
    <mergeCell ref="H81:H85"/>
    <mergeCell ref="I92:I94"/>
    <mergeCell ref="J92:J94"/>
    <mergeCell ref="K92:K94"/>
    <mergeCell ref="L92:L94"/>
    <mergeCell ref="M92:M94"/>
    <mergeCell ref="C93:D93"/>
    <mergeCell ref="C94:D94"/>
    <mergeCell ref="B92:B94"/>
    <mergeCell ref="C92:D92"/>
    <mergeCell ref="E92:E94"/>
    <mergeCell ref="F92:F94"/>
    <mergeCell ref="G92:G94"/>
    <mergeCell ref="H92:H94"/>
    <mergeCell ref="I89:I91"/>
    <mergeCell ref="J89:J91"/>
    <mergeCell ref="K89:K91"/>
    <mergeCell ref="L89:L91"/>
    <mergeCell ref="M89:M91"/>
    <mergeCell ref="C90:D90"/>
    <mergeCell ref="C91:D91"/>
    <mergeCell ref="B89:B91"/>
    <mergeCell ref="C89:D89"/>
    <mergeCell ref="E89:E91"/>
    <mergeCell ref="F89:F91"/>
    <mergeCell ref="G89:G91"/>
    <mergeCell ref="H89:H91"/>
    <mergeCell ref="I98:I100"/>
    <mergeCell ref="J98:J100"/>
    <mergeCell ref="K98:K100"/>
    <mergeCell ref="L98:L100"/>
    <mergeCell ref="M98:M100"/>
    <mergeCell ref="C99:D99"/>
    <mergeCell ref="C100:D100"/>
    <mergeCell ref="B98:B100"/>
    <mergeCell ref="C98:D98"/>
    <mergeCell ref="E98:E100"/>
    <mergeCell ref="F98:F100"/>
    <mergeCell ref="G98:G100"/>
    <mergeCell ref="H98:H100"/>
    <mergeCell ref="I95:I97"/>
    <mergeCell ref="J95:J97"/>
    <mergeCell ref="K95:K97"/>
    <mergeCell ref="L95:L97"/>
    <mergeCell ref="M95:M97"/>
    <mergeCell ref="C96:D96"/>
    <mergeCell ref="C97:D97"/>
    <mergeCell ref="B95:B97"/>
    <mergeCell ref="C95:D95"/>
    <mergeCell ref="E95:E97"/>
    <mergeCell ref="F95:F97"/>
    <mergeCell ref="G95:G97"/>
    <mergeCell ref="H95:H97"/>
    <mergeCell ref="I104:I106"/>
    <mergeCell ref="J104:J106"/>
    <mergeCell ref="K104:K106"/>
    <mergeCell ref="L104:L106"/>
    <mergeCell ref="M104:M106"/>
    <mergeCell ref="C105:D105"/>
    <mergeCell ref="C106:D106"/>
    <mergeCell ref="B104:B106"/>
    <mergeCell ref="C104:D104"/>
    <mergeCell ref="E104:E106"/>
    <mergeCell ref="F104:F106"/>
    <mergeCell ref="G104:G106"/>
    <mergeCell ref="H104:H106"/>
    <mergeCell ref="I101:I103"/>
    <mergeCell ref="J101:J103"/>
    <mergeCell ref="K101:K103"/>
    <mergeCell ref="L101:L103"/>
    <mergeCell ref="M101:M103"/>
    <mergeCell ref="C102:D102"/>
    <mergeCell ref="C103:D103"/>
    <mergeCell ref="B101:B103"/>
    <mergeCell ref="C101:D101"/>
    <mergeCell ref="E101:E103"/>
    <mergeCell ref="F101:F103"/>
    <mergeCell ref="G101:G103"/>
    <mergeCell ref="H101:H103"/>
    <mergeCell ref="I110:I112"/>
    <mergeCell ref="J110:J112"/>
    <mergeCell ref="K110:K112"/>
    <mergeCell ref="L110:L112"/>
    <mergeCell ref="M110:M112"/>
    <mergeCell ref="C111:D111"/>
    <mergeCell ref="C112:D112"/>
    <mergeCell ref="B110:B112"/>
    <mergeCell ref="C110:D110"/>
    <mergeCell ref="E110:E112"/>
    <mergeCell ref="F110:F112"/>
    <mergeCell ref="G110:G112"/>
    <mergeCell ref="H110:H112"/>
    <mergeCell ref="I107:I109"/>
    <mergeCell ref="J107:J109"/>
    <mergeCell ref="K107:K109"/>
    <mergeCell ref="L107:L109"/>
    <mergeCell ref="M107:M109"/>
    <mergeCell ref="C108:D108"/>
    <mergeCell ref="C109:D109"/>
    <mergeCell ref="B107:B109"/>
    <mergeCell ref="C107:D107"/>
    <mergeCell ref="E107:E109"/>
    <mergeCell ref="F107:F109"/>
    <mergeCell ref="G107:G109"/>
    <mergeCell ref="H107:H109"/>
    <mergeCell ref="I116:I118"/>
    <mergeCell ref="J116:J118"/>
    <mergeCell ref="K116:K118"/>
    <mergeCell ref="L116:L118"/>
    <mergeCell ref="M116:M118"/>
    <mergeCell ref="C117:D117"/>
    <mergeCell ref="C118:D118"/>
    <mergeCell ref="B116:B118"/>
    <mergeCell ref="C116:D116"/>
    <mergeCell ref="E116:E118"/>
    <mergeCell ref="F116:F118"/>
    <mergeCell ref="G116:G118"/>
    <mergeCell ref="H116:H118"/>
    <mergeCell ref="I113:I115"/>
    <mergeCell ref="J113:J115"/>
    <mergeCell ref="K113:K115"/>
    <mergeCell ref="L113:L115"/>
    <mergeCell ref="M113:M115"/>
    <mergeCell ref="C114:D114"/>
    <mergeCell ref="C115:D115"/>
    <mergeCell ref="B113:B115"/>
    <mergeCell ref="C113:D113"/>
    <mergeCell ref="E113:E115"/>
    <mergeCell ref="F113:F115"/>
    <mergeCell ref="G113:G115"/>
    <mergeCell ref="H113:H115"/>
    <mergeCell ref="I122:I124"/>
    <mergeCell ref="J122:J124"/>
    <mergeCell ref="K122:K124"/>
    <mergeCell ref="L122:L124"/>
    <mergeCell ref="M122:M124"/>
    <mergeCell ref="C123:D123"/>
    <mergeCell ref="C124:D124"/>
    <mergeCell ref="B122:B124"/>
    <mergeCell ref="C122:D122"/>
    <mergeCell ref="E122:E124"/>
    <mergeCell ref="F122:F124"/>
    <mergeCell ref="G122:G124"/>
    <mergeCell ref="H122:H124"/>
    <mergeCell ref="I119:I121"/>
    <mergeCell ref="J119:J121"/>
    <mergeCell ref="K119:K121"/>
    <mergeCell ref="L119:L121"/>
    <mergeCell ref="M119:M121"/>
    <mergeCell ref="C120:D120"/>
    <mergeCell ref="C121:D121"/>
    <mergeCell ref="B119:B121"/>
    <mergeCell ref="C119:D119"/>
    <mergeCell ref="E119:E121"/>
    <mergeCell ref="F119:F121"/>
    <mergeCell ref="G119:G121"/>
    <mergeCell ref="H119:H121"/>
    <mergeCell ref="I128:I130"/>
    <mergeCell ref="J128:J130"/>
    <mergeCell ref="K128:K130"/>
    <mergeCell ref="L128:L130"/>
    <mergeCell ref="M128:M130"/>
    <mergeCell ref="C129:D129"/>
    <mergeCell ref="C130:D130"/>
    <mergeCell ref="B128:B130"/>
    <mergeCell ref="C128:D128"/>
    <mergeCell ref="E128:E130"/>
    <mergeCell ref="F128:F130"/>
    <mergeCell ref="G128:G130"/>
    <mergeCell ref="H128:H130"/>
    <mergeCell ref="I125:I127"/>
    <mergeCell ref="J125:J127"/>
    <mergeCell ref="K125:K127"/>
    <mergeCell ref="L125:L127"/>
    <mergeCell ref="M125:M127"/>
    <mergeCell ref="C126:D126"/>
    <mergeCell ref="C127:D127"/>
    <mergeCell ref="B125:B127"/>
    <mergeCell ref="C125:D125"/>
    <mergeCell ref="E125:E127"/>
    <mergeCell ref="F125:F127"/>
    <mergeCell ref="G125:G127"/>
    <mergeCell ref="H125:H127"/>
    <mergeCell ref="I134:I136"/>
    <mergeCell ref="J134:J136"/>
    <mergeCell ref="K134:K136"/>
    <mergeCell ref="L134:L136"/>
    <mergeCell ref="M134:M136"/>
    <mergeCell ref="C135:D135"/>
    <mergeCell ref="C136:D136"/>
    <mergeCell ref="B134:B136"/>
    <mergeCell ref="C134:D134"/>
    <mergeCell ref="E134:E136"/>
    <mergeCell ref="F134:F136"/>
    <mergeCell ref="G134:G136"/>
    <mergeCell ref="H134:H136"/>
    <mergeCell ref="I131:I133"/>
    <mergeCell ref="J131:J133"/>
    <mergeCell ref="K131:K133"/>
    <mergeCell ref="L131:L133"/>
    <mergeCell ref="M131:M133"/>
    <mergeCell ref="C132:D132"/>
    <mergeCell ref="C133:D133"/>
    <mergeCell ref="B131:B133"/>
    <mergeCell ref="C131:D131"/>
    <mergeCell ref="E131:E133"/>
    <mergeCell ref="F131:F133"/>
    <mergeCell ref="G131:G133"/>
    <mergeCell ref="H131:H133"/>
    <mergeCell ref="I140:I142"/>
    <mergeCell ref="J140:J142"/>
    <mergeCell ref="K140:K142"/>
    <mergeCell ref="L140:L142"/>
    <mergeCell ref="M140:M142"/>
    <mergeCell ref="C141:D141"/>
    <mergeCell ref="C142:D142"/>
    <mergeCell ref="B140:B142"/>
    <mergeCell ref="C140:D140"/>
    <mergeCell ref="E140:E142"/>
    <mergeCell ref="F140:F142"/>
    <mergeCell ref="G140:G142"/>
    <mergeCell ref="H140:H142"/>
    <mergeCell ref="I137:I139"/>
    <mergeCell ref="J137:J139"/>
    <mergeCell ref="K137:K139"/>
    <mergeCell ref="L137:L139"/>
    <mergeCell ref="M137:M139"/>
    <mergeCell ref="C138:D138"/>
    <mergeCell ref="C139:D139"/>
    <mergeCell ref="B137:B139"/>
    <mergeCell ref="C137:D137"/>
    <mergeCell ref="E137:E139"/>
    <mergeCell ref="F137:F139"/>
    <mergeCell ref="G137:G139"/>
    <mergeCell ref="H137:H139"/>
    <mergeCell ref="I146:I148"/>
    <mergeCell ref="J146:J148"/>
    <mergeCell ref="K146:K148"/>
    <mergeCell ref="L146:L148"/>
    <mergeCell ref="M146:M148"/>
    <mergeCell ref="C147:D147"/>
    <mergeCell ref="C148:D148"/>
    <mergeCell ref="B146:B148"/>
    <mergeCell ref="C146:D146"/>
    <mergeCell ref="E146:E148"/>
    <mergeCell ref="F146:F148"/>
    <mergeCell ref="G146:G148"/>
    <mergeCell ref="H146:H148"/>
    <mergeCell ref="I143:I145"/>
    <mergeCell ref="J143:J145"/>
    <mergeCell ref="K143:K145"/>
    <mergeCell ref="L143:L145"/>
    <mergeCell ref="M143:M145"/>
    <mergeCell ref="C144:D144"/>
    <mergeCell ref="C145:D145"/>
    <mergeCell ref="B143:B145"/>
    <mergeCell ref="C143:D143"/>
    <mergeCell ref="E143:E145"/>
    <mergeCell ref="F143:F145"/>
    <mergeCell ref="G143:G145"/>
    <mergeCell ref="H143:H145"/>
    <mergeCell ref="I152:I154"/>
    <mergeCell ref="J152:J154"/>
    <mergeCell ref="K152:K154"/>
    <mergeCell ref="L152:L154"/>
    <mergeCell ref="M152:M154"/>
    <mergeCell ref="C153:D153"/>
    <mergeCell ref="C154:D154"/>
    <mergeCell ref="B152:B154"/>
    <mergeCell ref="C152:D152"/>
    <mergeCell ref="E152:E154"/>
    <mergeCell ref="F152:F154"/>
    <mergeCell ref="G152:G154"/>
    <mergeCell ref="H152:H154"/>
    <mergeCell ref="I149:I151"/>
    <mergeCell ref="J149:J151"/>
    <mergeCell ref="K149:K151"/>
    <mergeCell ref="L149:L151"/>
    <mergeCell ref="M149:M151"/>
    <mergeCell ref="C150:D150"/>
    <mergeCell ref="C151:D151"/>
    <mergeCell ref="B149:B151"/>
    <mergeCell ref="C149:D149"/>
    <mergeCell ref="E149:E151"/>
    <mergeCell ref="F149:F151"/>
    <mergeCell ref="G149:G151"/>
    <mergeCell ref="H149:H151"/>
    <mergeCell ref="C175:D175"/>
    <mergeCell ref="C174:D174"/>
    <mergeCell ref="C176:D176"/>
    <mergeCell ref="B177:B180"/>
    <mergeCell ref="C177:D177"/>
    <mergeCell ref="E177:E180"/>
    <mergeCell ref="E158:E165"/>
    <mergeCell ref="C166:C169"/>
    <mergeCell ref="E166:E169"/>
    <mergeCell ref="C170:D170"/>
    <mergeCell ref="C172:D172"/>
    <mergeCell ref="C173:D173"/>
    <mergeCell ref="I155:I157"/>
    <mergeCell ref="J155:J157"/>
    <mergeCell ref="K155:K157"/>
    <mergeCell ref="L155:L157"/>
    <mergeCell ref="M155:M157"/>
    <mergeCell ref="C156:D156"/>
    <mergeCell ref="C157:D157"/>
    <mergeCell ref="B155:B157"/>
    <mergeCell ref="C155:D155"/>
    <mergeCell ref="E155:E157"/>
    <mergeCell ref="F155:F157"/>
    <mergeCell ref="G155:G157"/>
    <mergeCell ref="H155:H157"/>
    <mergeCell ref="B166:B169"/>
    <mergeCell ref="B158:B165"/>
    <mergeCell ref="H185:H190"/>
    <mergeCell ref="I185:I190"/>
    <mergeCell ref="J185:J190"/>
    <mergeCell ref="C181:D181"/>
    <mergeCell ref="C182:D182"/>
    <mergeCell ref="C183:D183"/>
    <mergeCell ref="C184:D184"/>
    <mergeCell ref="B185:B190"/>
    <mergeCell ref="C185:D185"/>
    <mergeCell ref="L177:L180"/>
    <mergeCell ref="M177:M180"/>
    <mergeCell ref="C178:D178"/>
    <mergeCell ref="C179:D179"/>
    <mergeCell ref="C180:D180"/>
    <mergeCell ref="F177:F180"/>
    <mergeCell ref="G177:G180"/>
    <mergeCell ref="H177:H180"/>
    <mergeCell ref="I177:I180"/>
    <mergeCell ref="J177:J180"/>
    <mergeCell ref="K177:K180"/>
    <mergeCell ref="K185:K190"/>
    <mergeCell ref="L185:L190"/>
    <mergeCell ref="M185:M190"/>
    <mergeCell ref="C186:D186"/>
    <mergeCell ref="C189:D189"/>
    <mergeCell ref="C190:D190"/>
    <mergeCell ref="C188:D188"/>
    <mergeCell ref="C187:D187"/>
    <mergeCell ref="E185:E190"/>
    <mergeCell ref="F185:F190"/>
    <mergeCell ref="G185:G190"/>
    <mergeCell ref="C203:D203"/>
    <mergeCell ref="B204:B209"/>
    <mergeCell ref="E204:E209"/>
    <mergeCell ref="I191:I196"/>
    <mergeCell ref="J191:J196"/>
    <mergeCell ref="K191:K196"/>
    <mergeCell ref="L191:L196"/>
    <mergeCell ref="M191:M196"/>
    <mergeCell ref="C192:D192"/>
    <mergeCell ref="C193:D193"/>
    <mergeCell ref="C194:D194"/>
    <mergeCell ref="C195:D195"/>
    <mergeCell ref="C196:D196"/>
    <mergeCell ref="B191:B196"/>
    <mergeCell ref="C191:D191"/>
    <mergeCell ref="E191:E196"/>
    <mergeCell ref="F191:F196"/>
    <mergeCell ref="G191:G196"/>
    <mergeCell ref="H191:H196"/>
    <mergeCell ref="M197:M202"/>
    <mergeCell ref="C214:D214"/>
    <mergeCell ref="C219:D219"/>
    <mergeCell ref="C220:D220"/>
    <mergeCell ref="C217:D217"/>
    <mergeCell ref="C216:D216"/>
    <mergeCell ref="C215:D215"/>
    <mergeCell ref="C218:D218"/>
    <mergeCell ref="B213:B220"/>
    <mergeCell ref="C213:D213"/>
    <mergeCell ref="E213:E220"/>
    <mergeCell ref="C204:C209"/>
    <mergeCell ref="C210:D210"/>
    <mergeCell ref="C211:D211"/>
    <mergeCell ref="C212:D212"/>
    <mergeCell ref="C221:D221"/>
    <mergeCell ref="C232:D232"/>
    <mergeCell ref="C233:D233"/>
    <mergeCell ref="B229:B233"/>
    <mergeCell ref="E229:E233"/>
    <mergeCell ref="C234:D234"/>
    <mergeCell ref="B235:B241"/>
    <mergeCell ref="C235:D235"/>
    <mergeCell ref="E235:E241"/>
    <mergeCell ref="C236:D236"/>
    <mergeCell ref="C237:D237"/>
    <mergeCell ref="C238:D238"/>
    <mergeCell ref="C239:D239"/>
    <mergeCell ref="E222:E225"/>
    <mergeCell ref="E226:E227"/>
    <mergeCell ref="C228:D228"/>
    <mergeCell ref="C229:D229"/>
    <mergeCell ref="C230:D230"/>
    <mergeCell ref="C231:D231"/>
    <mergeCell ref="B222:B227"/>
    <mergeCell ref="C222:D222"/>
    <mergeCell ref="C223:D223"/>
    <mergeCell ref="C224:D224"/>
    <mergeCell ref="C225:D225"/>
    <mergeCell ref="C226:D226"/>
    <mergeCell ref="C227:D227"/>
    <mergeCell ref="C240:D240"/>
    <mergeCell ref="C258:E258"/>
    <mergeCell ref="C259:D259"/>
    <mergeCell ref="C251:D251"/>
    <mergeCell ref="C253:D253"/>
    <mergeCell ref="C254:D254"/>
    <mergeCell ref="C255:D255"/>
    <mergeCell ref="C256:D256"/>
    <mergeCell ref="C257:D257"/>
    <mergeCell ref="C247:D247"/>
    <mergeCell ref="C248:D248"/>
    <mergeCell ref="C249:D249"/>
    <mergeCell ref="C250:D250"/>
    <mergeCell ref="C241:D241"/>
    <mergeCell ref="C242:D242"/>
    <mergeCell ref="C243:D243"/>
    <mergeCell ref="C244:D244"/>
    <mergeCell ref="C245:D245"/>
    <mergeCell ref="C246:D246"/>
    <mergeCell ref="C252:D252"/>
    <mergeCell ref="C279:D279"/>
    <mergeCell ref="B280:B286"/>
    <mergeCell ref="C280:D280"/>
    <mergeCell ref="E280:E286"/>
    <mergeCell ref="F280:F286"/>
    <mergeCell ref="G280:G286"/>
    <mergeCell ref="C284:D284"/>
    <mergeCell ref="C285:D285"/>
    <mergeCell ref="C286:D286"/>
    <mergeCell ref="C283:D283"/>
    <mergeCell ref="C275:D275"/>
    <mergeCell ref="C276:D276"/>
    <mergeCell ref="C277:D277"/>
    <mergeCell ref="C278:D278"/>
    <mergeCell ref="E260:E278"/>
    <mergeCell ref="B260:B278"/>
    <mergeCell ref="C269:D269"/>
    <mergeCell ref="C270:D270"/>
    <mergeCell ref="C271:D271"/>
    <mergeCell ref="C272:D272"/>
    <mergeCell ref="C273:D273"/>
    <mergeCell ref="C274:D274"/>
    <mergeCell ref="C261:D261"/>
    <mergeCell ref="C262:D262"/>
    <mergeCell ref="C265:D265"/>
    <mergeCell ref="C266:D266"/>
    <mergeCell ref="C267:D267"/>
    <mergeCell ref="C268:D268"/>
    <mergeCell ref="C263:D263"/>
    <mergeCell ref="C264:D264"/>
    <mergeCell ref="C260:D260"/>
    <mergeCell ref="M287:M293"/>
    <mergeCell ref="C288:D288"/>
    <mergeCell ref="C289:D289"/>
    <mergeCell ref="C290:D290"/>
    <mergeCell ref="C291:D291"/>
    <mergeCell ref="C292:D292"/>
    <mergeCell ref="C293:D293"/>
    <mergeCell ref="G287:G293"/>
    <mergeCell ref="H287:H293"/>
    <mergeCell ref="I287:I293"/>
    <mergeCell ref="J287:J293"/>
    <mergeCell ref="K287:K293"/>
    <mergeCell ref="L287:L293"/>
    <mergeCell ref="C282:D282"/>
    <mergeCell ref="C281:D281"/>
    <mergeCell ref="B287:B293"/>
    <mergeCell ref="C287:D287"/>
    <mergeCell ref="E287:E293"/>
    <mergeCell ref="F287:F293"/>
    <mergeCell ref="H280:H286"/>
    <mergeCell ref="I280:I286"/>
    <mergeCell ref="J280:J286"/>
    <mergeCell ref="K280:K286"/>
    <mergeCell ref="L280:L286"/>
    <mergeCell ref="M280:M286"/>
    <mergeCell ref="I294:I300"/>
    <mergeCell ref="J294:J300"/>
    <mergeCell ref="K294:K300"/>
    <mergeCell ref="L294:L300"/>
    <mergeCell ref="M294:M300"/>
    <mergeCell ref="C295:D295"/>
    <mergeCell ref="C296:D296"/>
    <mergeCell ref="C297:D297"/>
    <mergeCell ref="C298:D298"/>
    <mergeCell ref="C299:D299"/>
    <mergeCell ref="B294:B300"/>
    <mergeCell ref="C294:D294"/>
    <mergeCell ref="E294:E300"/>
    <mergeCell ref="F294:F300"/>
    <mergeCell ref="G294:G300"/>
    <mergeCell ref="H294:H300"/>
    <mergeCell ref="C300:D300"/>
    <mergeCell ref="C308:D308"/>
    <mergeCell ref="B308:B313"/>
    <mergeCell ref="F308:F313"/>
    <mergeCell ref="G308:G313"/>
    <mergeCell ref="C309:D309"/>
    <mergeCell ref="C310:D310"/>
    <mergeCell ref="C311:D311"/>
    <mergeCell ref="C312:D312"/>
    <mergeCell ref="H302:H307"/>
    <mergeCell ref="I302:I307"/>
    <mergeCell ref="J302:J307"/>
    <mergeCell ref="K302:K307"/>
    <mergeCell ref="L302:L307"/>
    <mergeCell ref="M302:M307"/>
    <mergeCell ref="C301:D301"/>
    <mergeCell ref="B302:B307"/>
    <mergeCell ref="C302:D302"/>
    <mergeCell ref="F302:F307"/>
    <mergeCell ref="G302:G307"/>
    <mergeCell ref="C303:D303"/>
    <mergeCell ref="C304:D304"/>
    <mergeCell ref="C305:D305"/>
    <mergeCell ref="C306:D306"/>
    <mergeCell ref="E315:E319"/>
    <mergeCell ref="C320:D320"/>
    <mergeCell ref="C321:D321"/>
    <mergeCell ref="E321:E324"/>
    <mergeCell ref="F321:F324"/>
    <mergeCell ref="G321:G324"/>
    <mergeCell ref="C322:D322"/>
    <mergeCell ref="C323:D323"/>
    <mergeCell ref="C324:D324"/>
    <mergeCell ref="M315:M319"/>
    <mergeCell ref="G315:G319"/>
    <mergeCell ref="H315:H319"/>
    <mergeCell ref="I315:I319"/>
    <mergeCell ref="J315:J319"/>
    <mergeCell ref="K315:K319"/>
    <mergeCell ref="L315:L319"/>
    <mergeCell ref="C313:D313"/>
    <mergeCell ref="E302:E313"/>
    <mergeCell ref="C314:D314"/>
    <mergeCell ref="C315:D315"/>
    <mergeCell ref="F315:F319"/>
    <mergeCell ref="C319:D319"/>
    <mergeCell ref="C318:D318"/>
    <mergeCell ref="C317:D317"/>
    <mergeCell ref="C316:D316"/>
    <mergeCell ref="H308:H313"/>
    <mergeCell ref="I308:I313"/>
    <mergeCell ref="J308:J313"/>
    <mergeCell ref="K308:K313"/>
    <mergeCell ref="L308:L313"/>
    <mergeCell ref="M308:M313"/>
    <mergeCell ref="C307:D307"/>
    <mergeCell ref="J325:J328"/>
    <mergeCell ref="K325:K328"/>
    <mergeCell ref="L325:L328"/>
    <mergeCell ref="M325:M328"/>
    <mergeCell ref="C326:D326"/>
    <mergeCell ref="C327:D327"/>
    <mergeCell ref="C328:D328"/>
    <mergeCell ref="C325:D325"/>
    <mergeCell ref="E325:E328"/>
    <mergeCell ref="F325:F328"/>
    <mergeCell ref="G325:G328"/>
    <mergeCell ref="H325:H328"/>
    <mergeCell ref="I325:I328"/>
    <mergeCell ref="H321:H324"/>
    <mergeCell ref="I321:I324"/>
    <mergeCell ref="J321:J324"/>
    <mergeCell ref="K321:K324"/>
    <mergeCell ref="L321:L324"/>
    <mergeCell ref="M321:M324"/>
    <mergeCell ref="C337:D337"/>
    <mergeCell ref="C338:D338"/>
    <mergeCell ref="C344:D344"/>
    <mergeCell ref="C343:D343"/>
    <mergeCell ref="C342:D342"/>
    <mergeCell ref="C341:D341"/>
    <mergeCell ref="I330:I336"/>
    <mergeCell ref="J330:J336"/>
    <mergeCell ref="K330:K336"/>
    <mergeCell ref="L330:L336"/>
    <mergeCell ref="M330:M336"/>
    <mergeCell ref="C331:D331"/>
    <mergeCell ref="C335:D335"/>
    <mergeCell ref="C336:D336"/>
    <mergeCell ref="C334:D334"/>
    <mergeCell ref="C333:D333"/>
    <mergeCell ref="C329:D329"/>
    <mergeCell ref="C330:D330"/>
    <mergeCell ref="E330:E336"/>
    <mergeCell ref="F330:F336"/>
    <mergeCell ref="G330:G336"/>
    <mergeCell ref="H330:H336"/>
    <mergeCell ref="C332:D332"/>
    <mergeCell ref="B352:B358"/>
    <mergeCell ref="C352:D352"/>
    <mergeCell ref="C353:D353"/>
    <mergeCell ref="C354:D354"/>
    <mergeCell ref="C355:D355"/>
    <mergeCell ref="C356:D356"/>
    <mergeCell ref="C357:D357"/>
    <mergeCell ref="C358:D358"/>
    <mergeCell ref="C348:D348"/>
    <mergeCell ref="C349:D349"/>
    <mergeCell ref="C350:D350"/>
    <mergeCell ref="E347:E350"/>
    <mergeCell ref="B347:B350"/>
    <mergeCell ref="C351:D351"/>
    <mergeCell ref="C340:D340"/>
    <mergeCell ref="C339:D339"/>
    <mergeCell ref="C345:D345"/>
    <mergeCell ref="B338:B345"/>
    <mergeCell ref="C346:D346"/>
    <mergeCell ref="C347:D347"/>
    <mergeCell ref="C375:D375"/>
    <mergeCell ref="C377:D377"/>
    <mergeCell ref="C376:D376"/>
    <mergeCell ref="E376:E377"/>
    <mergeCell ref="C368:D368"/>
    <mergeCell ref="B369:B372"/>
    <mergeCell ref="C369:D369"/>
    <mergeCell ref="C370:D370"/>
    <mergeCell ref="C371:D371"/>
    <mergeCell ref="C372:D372"/>
    <mergeCell ref="C365:D365"/>
    <mergeCell ref="B366:B367"/>
    <mergeCell ref="C366:D366"/>
    <mergeCell ref="C367:D367"/>
    <mergeCell ref="C359:D359"/>
    <mergeCell ref="B360:B364"/>
    <mergeCell ref="C360:D360"/>
    <mergeCell ref="C361:D361"/>
    <mergeCell ref="C362:D362"/>
    <mergeCell ref="C363:D363"/>
    <mergeCell ref="C364:D364"/>
    <mergeCell ref="B385:B392"/>
    <mergeCell ref="B394:B395"/>
    <mergeCell ref="C396:D396"/>
    <mergeCell ref="B397:B398"/>
    <mergeCell ref="C397:D397"/>
    <mergeCell ref="C398:D398"/>
    <mergeCell ref="E360:E364"/>
    <mergeCell ref="E366:E367"/>
    <mergeCell ref="E352:E358"/>
    <mergeCell ref="E338:E345"/>
    <mergeCell ref="C393:D393"/>
    <mergeCell ref="C394:D394"/>
    <mergeCell ref="C392:D392"/>
    <mergeCell ref="C391:D391"/>
    <mergeCell ref="C390:D390"/>
    <mergeCell ref="E385:E392"/>
    <mergeCell ref="E379:E383"/>
    <mergeCell ref="E369:E372"/>
    <mergeCell ref="C384:D384"/>
    <mergeCell ref="C385:D385"/>
    <mergeCell ref="C386:D386"/>
    <mergeCell ref="C387:D387"/>
    <mergeCell ref="C388:D388"/>
    <mergeCell ref="C389:D389"/>
    <mergeCell ref="B376:B377"/>
    <mergeCell ref="C378:D378"/>
    <mergeCell ref="C379:D379"/>
    <mergeCell ref="C380:D380"/>
    <mergeCell ref="C381:D381"/>
    <mergeCell ref="C382:D382"/>
    <mergeCell ref="C373:D373"/>
    <mergeCell ref="C374:D374"/>
    <mergeCell ref="C410:D410"/>
    <mergeCell ref="B411:B414"/>
    <mergeCell ref="E411:E414"/>
    <mergeCell ref="C414:D414"/>
    <mergeCell ref="C413:D413"/>
    <mergeCell ref="C412:D412"/>
    <mergeCell ref="C407:D407"/>
    <mergeCell ref="C408:D408"/>
    <mergeCell ref="C409:D409"/>
    <mergeCell ref="C403:D403"/>
    <mergeCell ref="B404:B405"/>
    <mergeCell ref="C404:D404"/>
    <mergeCell ref="E404:E405"/>
    <mergeCell ref="C405:D405"/>
    <mergeCell ref="C406:D406"/>
    <mergeCell ref="E397:E398"/>
    <mergeCell ref="E394:E395"/>
    <mergeCell ref="C399:D399"/>
    <mergeCell ref="B400:B402"/>
    <mergeCell ref="C400:D400"/>
    <mergeCell ref="E400:E402"/>
    <mergeCell ref="C402:D402"/>
    <mergeCell ref="C395:D395"/>
    <mergeCell ref="C425:D425"/>
    <mergeCell ref="C426:D426"/>
    <mergeCell ref="C427:D427"/>
    <mergeCell ref="C428:D428"/>
    <mergeCell ref="C429:D429"/>
    <mergeCell ref="C419:D419"/>
    <mergeCell ref="C420:D420"/>
    <mergeCell ref="C421:D421"/>
    <mergeCell ref="C422:D422"/>
    <mergeCell ref="C423:D423"/>
    <mergeCell ref="C424:D424"/>
    <mergeCell ref="C415:D415"/>
    <mergeCell ref="C416:D416"/>
    <mergeCell ref="C417:D417"/>
    <mergeCell ref="B416:B417"/>
    <mergeCell ref="C418:D418"/>
    <mergeCell ref="C411:D411"/>
    <mergeCell ref="C445:D445"/>
    <mergeCell ref="C446:D446"/>
    <mergeCell ref="C447:D447"/>
    <mergeCell ref="C448:D448"/>
    <mergeCell ref="C449:E449"/>
    <mergeCell ref="C450:D450"/>
    <mergeCell ref="C439:D439"/>
    <mergeCell ref="C440:D440"/>
    <mergeCell ref="C441:D441"/>
    <mergeCell ref="C442:D442"/>
    <mergeCell ref="C443:D443"/>
    <mergeCell ref="C444:D444"/>
    <mergeCell ref="C430:D430"/>
    <mergeCell ref="C431:D431"/>
    <mergeCell ref="E431:E438"/>
    <mergeCell ref="C432:D432"/>
    <mergeCell ref="C436:D436"/>
    <mergeCell ref="C437:D437"/>
    <mergeCell ref="C433:D433"/>
    <mergeCell ref="C434:D434"/>
    <mergeCell ref="C435:D435"/>
    <mergeCell ref="C438:D438"/>
    <mergeCell ref="C462:D462"/>
    <mergeCell ref="C463:D463"/>
    <mergeCell ref="C464:D464"/>
    <mergeCell ref="C465:D465"/>
    <mergeCell ref="C466:D466"/>
    <mergeCell ref="C467:D467"/>
    <mergeCell ref="C456:D456"/>
    <mergeCell ref="C457:D457"/>
    <mergeCell ref="C458:D458"/>
    <mergeCell ref="C459:D459"/>
    <mergeCell ref="C460:D460"/>
    <mergeCell ref="C461:D461"/>
    <mergeCell ref="C451:D451"/>
    <mergeCell ref="E451:E455"/>
    <mergeCell ref="C452:D452"/>
    <mergeCell ref="C453:D453"/>
    <mergeCell ref="C454:D454"/>
    <mergeCell ref="C455:D455"/>
    <mergeCell ref="C480:D480"/>
    <mergeCell ref="C481:D481"/>
    <mergeCell ref="C482:E482"/>
    <mergeCell ref="C483:D483"/>
    <mergeCell ref="B484:B490"/>
    <mergeCell ref="C484:D484"/>
    <mergeCell ref="E484:E490"/>
    <mergeCell ref="C474:D474"/>
    <mergeCell ref="C475:D475"/>
    <mergeCell ref="C476:D476"/>
    <mergeCell ref="C477:D477"/>
    <mergeCell ref="C478:D478"/>
    <mergeCell ref="C479:D479"/>
    <mergeCell ref="C468:D468"/>
    <mergeCell ref="C469:D469"/>
    <mergeCell ref="C470:D470"/>
    <mergeCell ref="C471:D471"/>
    <mergeCell ref="C472:D472"/>
    <mergeCell ref="C473:D473"/>
    <mergeCell ref="J491:J497"/>
    <mergeCell ref="K491:K497"/>
    <mergeCell ref="L491:L497"/>
    <mergeCell ref="M491:M497"/>
    <mergeCell ref="C492:D492"/>
    <mergeCell ref="C493:D493"/>
    <mergeCell ref="C494:D494"/>
    <mergeCell ref="C495:D495"/>
    <mergeCell ref="C496:D496"/>
    <mergeCell ref="B491:B497"/>
    <mergeCell ref="C491:D491"/>
    <mergeCell ref="E491:E497"/>
    <mergeCell ref="F491:F497"/>
    <mergeCell ref="G491:G497"/>
    <mergeCell ref="H491:H497"/>
    <mergeCell ref="C497:D497"/>
    <mergeCell ref="L484:L490"/>
    <mergeCell ref="M484:M490"/>
    <mergeCell ref="C485:D485"/>
    <mergeCell ref="C488:D488"/>
    <mergeCell ref="C489:D489"/>
    <mergeCell ref="C490:D490"/>
    <mergeCell ref="C487:D487"/>
    <mergeCell ref="C486:D486"/>
    <mergeCell ref="F484:F490"/>
    <mergeCell ref="G484:G490"/>
    <mergeCell ref="H484:H490"/>
    <mergeCell ref="I484:I490"/>
    <mergeCell ref="J484:J490"/>
    <mergeCell ref="K484:K490"/>
    <mergeCell ref="C504:D504"/>
    <mergeCell ref="E504:E509"/>
    <mergeCell ref="C505:D505"/>
    <mergeCell ref="C506:D506"/>
    <mergeCell ref="C507:D507"/>
    <mergeCell ref="C508:D508"/>
    <mergeCell ref="C510:D510"/>
    <mergeCell ref="C511:D511"/>
    <mergeCell ref="C512:D512"/>
    <mergeCell ref="C498:D498"/>
    <mergeCell ref="C499:D499"/>
    <mergeCell ref="E499:E503"/>
    <mergeCell ref="C500:D500"/>
    <mergeCell ref="C501:D501"/>
    <mergeCell ref="C502:D502"/>
    <mergeCell ref="C503:D503"/>
    <mergeCell ref="I491:I497"/>
    <mergeCell ref="C522:D522"/>
    <mergeCell ref="C523:D523"/>
    <mergeCell ref="E523:E524"/>
    <mergeCell ref="C524:D524"/>
    <mergeCell ref="C525:D525"/>
    <mergeCell ref="C526:D526"/>
    <mergeCell ref="E526:E527"/>
    <mergeCell ref="C527:D527"/>
    <mergeCell ref="C517:D517"/>
    <mergeCell ref="C518:D518"/>
    <mergeCell ref="E518:E519"/>
    <mergeCell ref="C519:D519"/>
    <mergeCell ref="C520:D520"/>
    <mergeCell ref="C521:D521"/>
    <mergeCell ref="C513:D513"/>
    <mergeCell ref="E511:E513"/>
    <mergeCell ref="C514:D514"/>
    <mergeCell ref="C515:D515"/>
    <mergeCell ref="E515:E516"/>
    <mergeCell ref="C516:D516"/>
    <mergeCell ref="C542:D542"/>
    <mergeCell ref="C543:D543"/>
    <mergeCell ref="C544:D544"/>
    <mergeCell ref="C545:D545"/>
    <mergeCell ref="C546:D546"/>
    <mergeCell ref="C537:D537"/>
    <mergeCell ref="C538:D538"/>
    <mergeCell ref="C539:D539"/>
    <mergeCell ref="C540:D540"/>
    <mergeCell ref="C541:D541"/>
    <mergeCell ref="C528:D528"/>
    <mergeCell ref="C529:D529"/>
    <mergeCell ref="C530:D530"/>
    <mergeCell ref="C531:D531"/>
    <mergeCell ref="E531:E533"/>
    <mergeCell ref="C533:D533"/>
    <mergeCell ref="C532:D532"/>
    <mergeCell ref="C534:C536"/>
    <mergeCell ref="C557:D557"/>
    <mergeCell ref="C558:D558"/>
    <mergeCell ref="C559:D559"/>
    <mergeCell ref="C560:D560"/>
    <mergeCell ref="C567:E567"/>
    <mergeCell ref="C568:D568"/>
    <mergeCell ref="C552:D552"/>
    <mergeCell ref="C553:D553"/>
    <mergeCell ref="E553:E554"/>
    <mergeCell ref="C554:D554"/>
    <mergeCell ref="C555:D555"/>
    <mergeCell ref="C556:D556"/>
    <mergeCell ref="C547:D547"/>
    <mergeCell ref="C548:D548"/>
    <mergeCell ref="C549:D549"/>
    <mergeCell ref="C550:D550"/>
    <mergeCell ref="E550:E551"/>
    <mergeCell ref="C551:D551"/>
    <mergeCell ref="C561:D561"/>
    <mergeCell ref="C562:D562"/>
    <mergeCell ref="C563:D563"/>
    <mergeCell ref="C564:D564"/>
    <mergeCell ref="C565:D565"/>
    <mergeCell ref="C566:D566"/>
    <mergeCell ref="C578:D578"/>
    <mergeCell ref="C579:D579"/>
    <mergeCell ref="C580:D580"/>
    <mergeCell ref="C581:D581"/>
    <mergeCell ref="C582:D582"/>
    <mergeCell ref="C583:D583"/>
    <mergeCell ref="C574:D574"/>
    <mergeCell ref="C575:D575"/>
    <mergeCell ref="B569:B575"/>
    <mergeCell ref="C576:D576"/>
    <mergeCell ref="C577:D577"/>
    <mergeCell ref="C569:D569"/>
    <mergeCell ref="E569:E573"/>
    <mergeCell ref="C570:D570"/>
    <mergeCell ref="C571:D571"/>
    <mergeCell ref="C572:D572"/>
    <mergeCell ref="C573:D573"/>
    <mergeCell ref="C603:D603"/>
    <mergeCell ref="C602:D602"/>
    <mergeCell ref="C605:D605"/>
    <mergeCell ref="C596:D596"/>
    <mergeCell ref="C597:D597"/>
    <mergeCell ref="C598:D598"/>
    <mergeCell ref="C599:D599"/>
    <mergeCell ref="C600:D600"/>
    <mergeCell ref="C601:D601"/>
    <mergeCell ref="C590:D590"/>
    <mergeCell ref="C591:D591"/>
    <mergeCell ref="C592:D592"/>
    <mergeCell ref="C593:D593"/>
    <mergeCell ref="C594:D594"/>
    <mergeCell ref="C595:D595"/>
    <mergeCell ref="C584:D584"/>
    <mergeCell ref="C585:D585"/>
    <mergeCell ref="C586:D586"/>
    <mergeCell ref="C587:D587"/>
    <mergeCell ref="C588:D588"/>
    <mergeCell ref="C589:D589"/>
    <mergeCell ref="C610:E610"/>
    <mergeCell ref="C611:D611"/>
    <mergeCell ref="C612:D612"/>
    <mergeCell ref="F606:F609"/>
    <mergeCell ref="M606:M609"/>
    <mergeCell ref="L606:L609"/>
    <mergeCell ref="K606:K609"/>
    <mergeCell ref="J606:J609"/>
    <mergeCell ref="I606:I609"/>
    <mergeCell ref="H606:H609"/>
    <mergeCell ref="G606:G609"/>
    <mergeCell ref="C608:D608"/>
    <mergeCell ref="C609:D609"/>
    <mergeCell ref="E606:E609"/>
    <mergeCell ref="C607:D607"/>
    <mergeCell ref="C606:D606"/>
    <mergeCell ref="C604:D604"/>
    <mergeCell ref="C628:D628"/>
    <mergeCell ref="C629:D629"/>
    <mergeCell ref="C630:D630"/>
    <mergeCell ref="C631:D631"/>
    <mergeCell ref="C632:D632"/>
    <mergeCell ref="C633:D633"/>
    <mergeCell ref="C623:D623"/>
    <mergeCell ref="C624:D624"/>
    <mergeCell ref="C625:D625"/>
    <mergeCell ref="C626:D626"/>
    <mergeCell ref="E624:E626"/>
    <mergeCell ref="C627:D627"/>
    <mergeCell ref="C621:D621"/>
    <mergeCell ref="C622:D622"/>
    <mergeCell ref="C613:D613"/>
    <mergeCell ref="C614:D614"/>
    <mergeCell ref="C615:D615"/>
    <mergeCell ref="C616:D616"/>
    <mergeCell ref="C617:D617"/>
    <mergeCell ref="C618:D618"/>
    <mergeCell ref="C619:D619"/>
    <mergeCell ref="C620:D620"/>
    <mergeCell ref="F645:F647"/>
    <mergeCell ref="G645:I647"/>
    <mergeCell ref="J645:K645"/>
    <mergeCell ref="L645:M645"/>
    <mergeCell ref="J646:K646"/>
    <mergeCell ref="L646:M646"/>
    <mergeCell ref="J647:K647"/>
    <mergeCell ref="L647:M647"/>
    <mergeCell ref="F642:F644"/>
    <mergeCell ref="G642:I644"/>
    <mergeCell ref="J642:K642"/>
    <mergeCell ref="L642:M642"/>
    <mergeCell ref="J643:K643"/>
    <mergeCell ref="L643:M643"/>
    <mergeCell ref="J644:K644"/>
    <mergeCell ref="L644:M644"/>
    <mergeCell ref="C634:D634"/>
    <mergeCell ref="F636:F638"/>
    <mergeCell ref="G636:I638"/>
    <mergeCell ref="J636:K636"/>
    <mergeCell ref="L636:M636"/>
    <mergeCell ref="J637:K637"/>
    <mergeCell ref="L637:M637"/>
    <mergeCell ref="J638:K638"/>
    <mergeCell ref="L638:M638"/>
    <mergeCell ref="B639:D641"/>
    <mergeCell ref="F654:I656"/>
    <mergeCell ref="J654:K654"/>
    <mergeCell ref="L654:M654"/>
    <mergeCell ref="J655:K655"/>
    <mergeCell ref="L655:M655"/>
    <mergeCell ref="J656:K656"/>
    <mergeCell ref="L656:M656"/>
    <mergeCell ref="F651:F653"/>
    <mergeCell ref="G651:I653"/>
    <mergeCell ref="J651:K651"/>
    <mergeCell ref="L651:M651"/>
    <mergeCell ref="J652:K652"/>
    <mergeCell ref="L652:M652"/>
    <mergeCell ref="J653:K653"/>
    <mergeCell ref="L653:M653"/>
    <mergeCell ref="F648:F650"/>
    <mergeCell ref="G648:I650"/>
    <mergeCell ref="J648:K648"/>
    <mergeCell ref="L648:M648"/>
    <mergeCell ref="J649:K649"/>
    <mergeCell ref="L649:M649"/>
    <mergeCell ref="J650:K650"/>
    <mergeCell ref="L650:M650"/>
  </mergeCells>
  <phoneticPr fontId="14" type="noConversion"/>
  <pageMargins left="0.70866141732283472" right="0.70866141732283472" top="0.74803149606299213" bottom="0.74803149606299213" header="0.31496062992125984" footer="0.31496062992125984"/>
  <pageSetup paperSize="8" scale="45" fitToWidth="9" fitToHeight="9" orientation="portrait" r:id="rId1"/>
  <rowBreaks count="9" manualBreakCount="9">
    <brk id="70" max="12" man="1"/>
    <brk id="151" max="12" man="1"/>
    <brk id="220" max="12" man="1"/>
    <brk id="286" max="12" man="1"/>
    <brk id="358" max="12" man="1"/>
    <brk id="429" max="12" man="1"/>
    <brk id="497" max="12" man="1"/>
    <brk id="575" max="12" man="1"/>
    <brk id="634" max="1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F1593-C952-4427-BA4E-C804F04C9590}">
  <dimension ref="A1:AU715"/>
  <sheetViews>
    <sheetView view="pageBreakPreview" topLeftCell="F3" zoomScale="55" zoomScaleNormal="70" zoomScaleSheetLayoutView="55" workbookViewId="0">
      <selection activeCell="AR21" sqref="AR21"/>
    </sheetView>
  </sheetViews>
  <sheetFormatPr defaultRowHeight="12.75" outlineLevelCol="1" x14ac:dyDescent="0.25"/>
  <cols>
    <col min="1" max="1" width="14.85546875" style="88" customWidth="1"/>
    <col min="2" max="2" width="9.7109375" style="88" customWidth="1"/>
    <col min="3" max="3" width="45.85546875" style="88" customWidth="1"/>
    <col min="4" max="4" width="11.85546875" style="88" customWidth="1"/>
    <col min="5" max="5" width="33.28515625" style="88" customWidth="1"/>
    <col min="6" max="6" width="28.140625" style="88" customWidth="1"/>
    <col min="7" max="7" width="16.7109375" style="88" customWidth="1"/>
    <col min="8" max="8" width="16.7109375" style="52" customWidth="1"/>
    <col min="9" max="9" width="11.85546875" style="88" bestFit="1" customWidth="1"/>
    <col min="10" max="12" width="14.28515625" style="88" customWidth="1" outlineLevel="1"/>
    <col min="13" max="14" width="16.42578125" style="88" customWidth="1" outlineLevel="1"/>
    <col min="15" max="40" width="8.5703125" style="88" customWidth="1" outlineLevel="1"/>
    <col min="41" max="41" width="14.28515625" style="52" bestFit="1" customWidth="1"/>
    <col min="42" max="42" width="18.5703125" style="52" customWidth="1"/>
    <col min="43" max="43" width="24.28515625" style="52" customWidth="1" collapsed="1"/>
    <col min="44" max="44" width="18.5703125" style="52" customWidth="1"/>
    <col min="45" max="45" width="24.28515625" style="52" customWidth="1" collapsed="1"/>
    <col min="46" max="46" width="18.5703125" style="52" customWidth="1"/>
    <col min="47" max="47" width="24.28515625" style="52" customWidth="1"/>
    <col min="48" max="261" width="9.140625" style="88"/>
    <col min="262" max="263" width="54" style="88" customWidth="1"/>
    <col min="264" max="264" width="16.7109375" style="88" customWidth="1"/>
    <col min="265" max="265" width="11.85546875" style="88" bestFit="1" customWidth="1"/>
    <col min="266" max="266" width="9.85546875" style="88" bestFit="1" customWidth="1"/>
    <col min="267" max="267" width="10.5703125" style="88" bestFit="1" customWidth="1"/>
    <col min="268" max="270" width="13.42578125" style="88" customWidth="1"/>
    <col min="271" max="271" width="19.140625" style="88" customWidth="1"/>
    <col min="272" max="272" width="13.42578125" style="88" customWidth="1"/>
    <col min="273" max="273" width="19.85546875" style="88" customWidth="1"/>
    <col min="274" max="274" width="16" style="88" customWidth="1"/>
    <col min="275" max="275" width="24.28515625" style="88" customWidth="1"/>
    <col min="276" max="281" width="10.85546875" style="88" customWidth="1"/>
    <col min="282" max="282" width="16.28515625" style="88" bestFit="1" customWidth="1"/>
    <col min="283" max="283" width="12.140625" style="88" bestFit="1" customWidth="1"/>
    <col min="284" max="286" width="10.85546875" style="88" customWidth="1"/>
    <col min="287" max="287" width="9.28515625" style="88" bestFit="1" customWidth="1"/>
    <col min="288" max="517" width="9.140625" style="88"/>
    <col min="518" max="519" width="54" style="88" customWidth="1"/>
    <col min="520" max="520" width="16.7109375" style="88" customWidth="1"/>
    <col min="521" max="521" width="11.85546875" style="88" bestFit="1" customWidth="1"/>
    <col min="522" max="522" width="9.85546875" style="88" bestFit="1" customWidth="1"/>
    <col min="523" max="523" width="10.5703125" style="88" bestFit="1" customWidth="1"/>
    <col min="524" max="526" width="13.42578125" style="88" customWidth="1"/>
    <col min="527" max="527" width="19.140625" style="88" customWidth="1"/>
    <col min="528" max="528" width="13.42578125" style="88" customWidth="1"/>
    <col min="529" max="529" width="19.85546875" style="88" customWidth="1"/>
    <col min="530" max="530" width="16" style="88" customWidth="1"/>
    <col min="531" max="531" width="24.28515625" style="88" customWidth="1"/>
    <col min="532" max="537" width="10.85546875" style="88" customWidth="1"/>
    <col min="538" max="538" width="16.28515625" style="88" bestFit="1" customWidth="1"/>
    <col min="539" max="539" width="12.140625" style="88" bestFit="1" customWidth="1"/>
    <col min="540" max="542" width="10.85546875" style="88" customWidth="1"/>
    <col min="543" max="543" width="9.28515625" style="88" bestFit="1" customWidth="1"/>
    <col min="544" max="773" width="9.140625" style="88"/>
    <col min="774" max="775" width="54" style="88" customWidth="1"/>
    <col min="776" max="776" width="16.7109375" style="88" customWidth="1"/>
    <col min="777" max="777" width="11.85546875" style="88" bestFit="1" customWidth="1"/>
    <col min="778" max="778" width="9.85546875" style="88" bestFit="1" customWidth="1"/>
    <col min="779" max="779" width="10.5703125" style="88" bestFit="1" customWidth="1"/>
    <col min="780" max="782" width="13.42578125" style="88" customWidth="1"/>
    <col min="783" max="783" width="19.140625" style="88" customWidth="1"/>
    <col min="784" max="784" width="13.42578125" style="88" customWidth="1"/>
    <col min="785" max="785" width="19.85546875" style="88" customWidth="1"/>
    <col min="786" max="786" width="16" style="88" customWidth="1"/>
    <col min="787" max="787" width="24.28515625" style="88" customWidth="1"/>
    <col min="788" max="793" width="10.85546875" style="88" customWidth="1"/>
    <col min="794" max="794" width="16.28515625" style="88" bestFit="1" customWidth="1"/>
    <col min="795" max="795" width="12.140625" style="88" bestFit="1" customWidth="1"/>
    <col min="796" max="798" width="10.85546875" style="88" customWidth="1"/>
    <col min="799" max="799" width="9.28515625" style="88" bestFit="1" customWidth="1"/>
    <col min="800" max="1029" width="9.140625" style="88"/>
    <col min="1030" max="1031" width="54" style="88" customWidth="1"/>
    <col min="1032" max="1032" width="16.7109375" style="88" customWidth="1"/>
    <col min="1033" max="1033" width="11.85546875" style="88" bestFit="1" customWidth="1"/>
    <col min="1034" max="1034" width="9.85546875" style="88" bestFit="1" customWidth="1"/>
    <col min="1035" max="1035" width="10.5703125" style="88" bestFit="1" customWidth="1"/>
    <col min="1036" max="1038" width="13.42578125" style="88" customWidth="1"/>
    <col min="1039" max="1039" width="19.140625" style="88" customWidth="1"/>
    <col min="1040" max="1040" width="13.42578125" style="88" customWidth="1"/>
    <col min="1041" max="1041" width="19.85546875" style="88" customWidth="1"/>
    <col min="1042" max="1042" width="16" style="88" customWidth="1"/>
    <col min="1043" max="1043" width="24.28515625" style="88" customWidth="1"/>
    <col min="1044" max="1049" width="10.85546875" style="88" customWidth="1"/>
    <col min="1050" max="1050" width="16.28515625" style="88" bestFit="1" customWidth="1"/>
    <col min="1051" max="1051" width="12.140625" style="88" bestFit="1" customWidth="1"/>
    <col min="1052" max="1054" width="10.85546875" style="88" customWidth="1"/>
    <col min="1055" max="1055" width="9.28515625" style="88" bestFit="1" customWidth="1"/>
    <col min="1056" max="1285" width="9.140625" style="88"/>
    <col min="1286" max="1287" width="54" style="88" customWidth="1"/>
    <col min="1288" max="1288" width="16.7109375" style="88" customWidth="1"/>
    <col min="1289" max="1289" width="11.85546875" style="88" bestFit="1" customWidth="1"/>
    <col min="1290" max="1290" width="9.85546875" style="88" bestFit="1" customWidth="1"/>
    <col min="1291" max="1291" width="10.5703125" style="88" bestFit="1" customWidth="1"/>
    <col min="1292" max="1294" width="13.42578125" style="88" customWidth="1"/>
    <col min="1295" max="1295" width="19.140625" style="88" customWidth="1"/>
    <col min="1296" max="1296" width="13.42578125" style="88" customWidth="1"/>
    <col min="1297" max="1297" width="19.85546875" style="88" customWidth="1"/>
    <col min="1298" max="1298" width="16" style="88" customWidth="1"/>
    <col min="1299" max="1299" width="24.28515625" style="88" customWidth="1"/>
    <col min="1300" max="1305" width="10.85546875" style="88" customWidth="1"/>
    <col min="1306" max="1306" width="16.28515625" style="88" bestFit="1" customWidth="1"/>
    <col min="1307" max="1307" width="12.140625" style="88" bestFit="1" customWidth="1"/>
    <col min="1308" max="1310" width="10.85546875" style="88" customWidth="1"/>
    <col min="1311" max="1311" width="9.28515625" style="88" bestFit="1" customWidth="1"/>
    <col min="1312" max="1541" width="9.140625" style="88"/>
    <col min="1542" max="1543" width="54" style="88" customWidth="1"/>
    <col min="1544" max="1544" width="16.7109375" style="88" customWidth="1"/>
    <col min="1545" max="1545" width="11.85546875" style="88" bestFit="1" customWidth="1"/>
    <col min="1546" max="1546" width="9.85546875" style="88" bestFit="1" customWidth="1"/>
    <col min="1547" max="1547" width="10.5703125" style="88" bestFit="1" customWidth="1"/>
    <col min="1548" max="1550" width="13.42578125" style="88" customWidth="1"/>
    <col min="1551" max="1551" width="19.140625" style="88" customWidth="1"/>
    <col min="1552" max="1552" width="13.42578125" style="88" customWidth="1"/>
    <col min="1553" max="1553" width="19.85546875" style="88" customWidth="1"/>
    <col min="1554" max="1554" width="16" style="88" customWidth="1"/>
    <col min="1555" max="1555" width="24.28515625" style="88" customWidth="1"/>
    <col min="1556" max="1561" width="10.85546875" style="88" customWidth="1"/>
    <col min="1562" max="1562" width="16.28515625" style="88" bestFit="1" customWidth="1"/>
    <col min="1563" max="1563" width="12.140625" style="88" bestFit="1" customWidth="1"/>
    <col min="1564" max="1566" width="10.85546875" style="88" customWidth="1"/>
    <col min="1567" max="1567" width="9.28515625" style="88" bestFit="1" customWidth="1"/>
    <col min="1568" max="1797" width="9.140625" style="88"/>
    <col min="1798" max="1799" width="54" style="88" customWidth="1"/>
    <col min="1800" max="1800" width="16.7109375" style="88" customWidth="1"/>
    <col min="1801" max="1801" width="11.85546875" style="88" bestFit="1" customWidth="1"/>
    <col min="1802" max="1802" width="9.85546875" style="88" bestFit="1" customWidth="1"/>
    <col min="1803" max="1803" width="10.5703125" style="88" bestFit="1" customWidth="1"/>
    <col min="1804" max="1806" width="13.42578125" style="88" customWidth="1"/>
    <col min="1807" max="1807" width="19.140625" style="88" customWidth="1"/>
    <col min="1808" max="1808" width="13.42578125" style="88" customWidth="1"/>
    <col min="1809" max="1809" width="19.85546875" style="88" customWidth="1"/>
    <col min="1810" max="1810" width="16" style="88" customWidth="1"/>
    <col min="1811" max="1811" width="24.28515625" style="88" customWidth="1"/>
    <col min="1812" max="1817" width="10.85546875" style="88" customWidth="1"/>
    <col min="1818" max="1818" width="16.28515625" style="88" bestFit="1" customWidth="1"/>
    <col min="1819" max="1819" width="12.140625" style="88" bestFit="1" customWidth="1"/>
    <col min="1820" max="1822" width="10.85546875" style="88" customWidth="1"/>
    <col min="1823" max="1823" width="9.28515625" style="88" bestFit="1" customWidth="1"/>
    <col min="1824" max="2053" width="9.140625" style="88"/>
    <col min="2054" max="2055" width="54" style="88" customWidth="1"/>
    <col min="2056" max="2056" width="16.7109375" style="88" customWidth="1"/>
    <col min="2057" max="2057" width="11.85546875" style="88" bestFit="1" customWidth="1"/>
    <col min="2058" max="2058" width="9.85546875" style="88" bestFit="1" customWidth="1"/>
    <col min="2059" max="2059" width="10.5703125" style="88" bestFit="1" customWidth="1"/>
    <col min="2060" max="2062" width="13.42578125" style="88" customWidth="1"/>
    <col min="2063" max="2063" width="19.140625" style="88" customWidth="1"/>
    <col min="2064" max="2064" width="13.42578125" style="88" customWidth="1"/>
    <col min="2065" max="2065" width="19.85546875" style="88" customWidth="1"/>
    <col min="2066" max="2066" width="16" style="88" customWidth="1"/>
    <col min="2067" max="2067" width="24.28515625" style="88" customWidth="1"/>
    <col min="2068" max="2073" width="10.85546875" style="88" customWidth="1"/>
    <col min="2074" max="2074" width="16.28515625" style="88" bestFit="1" customWidth="1"/>
    <col min="2075" max="2075" width="12.140625" style="88" bestFit="1" customWidth="1"/>
    <col min="2076" max="2078" width="10.85546875" style="88" customWidth="1"/>
    <col min="2079" max="2079" width="9.28515625" style="88" bestFit="1" customWidth="1"/>
    <col min="2080" max="2309" width="9.140625" style="88"/>
    <col min="2310" max="2311" width="54" style="88" customWidth="1"/>
    <col min="2312" max="2312" width="16.7109375" style="88" customWidth="1"/>
    <col min="2313" max="2313" width="11.85546875" style="88" bestFit="1" customWidth="1"/>
    <col min="2314" max="2314" width="9.85546875" style="88" bestFit="1" customWidth="1"/>
    <col min="2315" max="2315" width="10.5703125" style="88" bestFit="1" customWidth="1"/>
    <col min="2316" max="2318" width="13.42578125" style="88" customWidth="1"/>
    <col min="2319" max="2319" width="19.140625" style="88" customWidth="1"/>
    <col min="2320" max="2320" width="13.42578125" style="88" customWidth="1"/>
    <col min="2321" max="2321" width="19.85546875" style="88" customWidth="1"/>
    <col min="2322" max="2322" width="16" style="88" customWidth="1"/>
    <col min="2323" max="2323" width="24.28515625" style="88" customWidth="1"/>
    <col min="2324" max="2329" width="10.85546875" style="88" customWidth="1"/>
    <col min="2330" max="2330" width="16.28515625" style="88" bestFit="1" customWidth="1"/>
    <col min="2331" max="2331" width="12.140625" style="88" bestFit="1" customWidth="1"/>
    <col min="2332" max="2334" width="10.85546875" style="88" customWidth="1"/>
    <col min="2335" max="2335" width="9.28515625" style="88" bestFit="1" customWidth="1"/>
    <col min="2336" max="2565" width="9.140625" style="88"/>
    <col min="2566" max="2567" width="54" style="88" customWidth="1"/>
    <col min="2568" max="2568" width="16.7109375" style="88" customWidth="1"/>
    <col min="2569" max="2569" width="11.85546875" style="88" bestFit="1" customWidth="1"/>
    <col min="2570" max="2570" width="9.85546875" style="88" bestFit="1" customWidth="1"/>
    <col min="2571" max="2571" width="10.5703125" style="88" bestFit="1" customWidth="1"/>
    <col min="2572" max="2574" width="13.42578125" style="88" customWidth="1"/>
    <col min="2575" max="2575" width="19.140625" style="88" customWidth="1"/>
    <col min="2576" max="2576" width="13.42578125" style="88" customWidth="1"/>
    <col min="2577" max="2577" width="19.85546875" style="88" customWidth="1"/>
    <col min="2578" max="2578" width="16" style="88" customWidth="1"/>
    <col min="2579" max="2579" width="24.28515625" style="88" customWidth="1"/>
    <col min="2580" max="2585" width="10.85546875" style="88" customWidth="1"/>
    <col min="2586" max="2586" width="16.28515625" style="88" bestFit="1" customWidth="1"/>
    <col min="2587" max="2587" width="12.140625" style="88" bestFit="1" customWidth="1"/>
    <col min="2588" max="2590" width="10.85546875" style="88" customWidth="1"/>
    <col min="2591" max="2591" width="9.28515625" style="88" bestFit="1" customWidth="1"/>
    <col min="2592" max="2821" width="9.140625" style="88"/>
    <col min="2822" max="2823" width="54" style="88" customWidth="1"/>
    <col min="2824" max="2824" width="16.7109375" style="88" customWidth="1"/>
    <col min="2825" max="2825" width="11.85546875" style="88" bestFit="1" customWidth="1"/>
    <col min="2826" max="2826" width="9.85546875" style="88" bestFit="1" customWidth="1"/>
    <col min="2827" max="2827" width="10.5703125" style="88" bestFit="1" customWidth="1"/>
    <col min="2828" max="2830" width="13.42578125" style="88" customWidth="1"/>
    <col min="2831" max="2831" width="19.140625" style="88" customWidth="1"/>
    <col min="2832" max="2832" width="13.42578125" style="88" customWidth="1"/>
    <col min="2833" max="2833" width="19.85546875" style="88" customWidth="1"/>
    <col min="2834" max="2834" width="16" style="88" customWidth="1"/>
    <col min="2835" max="2835" width="24.28515625" style="88" customWidth="1"/>
    <col min="2836" max="2841" width="10.85546875" style="88" customWidth="1"/>
    <col min="2842" max="2842" width="16.28515625" style="88" bestFit="1" customWidth="1"/>
    <col min="2843" max="2843" width="12.140625" style="88" bestFit="1" customWidth="1"/>
    <col min="2844" max="2846" width="10.85546875" style="88" customWidth="1"/>
    <col min="2847" max="2847" width="9.28515625" style="88" bestFit="1" customWidth="1"/>
    <col min="2848" max="3077" width="9.140625" style="88"/>
    <col min="3078" max="3079" width="54" style="88" customWidth="1"/>
    <col min="3080" max="3080" width="16.7109375" style="88" customWidth="1"/>
    <col min="3081" max="3081" width="11.85546875" style="88" bestFit="1" customWidth="1"/>
    <col min="3082" max="3082" width="9.85546875" style="88" bestFit="1" customWidth="1"/>
    <col min="3083" max="3083" width="10.5703125" style="88" bestFit="1" customWidth="1"/>
    <col min="3084" max="3086" width="13.42578125" style="88" customWidth="1"/>
    <col min="3087" max="3087" width="19.140625" style="88" customWidth="1"/>
    <col min="3088" max="3088" width="13.42578125" style="88" customWidth="1"/>
    <col min="3089" max="3089" width="19.85546875" style="88" customWidth="1"/>
    <col min="3090" max="3090" width="16" style="88" customWidth="1"/>
    <col min="3091" max="3091" width="24.28515625" style="88" customWidth="1"/>
    <col min="3092" max="3097" width="10.85546875" style="88" customWidth="1"/>
    <col min="3098" max="3098" width="16.28515625" style="88" bestFit="1" customWidth="1"/>
    <col min="3099" max="3099" width="12.140625" style="88" bestFit="1" customWidth="1"/>
    <col min="3100" max="3102" width="10.85546875" style="88" customWidth="1"/>
    <col min="3103" max="3103" width="9.28515625" style="88" bestFit="1" customWidth="1"/>
    <col min="3104" max="3333" width="9.140625" style="88"/>
    <col min="3334" max="3335" width="54" style="88" customWidth="1"/>
    <col min="3336" max="3336" width="16.7109375" style="88" customWidth="1"/>
    <col min="3337" max="3337" width="11.85546875" style="88" bestFit="1" customWidth="1"/>
    <col min="3338" max="3338" width="9.85546875" style="88" bestFit="1" customWidth="1"/>
    <col min="3339" max="3339" width="10.5703125" style="88" bestFit="1" customWidth="1"/>
    <col min="3340" max="3342" width="13.42578125" style="88" customWidth="1"/>
    <col min="3343" max="3343" width="19.140625" style="88" customWidth="1"/>
    <col min="3344" max="3344" width="13.42578125" style="88" customWidth="1"/>
    <col min="3345" max="3345" width="19.85546875" style="88" customWidth="1"/>
    <col min="3346" max="3346" width="16" style="88" customWidth="1"/>
    <col min="3347" max="3347" width="24.28515625" style="88" customWidth="1"/>
    <col min="3348" max="3353" width="10.85546875" style="88" customWidth="1"/>
    <col min="3354" max="3354" width="16.28515625" style="88" bestFit="1" customWidth="1"/>
    <col min="3355" max="3355" width="12.140625" style="88" bestFit="1" customWidth="1"/>
    <col min="3356" max="3358" width="10.85546875" style="88" customWidth="1"/>
    <col min="3359" max="3359" width="9.28515625" style="88" bestFit="1" customWidth="1"/>
    <col min="3360" max="3589" width="9.140625" style="88"/>
    <col min="3590" max="3591" width="54" style="88" customWidth="1"/>
    <col min="3592" max="3592" width="16.7109375" style="88" customWidth="1"/>
    <col min="3593" max="3593" width="11.85546875" style="88" bestFit="1" customWidth="1"/>
    <col min="3594" max="3594" width="9.85546875" style="88" bestFit="1" customWidth="1"/>
    <col min="3595" max="3595" width="10.5703125" style="88" bestFit="1" customWidth="1"/>
    <col min="3596" max="3598" width="13.42578125" style="88" customWidth="1"/>
    <col min="3599" max="3599" width="19.140625" style="88" customWidth="1"/>
    <col min="3600" max="3600" width="13.42578125" style="88" customWidth="1"/>
    <col min="3601" max="3601" width="19.85546875" style="88" customWidth="1"/>
    <col min="3602" max="3602" width="16" style="88" customWidth="1"/>
    <col min="3603" max="3603" width="24.28515625" style="88" customWidth="1"/>
    <col min="3604" max="3609" width="10.85546875" style="88" customWidth="1"/>
    <col min="3610" max="3610" width="16.28515625" style="88" bestFit="1" customWidth="1"/>
    <col min="3611" max="3611" width="12.140625" style="88" bestFit="1" customWidth="1"/>
    <col min="3612" max="3614" width="10.85546875" style="88" customWidth="1"/>
    <col min="3615" max="3615" width="9.28515625" style="88" bestFit="1" customWidth="1"/>
    <col min="3616" max="3845" width="9.140625" style="88"/>
    <col min="3846" max="3847" width="54" style="88" customWidth="1"/>
    <col min="3848" max="3848" width="16.7109375" style="88" customWidth="1"/>
    <col min="3849" max="3849" width="11.85546875" style="88" bestFit="1" customWidth="1"/>
    <col min="3850" max="3850" width="9.85546875" style="88" bestFit="1" customWidth="1"/>
    <col min="3851" max="3851" width="10.5703125" style="88" bestFit="1" customWidth="1"/>
    <col min="3852" max="3854" width="13.42578125" style="88" customWidth="1"/>
    <col min="3855" max="3855" width="19.140625" style="88" customWidth="1"/>
    <col min="3856" max="3856" width="13.42578125" style="88" customWidth="1"/>
    <col min="3857" max="3857" width="19.85546875" style="88" customWidth="1"/>
    <col min="3858" max="3858" width="16" style="88" customWidth="1"/>
    <col min="3859" max="3859" width="24.28515625" style="88" customWidth="1"/>
    <col min="3860" max="3865" width="10.85546875" style="88" customWidth="1"/>
    <col min="3866" max="3866" width="16.28515625" style="88" bestFit="1" customWidth="1"/>
    <col min="3867" max="3867" width="12.140625" style="88" bestFit="1" customWidth="1"/>
    <col min="3868" max="3870" width="10.85546875" style="88" customWidth="1"/>
    <col min="3871" max="3871" width="9.28515625" style="88" bestFit="1" customWidth="1"/>
    <col min="3872" max="4101" width="9.140625" style="88"/>
    <col min="4102" max="4103" width="54" style="88" customWidth="1"/>
    <col min="4104" max="4104" width="16.7109375" style="88" customWidth="1"/>
    <col min="4105" max="4105" width="11.85546875" style="88" bestFit="1" customWidth="1"/>
    <col min="4106" max="4106" width="9.85546875" style="88" bestFit="1" customWidth="1"/>
    <col min="4107" max="4107" width="10.5703125" style="88" bestFit="1" customWidth="1"/>
    <col min="4108" max="4110" width="13.42578125" style="88" customWidth="1"/>
    <col min="4111" max="4111" width="19.140625" style="88" customWidth="1"/>
    <col min="4112" max="4112" width="13.42578125" style="88" customWidth="1"/>
    <col min="4113" max="4113" width="19.85546875" style="88" customWidth="1"/>
    <col min="4114" max="4114" width="16" style="88" customWidth="1"/>
    <col min="4115" max="4115" width="24.28515625" style="88" customWidth="1"/>
    <col min="4116" max="4121" width="10.85546875" style="88" customWidth="1"/>
    <col min="4122" max="4122" width="16.28515625" style="88" bestFit="1" customWidth="1"/>
    <col min="4123" max="4123" width="12.140625" style="88" bestFit="1" customWidth="1"/>
    <col min="4124" max="4126" width="10.85546875" style="88" customWidth="1"/>
    <col min="4127" max="4127" width="9.28515625" style="88" bestFit="1" customWidth="1"/>
    <col min="4128" max="4357" width="9.140625" style="88"/>
    <col min="4358" max="4359" width="54" style="88" customWidth="1"/>
    <col min="4360" max="4360" width="16.7109375" style="88" customWidth="1"/>
    <col min="4361" max="4361" width="11.85546875" style="88" bestFit="1" customWidth="1"/>
    <col min="4362" max="4362" width="9.85546875" style="88" bestFit="1" customWidth="1"/>
    <col min="4363" max="4363" width="10.5703125" style="88" bestFit="1" customWidth="1"/>
    <col min="4364" max="4366" width="13.42578125" style="88" customWidth="1"/>
    <col min="4367" max="4367" width="19.140625" style="88" customWidth="1"/>
    <col min="4368" max="4368" width="13.42578125" style="88" customWidth="1"/>
    <col min="4369" max="4369" width="19.85546875" style="88" customWidth="1"/>
    <col min="4370" max="4370" width="16" style="88" customWidth="1"/>
    <col min="4371" max="4371" width="24.28515625" style="88" customWidth="1"/>
    <col min="4372" max="4377" width="10.85546875" style="88" customWidth="1"/>
    <col min="4378" max="4378" width="16.28515625" style="88" bestFit="1" customWidth="1"/>
    <col min="4379" max="4379" width="12.140625" style="88" bestFit="1" customWidth="1"/>
    <col min="4380" max="4382" width="10.85546875" style="88" customWidth="1"/>
    <col min="4383" max="4383" width="9.28515625" style="88" bestFit="1" customWidth="1"/>
    <col min="4384" max="4613" width="9.140625" style="88"/>
    <col min="4614" max="4615" width="54" style="88" customWidth="1"/>
    <col min="4616" max="4616" width="16.7109375" style="88" customWidth="1"/>
    <col min="4617" max="4617" width="11.85546875" style="88" bestFit="1" customWidth="1"/>
    <col min="4618" max="4618" width="9.85546875" style="88" bestFit="1" customWidth="1"/>
    <col min="4619" max="4619" width="10.5703125" style="88" bestFit="1" customWidth="1"/>
    <col min="4620" max="4622" width="13.42578125" style="88" customWidth="1"/>
    <col min="4623" max="4623" width="19.140625" style="88" customWidth="1"/>
    <col min="4624" max="4624" width="13.42578125" style="88" customWidth="1"/>
    <col min="4625" max="4625" width="19.85546875" style="88" customWidth="1"/>
    <col min="4626" max="4626" width="16" style="88" customWidth="1"/>
    <col min="4627" max="4627" width="24.28515625" style="88" customWidth="1"/>
    <col min="4628" max="4633" width="10.85546875" style="88" customWidth="1"/>
    <col min="4634" max="4634" width="16.28515625" style="88" bestFit="1" customWidth="1"/>
    <col min="4635" max="4635" width="12.140625" style="88" bestFit="1" customWidth="1"/>
    <col min="4636" max="4638" width="10.85546875" style="88" customWidth="1"/>
    <col min="4639" max="4639" width="9.28515625" style="88" bestFit="1" customWidth="1"/>
    <col min="4640" max="4869" width="9.140625" style="88"/>
    <col min="4870" max="4871" width="54" style="88" customWidth="1"/>
    <col min="4872" max="4872" width="16.7109375" style="88" customWidth="1"/>
    <col min="4873" max="4873" width="11.85546875" style="88" bestFit="1" customWidth="1"/>
    <col min="4874" max="4874" width="9.85546875" style="88" bestFit="1" customWidth="1"/>
    <col min="4875" max="4875" width="10.5703125" style="88" bestFit="1" customWidth="1"/>
    <col min="4876" max="4878" width="13.42578125" style="88" customWidth="1"/>
    <col min="4879" max="4879" width="19.140625" style="88" customWidth="1"/>
    <col min="4880" max="4880" width="13.42578125" style="88" customWidth="1"/>
    <col min="4881" max="4881" width="19.85546875" style="88" customWidth="1"/>
    <col min="4882" max="4882" width="16" style="88" customWidth="1"/>
    <col min="4883" max="4883" width="24.28515625" style="88" customWidth="1"/>
    <col min="4884" max="4889" width="10.85546875" style="88" customWidth="1"/>
    <col min="4890" max="4890" width="16.28515625" style="88" bestFit="1" customWidth="1"/>
    <col min="4891" max="4891" width="12.140625" style="88" bestFit="1" customWidth="1"/>
    <col min="4892" max="4894" width="10.85546875" style="88" customWidth="1"/>
    <col min="4895" max="4895" width="9.28515625" style="88" bestFit="1" customWidth="1"/>
    <col min="4896" max="5125" width="9.140625" style="88"/>
    <col min="5126" max="5127" width="54" style="88" customWidth="1"/>
    <col min="5128" max="5128" width="16.7109375" style="88" customWidth="1"/>
    <col min="5129" max="5129" width="11.85546875" style="88" bestFit="1" customWidth="1"/>
    <col min="5130" max="5130" width="9.85546875" style="88" bestFit="1" customWidth="1"/>
    <col min="5131" max="5131" width="10.5703125" style="88" bestFit="1" customWidth="1"/>
    <col min="5132" max="5134" width="13.42578125" style="88" customWidth="1"/>
    <col min="5135" max="5135" width="19.140625" style="88" customWidth="1"/>
    <col min="5136" max="5136" width="13.42578125" style="88" customWidth="1"/>
    <col min="5137" max="5137" width="19.85546875" style="88" customWidth="1"/>
    <col min="5138" max="5138" width="16" style="88" customWidth="1"/>
    <col min="5139" max="5139" width="24.28515625" style="88" customWidth="1"/>
    <col min="5140" max="5145" width="10.85546875" style="88" customWidth="1"/>
    <col min="5146" max="5146" width="16.28515625" style="88" bestFit="1" customWidth="1"/>
    <col min="5147" max="5147" width="12.140625" style="88" bestFit="1" customWidth="1"/>
    <col min="5148" max="5150" width="10.85546875" style="88" customWidth="1"/>
    <col min="5151" max="5151" width="9.28515625" style="88" bestFit="1" customWidth="1"/>
    <col min="5152" max="5381" width="9.140625" style="88"/>
    <col min="5382" max="5383" width="54" style="88" customWidth="1"/>
    <col min="5384" max="5384" width="16.7109375" style="88" customWidth="1"/>
    <col min="5385" max="5385" width="11.85546875" style="88" bestFit="1" customWidth="1"/>
    <col min="5386" max="5386" width="9.85546875" style="88" bestFit="1" customWidth="1"/>
    <col min="5387" max="5387" width="10.5703125" style="88" bestFit="1" customWidth="1"/>
    <col min="5388" max="5390" width="13.42578125" style="88" customWidth="1"/>
    <col min="5391" max="5391" width="19.140625" style="88" customWidth="1"/>
    <col min="5392" max="5392" width="13.42578125" style="88" customWidth="1"/>
    <col min="5393" max="5393" width="19.85546875" style="88" customWidth="1"/>
    <col min="5394" max="5394" width="16" style="88" customWidth="1"/>
    <col min="5395" max="5395" width="24.28515625" style="88" customWidth="1"/>
    <col min="5396" max="5401" width="10.85546875" style="88" customWidth="1"/>
    <col min="5402" max="5402" width="16.28515625" style="88" bestFit="1" customWidth="1"/>
    <col min="5403" max="5403" width="12.140625" style="88" bestFit="1" customWidth="1"/>
    <col min="5404" max="5406" width="10.85546875" style="88" customWidth="1"/>
    <col min="5407" max="5407" width="9.28515625" style="88" bestFit="1" customWidth="1"/>
    <col min="5408" max="5637" width="9.140625" style="88"/>
    <col min="5638" max="5639" width="54" style="88" customWidth="1"/>
    <col min="5640" max="5640" width="16.7109375" style="88" customWidth="1"/>
    <col min="5641" max="5641" width="11.85546875" style="88" bestFit="1" customWidth="1"/>
    <col min="5642" max="5642" width="9.85546875" style="88" bestFit="1" customWidth="1"/>
    <col min="5643" max="5643" width="10.5703125" style="88" bestFit="1" customWidth="1"/>
    <col min="5644" max="5646" width="13.42578125" style="88" customWidth="1"/>
    <col min="5647" max="5647" width="19.140625" style="88" customWidth="1"/>
    <col min="5648" max="5648" width="13.42578125" style="88" customWidth="1"/>
    <col min="5649" max="5649" width="19.85546875" style="88" customWidth="1"/>
    <col min="5650" max="5650" width="16" style="88" customWidth="1"/>
    <col min="5651" max="5651" width="24.28515625" style="88" customWidth="1"/>
    <col min="5652" max="5657" width="10.85546875" style="88" customWidth="1"/>
    <col min="5658" max="5658" width="16.28515625" style="88" bestFit="1" customWidth="1"/>
    <col min="5659" max="5659" width="12.140625" style="88" bestFit="1" customWidth="1"/>
    <col min="5660" max="5662" width="10.85546875" style="88" customWidth="1"/>
    <col min="5663" max="5663" width="9.28515625" style="88" bestFit="1" customWidth="1"/>
    <col min="5664" max="5893" width="9.140625" style="88"/>
    <col min="5894" max="5895" width="54" style="88" customWidth="1"/>
    <col min="5896" max="5896" width="16.7109375" style="88" customWidth="1"/>
    <col min="5897" max="5897" width="11.85546875" style="88" bestFit="1" customWidth="1"/>
    <col min="5898" max="5898" width="9.85546875" style="88" bestFit="1" customWidth="1"/>
    <col min="5899" max="5899" width="10.5703125" style="88" bestFit="1" customWidth="1"/>
    <col min="5900" max="5902" width="13.42578125" style="88" customWidth="1"/>
    <col min="5903" max="5903" width="19.140625" style="88" customWidth="1"/>
    <col min="5904" max="5904" width="13.42578125" style="88" customWidth="1"/>
    <col min="5905" max="5905" width="19.85546875" style="88" customWidth="1"/>
    <col min="5906" max="5906" width="16" style="88" customWidth="1"/>
    <col min="5907" max="5907" width="24.28515625" style="88" customWidth="1"/>
    <col min="5908" max="5913" width="10.85546875" style="88" customWidth="1"/>
    <col min="5914" max="5914" width="16.28515625" style="88" bestFit="1" customWidth="1"/>
    <col min="5915" max="5915" width="12.140625" style="88" bestFit="1" customWidth="1"/>
    <col min="5916" max="5918" width="10.85546875" style="88" customWidth="1"/>
    <col min="5919" max="5919" width="9.28515625" style="88" bestFit="1" customWidth="1"/>
    <col min="5920" max="6149" width="9.140625" style="88"/>
    <col min="6150" max="6151" width="54" style="88" customWidth="1"/>
    <col min="6152" max="6152" width="16.7109375" style="88" customWidth="1"/>
    <col min="6153" max="6153" width="11.85546875" style="88" bestFit="1" customWidth="1"/>
    <col min="6154" max="6154" width="9.85546875" style="88" bestFit="1" customWidth="1"/>
    <col min="6155" max="6155" width="10.5703125" style="88" bestFit="1" customWidth="1"/>
    <col min="6156" max="6158" width="13.42578125" style="88" customWidth="1"/>
    <col min="6159" max="6159" width="19.140625" style="88" customWidth="1"/>
    <col min="6160" max="6160" width="13.42578125" style="88" customWidth="1"/>
    <col min="6161" max="6161" width="19.85546875" style="88" customWidth="1"/>
    <col min="6162" max="6162" width="16" style="88" customWidth="1"/>
    <col min="6163" max="6163" width="24.28515625" style="88" customWidth="1"/>
    <col min="6164" max="6169" width="10.85546875" style="88" customWidth="1"/>
    <col min="6170" max="6170" width="16.28515625" style="88" bestFit="1" customWidth="1"/>
    <col min="6171" max="6171" width="12.140625" style="88" bestFit="1" customWidth="1"/>
    <col min="6172" max="6174" width="10.85546875" style="88" customWidth="1"/>
    <col min="6175" max="6175" width="9.28515625" style="88" bestFit="1" customWidth="1"/>
    <col min="6176" max="6405" width="9.140625" style="88"/>
    <col min="6406" max="6407" width="54" style="88" customWidth="1"/>
    <col min="6408" max="6408" width="16.7109375" style="88" customWidth="1"/>
    <col min="6409" max="6409" width="11.85546875" style="88" bestFit="1" customWidth="1"/>
    <col min="6410" max="6410" width="9.85546875" style="88" bestFit="1" customWidth="1"/>
    <col min="6411" max="6411" width="10.5703125" style="88" bestFit="1" customWidth="1"/>
    <col min="6412" max="6414" width="13.42578125" style="88" customWidth="1"/>
    <col min="6415" max="6415" width="19.140625" style="88" customWidth="1"/>
    <col min="6416" max="6416" width="13.42578125" style="88" customWidth="1"/>
    <col min="6417" max="6417" width="19.85546875" style="88" customWidth="1"/>
    <col min="6418" max="6418" width="16" style="88" customWidth="1"/>
    <col min="6419" max="6419" width="24.28515625" style="88" customWidth="1"/>
    <col min="6420" max="6425" width="10.85546875" style="88" customWidth="1"/>
    <col min="6426" max="6426" width="16.28515625" style="88" bestFit="1" customWidth="1"/>
    <col min="6427" max="6427" width="12.140625" style="88" bestFit="1" customWidth="1"/>
    <col min="6428" max="6430" width="10.85546875" style="88" customWidth="1"/>
    <col min="6431" max="6431" width="9.28515625" style="88" bestFit="1" customWidth="1"/>
    <col min="6432" max="6661" width="9.140625" style="88"/>
    <col min="6662" max="6663" width="54" style="88" customWidth="1"/>
    <col min="6664" max="6664" width="16.7109375" style="88" customWidth="1"/>
    <col min="6665" max="6665" width="11.85546875" style="88" bestFit="1" customWidth="1"/>
    <col min="6666" max="6666" width="9.85546875" style="88" bestFit="1" customWidth="1"/>
    <col min="6667" max="6667" width="10.5703125" style="88" bestFit="1" customWidth="1"/>
    <col min="6668" max="6670" width="13.42578125" style="88" customWidth="1"/>
    <col min="6671" max="6671" width="19.140625" style="88" customWidth="1"/>
    <col min="6672" max="6672" width="13.42578125" style="88" customWidth="1"/>
    <col min="6673" max="6673" width="19.85546875" style="88" customWidth="1"/>
    <col min="6674" max="6674" width="16" style="88" customWidth="1"/>
    <col min="6675" max="6675" width="24.28515625" style="88" customWidth="1"/>
    <col min="6676" max="6681" width="10.85546875" style="88" customWidth="1"/>
    <col min="6682" max="6682" width="16.28515625" style="88" bestFit="1" customWidth="1"/>
    <col min="6683" max="6683" width="12.140625" style="88" bestFit="1" customWidth="1"/>
    <col min="6684" max="6686" width="10.85546875" style="88" customWidth="1"/>
    <col min="6687" max="6687" width="9.28515625" style="88" bestFit="1" customWidth="1"/>
    <col min="6688" max="6917" width="9.140625" style="88"/>
    <col min="6918" max="6919" width="54" style="88" customWidth="1"/>
    <col min="6920" max="6920" width="16.7109375" style="88" customWidth="1"/>
    <col min="6921" max="6921" width="11.85546875" style="88" bestFit="1" customWidth="1"/>
    <col min="6922" max="6922" width="9.85546875" style="88" bestFit="1" customWidth="1"/>
    <col min="6923" max="6923" width="10.5703125" style="88" bestFit="1" customWidth="1"/>
    <col min="6924" max="6926" width="13.42578125" style="88" customWidth="1"/>
    <col min="6927" max="6927" width="19.140625" style="88" customWidth="1"/>
    <col min="6928" max="6928" width="13.42578125" style="88" customWidth="1"/>
    <col min="6929" max="6929" width="19.85546875" style="88" customWidth="1"/>
    <col min="6930" max="6930" width="16" style="88" customWidth="1"/>
    <col min="6931" max="6931" width="24.28515625" style="88" customWidth="1"/>
    <col min="6932" max="6937" width="10.85546875" style="88" customWidth="1"/>
    <col min="6938" max="6938" width="16.28515625" style="88" bestFit="1" customWidth="1"/>
    <col min="6939" max="6939" width="12.140625" style="88" bestFit="1" customWidth="1"/>
    <col min="6940" max="6942" width="10.85546875" style="88" customWidth="1"/>
    <col min="6943" max="6943" width="9.28515625" style="88" bestFit="1" customWidth="1"/>
    <col min="6944" max="7173" width="9.140625" style="88"/>
    <col min="7174" max="7175" width="54" style="88" customWidth="1"/>
    <col min="7176" max="7176" width="16.7109375" style="88" customWidth="1"/>
    <col min="7177" max="7177" width="11.85546875" style="88" bestFit="1" customWidth="1"/>
    <col min="7178" max="7178" width="9.85546875" style="88" bestFit="1" customWidth="1"/>
    <col min="7179" max="7179" width="10.5703125" style="88" bestFit="1" customWidth="1"/>
    <col min="7180" max="7182" width="13.42578125" style="88" customWidth="1"/>
    <col min="7183" max="7183" width="19.140625" style="88" customWidth="1"/>
    <col min="7184" max="7184" width="13.42578125" style="88" customWidth="1"/>
    <col min="7185" max="7185" width="19.85546875" style="88" customWidth="1"/>
    <col min="7186" max="7186" width="16" style="88" customWidth="1"/>
    <col min="7187" max="7187" width="24.28515625" style="88" customWidth="1"/>
    <col min="7188" max="7193" width="10.85546875" style="88" customWidth="1"/>
    <col min="7194" max="7194" width="16.28515625" style="88" bestFit="1" customWidth="1"/>
    <col min="7195" max="7195" width="12.140625" style="88" bestFit="1" customWidth="1"/>
    <col min="7196" max="7198" width="10.85546875" style="88" customWidth="1"/>
    <col min="7199" max="7199" width="9.28515625" style="88" bestFit="1" customWidth="1"/>
    <col min="7200" max="7429" width="9.140625" style="88"/>
    <col min="7430" max="7431" width="54" style="88" customWidth="1"/>
    <col min="7432" max="7432" width="16.7109375" style="88" customWidth="1"/>
    <col min="7433" max="7433" width="11.85546875" style="88" bestFit="1" customWidth="1"/>
    <col min="7434" max="7434" width="9.85546875" style="88" bestFit="1" customWidth="1"/>
    <col min="7435" max="7435" width="10.5703125" style="88" bestFit="1" customWidth="1"/>
    <col min="7436" max="7438" width="13.42578125" style="88" customWidth="1"/>
    <col min="7439" max="7439" width="19.140625" style="88" customWidth="1"/>
    <col min="7440" max="7440" width="13.42578125" style="88" customWidth="1"/>
    <col min="7441" max="7441" width="19.85546875" style="88" customWidth="1"/>
    <col min="7442" max="7442" width="16" style="88" customWidth="1"/>
    <col min="7443" max="7443" width="24.28515625" style="88" customWidth="1"/>
    <col min="7444" max="7449" width="10.85546875" style="88" customWidth="1"/>
    <col min="7450" max="7450" width="16.28515625" style="88" bestFit="1" customWidth="1"/>
    <col min="7451" max="7451" width="12.140625" style="88" bestFit="1" customWidth="1"/>
    <col min="7452" max="7454" width="10.85546875" style="88" customWidth="1"/>
    <col min="7455" max="7455" width="9.28515625" style="88" bestFit="1" customWidth="1"/>
    <col min="7456" max="7685" width="9.140625" style="88"/>
    <col min="7686" max="7687" width="54" style="88" customWidth="1"/>
    <col min="7688" max="7688" width="16.7109375" style="88" customWidth="1"/>
    <col min="7689" max="7689" width="11.85546875" style="88" bestFit="1" customWidth="1"/>
    <col min="7690" max="7690" width="9.85546875" style="88" bestFit="1" customWidth="1"/>
    <col min="7691" max="7691" width="10.5703125" style="88" bestFit="1" customWidth="1"/>
    <col min="7692" max="7694" width="13.42578125" style="88" customWidth="1"/>
    <col min="7695" max="7695" width="19.140625" style="88" customWidth="1"/>
    <col min="7696" max="7696" width="13.42578125" style="88" customWidth="1"/>
    <col min="7697" max="7697" width="19.85546875" style="88" customWidth="1"/>
    <col min="7698" max="7698" width="16" style="88" customWidth="1"/>
    <col min="7699" max="7699" width="24.28515625" style="88" customWidth="1"/>
    <col min="7700" max="7705" width="10.85546875" style="88" customWidth="1"/>
    <col min="7706" max="7706" width="16.28515625" style="88" bestFit="1" customWidth="1"/>
    <col min="7707" max="7707" width="12.140625" style="88" bestFit="1" customWidth="1"/>
    <col min="7708" max="7710" width="10.85546875" style="88" customWidth="1"/>
    <col min="7711" max="7711" width="9.28515625" style="88" bestFit="1" customWidth="1"/>
    <col min="7712" max="7941" width="9.140625" style="88"/>
    <col min="7942" max="7943" width="54" style="88" customWidth="1"/>
    <col min="7944" max="7944" width="16.7109375" style="88" customWidth="1"/>
    <col min="7945" max="7945" width="11.85546875" style="88" bestFit="1" customWidth="1"/>
    <col min="7946" max="7946" width="9.85546875" style="88" bestFit="1" customWidth="1"/>
    <col min="7947" max="7947" width="10.5703125" style="88" bestFit="1" customWidth="1"/>
    <col min="7948" max="7950" width="13.42578125" style="88" customWidth="1"/>
    <col min="7951" max="7951" width="19.140625" style="88" customWidth="1"/>
    <col min="7952" max="7952" width="13.42578125" style="88" customWidth="1"/>
    <col min="7953" max="7953" width="19.85546875" style="88" customWidth="1"/>
    <col min="7954" max="7954" width="16" style="88" customWidth="1"/>
    <col min="7955" max="7955" width="24.28515625" style="88" customWidth="1"/>
    <col min="7956" max="7961" width="10.85546875" style="88" customWidth="1"/>
    <col min="7962" max="7962" width="16.28515625" style="88" bestFit="1" customWidth="1"/>
    <col min="7963" max="7963" width="12.140625" style="88" bestFit="1" customWidth="1"/>
    <col min="7964" max="7966" width="10.85546875" style="88" customWidth="1"/>
    <col min="7967" max="7967" width="9.28515625" style="88" bestFit="1" customWidth="1"/>
    <col min="7968" max="8197" width="9.140625" style="88"/>
    <col min="8198" max="8199" width="54" style="88" customWidth="1"/>
    <col min="8200" max="8200" width="16.7109375" style="88" customWidth="1"/>
    <col min="8201" max="8201" width="11.85546875" style="88" bestFit="1" customWidth="1"/>
    <col min="8202" max="8202" width="9.85546875" style="88" bestFit="1" customWidth="1"/>
    <col min="8203" max="8203" width="10.5703125" style="88" bestFit="1" customWidth="1"/>
    <col min="8204" max="8206" width="13.42578125" style="88" customWidth="1"/>
    <col min="8207" max="8207" width="19.140625" style="88" customWidth="1"/>
    <col min="8208" max="8208" width="13.42578125" style="88" customWidth="1"/>
    <col min="8209" max="8209" width="19.85546875" style="88" customWidth="1"/>
    <col min="8210" max="8210" width="16" style="88" customWidth="1"/>
    <col min="8211" max="8211" width="24.28515625" style="88" customWidth="1"/>
    <col min="8212" max="8217" width="10.85546875" style="88" customWidth="1"/>
    <col min="8218" max="8218" width="16.28515625" style="88" bestFit="1" customWidth="1"/>
    <col min="8219" max="8219" width="12.140625" style="88" bestFit="1" customWidth="1"/>
    <col min="8220" max="8222" width="10.85546875" style="88" customWidth="1"/>
    <col min="8223" max="8223" width="9.28515625" style="88" bestFit="1" customWidth="1"/>
    <col min="8224" max="8453" width="9.140625" style="88"/>
    <col min="8454" max="8455" width="54" style="88" customWidth="1"/>
    <col min="8456" max="8456" width="16.7109375" style="88" customWidth="1"/>
    <col min="8457" max="8457" width="11.85546875" style="88" bestFit="1" customWidth="1"/>
    <col min="8458" max="8458" width="9.85546875" style="88" bestFit="1" customWidth="1"/>
    <col min="8459" max="8459" width="10.5703125" style="88" bestFit="1" customWidth="1"/>
    <col min="8460" max="8462" width="13.42578125" style="88" customWidth="1"/>
    <col min="8463" max="8463" width="19.140625" style="88" customWidth="1"/>
    <col min="8464" max="8464" width="13.42578125" style="88" customWidth="1"/>
    <col min="8465" max="8465" width="19.85546875" style="88" customWidth="1"/>
    <col min="8466" max="8466" width="16" style="88" customWidth="1"/>
    <col min="8467" max="8467" width="24.28515625" style="88" customWidth="1"/>
    <col min="8468" max="8473" width="10.85546875" style="88" customWidth="1"/>
    <col min="8474" max="8474" width="16.28515625" style="88" bestFit="1" customWidth="1"/>
    <col min="8475" max="8475" width="12.140625" style="88" bestFit="1" customWidth="1"/>
    <col min="8476" max="8478" width="10.85546875" style="88" customWidth="1"/>
    <col min="8479" max="8479" width="9.28515625" style="88" bestFit="1" customWidth="1"/>
    <col min="8480" max="8709" width="9.140625" style="88"/>
    <col min="8710" max="8711" width="54" style="88" customWidth="1"/>
    <col min="8712" max="8712" width="16.7109375" style="88" customWidth="1"/>
    <col min="8713" max="8713" width="11.85546875" style="88" bestFit="1" customWidth="1"/>
    <col min="8714" max="8714" width="9.85546875" style="88" bestFit="1" customWidth="1"/>
    <col min="8715" max="8715" width="10.5703125" style="88" bestFit="1" customWidth="1"/>
    <col min="8716" max="8718" width="13.42578125" style="88" customWidth="1"/>
    <col min="8719" max="8719" width="19.140625" style="88" customWidth="1"/>
    <col min="8720" max="8720" width="13.42578125" style="88" customWidth="1"/>
    <col min="8721" max="8721" width="19.85546875" style="88" customWidth="1"/>
    <col min="8722" max="8722" width="16" style="88" customWidth="1"/>
    <col min="8723" max="8723" width="24.28515625" style="88" customWidth="1"/>
    <col min="8724" max="8729" width="10.85546875" style="88" customWidth="1"/>
    <col min="8730" max="8730" width="16.28515625" style="88" bestFit="1" customWidth="1"/>
    <col min="8731" max="8731" width="12.140625" style="88" bestFit="1" customWidth="1"/>
    <col min="8732" max="8734" width="10.85546875" style="88" customWidth="1"/>
    <col min="8735" max="8735" width="9.28515625" style="88" bestFit="1" customWidth="1"/>
    <col min="8736" max="8965" width="9.140625" style="88"/>
    <col min="8966" max="8967" width="54" style="88" customWidth="1"/>
    <col min="8968" max="8968" width="16.7109375" style="88" customWidth="1"/>
    <col min="8969" max="8969" width="11.85546875" style="88" bestFit="1" customWidth="1"/>
    <col min="8970" max="8970" width="9.85546875" style="88" bestFit="1" customWidth="1"/>
    <col min="8971" max="8971" width="10.5703125" style="88" bestFit="1" customWidth="1"/>
    <col min="8972" max="8974" width="13.42578125" style="88" customWidth="1"/>
    <col min="8975" max="8975" width="19.140625" style="88" customWidth="1"/>
    <col min="8976" max="8976" width="13.42578125" style="88" customWidth="1"/>
    <col min="8977" max="8977" width="19.85546875" style="88" customWidth="1"/>
    <col min="8978" max="8978" width="16" style="88" customWidth="1"/>
    <col min="8979" max="8979" width="24.28515625" style="88" customWidth="1"/>
    <col min="8980" max="8985" width="10.85546875" style="88" customWidth="1"/>
    <col min="8986" max="8986" width="16.28515625" style="88" bestFit="1" customWidth="1"/>
    <col min="8987" max="8987" width="12.140625" style="88" bestFit="1" customWidth="1"/>
    <col min="8988" max="8990" width="10.85546875" style="88" customWidth="1"/>
    <col min="8991" max="8991" width="9.28515625" style="88" bestFit="1" customWidth="1"/>
    <col min="8992" max="9221" width="9.140625" style="88"/>
    <col min="9222" max="9223" width="54" style="88" customWidth="1"/>
    <col min="9224" max="9224" width="16.7109375" style="88" customWidth="1"/>
    <col min="9225" max="9225" width="11.85546875" style="88" bestFit="1" customWidth="1"/>
    <col min="9226" max="9226" width="9.85546875" style="88" bestFit="1" customWidth="1"/>
    <col min="9227" max="9227" width="10.5703125" style="88" bestFit="1" customWidth="1"/>
    <col min="9228" max="9230" width="13.42578125" style="88" customWidth="1"/>
    <col min="9231" max="9231" width="19.140625" style="88" customWidth="1"/>
    <col min="9232" max="9232" width="13.42578125" style="88" customWidth="1"/>
    <col min="9233" max="9233" width="19.85546875" style="88" customWidth="1"/>
    <col min="9234" max="9234" width="16" style="88" customWidth="1"/>
    <col min="9235" max="9235" width="24.28515625" style="88" customWidth="1"/>
    <col min="9236" max="9241" width="10.85546875" style="88" customWidth="1"/>
    <col min="9242" max="9242" width="16.28515625" style="88" bestFit="1" customWidth="1"/>
    <col min="9243" max="9243" width="12.140625" style="88" bestFit="1" customWidth="1"/>
    <col min="9244" max="9246" width="10.85546875" style="88" customWidth="1"/>
    <col min="9247" max="9247" width="9.28515625" style="88" bestFit="1" customWidth="1"/>
    <col min="9248" max="9477" width="9.140625" style="88"/>
    <col min="9478" max="9479" width="54" style="88" customWidth="1"/>
    <col min="9480" max="9480" width="16.7109375" style="88" customWidth="1"/>
    <col min="9481" max="9481" width="11.85546875" style="88" bestFit="1" customWidth="1"/>
    <col min="9482" max="9482" width="9.85546875" style="88" bestFit="1" customWidth="1"/>
    <col min="9483" max="9483" width="10.5703125" style="88" bestFit="1" customWidth="1"/>
    <col min="9484" max="9486" width="13.42578125" style="88" customWidth="1"/>
    <col min="9487" max="9487" width="19.140625" style="88" customWidth="1"/>
    <col min="9488" max="9488" width="13.42578125" style="88" customWidth="1"/>
    <col min="9489" max="9489" width="19.85546875" style="88" customWidth="1"/>
    <col min="9490" max="9490" width="16" style="88" customWidth="1"/>
    <col min="9491" max="9491" width="24.28515625" style="88" customWidth="1"/>
    <col min="9492" max="9497" width="10.85546875" style="88" customWidth="1"/>
    <col min="9498" max="9498" width="16.28515625" style="88" bestFit="1" customWidth="1"/>
    <col min="9499" max="9499" width="12.140625" style="88" bestFit="1" customWidth="1"/>
    <col min="9500" max="9502" width="10.85546875" style="88" customWidth="1"/>
    <col min="9503" max="9503" width="9.28515625" style="88" bestFit="1" customWidth="1"/>
    <col min="9504" max="9733" width="9.140625" style="88"/>
    <col min="9734" max="9735" width="54" style="88" customWidth="1"/>
    <col min="9736" max="9736" width="16.7109375" style="88" customWidth="1"/>
    <col min="9737" max="9737" width="11.85546875" style="88" bestFit="1" customWidth="1"/>
    <col min="9738" max="9738" width="9.85546875" style="88" bestFit="1" customWidth="1"/>
    <col min="9739" max="9739" width="10.5703125" style="88" bestFit="1" customWidth="1"/>
    <col min="9740" max="9742" width="13.42578125" style="88" customWidth="1"/>
    <col min="9743" max="9743" width="19.140625" style="88" customWidth="1"/>
    <col min="9744" max="9744" width="13.42578125" style="88" customWidth="1"/>
    <col min="9745" max="9745" width="19.85546875" style="88" customWidth="1"/>
    <col min="9746" max="9746" width="16" style="88" customWidth="1"/>
    <col min="9747" max="9747" width="24.28515625" style="88" customWidth="1"/>
    <col min="9748" max="9753" width="10.85546875" style="88" customWidth="1"/>
    <col min="9754" max="9754" width="16.28515625" style="88" bestFit="1" customWidth="1"/>
    <col min="9755" max="9755" width="12.140625" style="88" bestFit="1" customWidth="1"/>
    <col min="9756" max="9758" width="10.85546875" style="88" customWidth="1"/>
    <col min="9759" max="9759" width="9.28515625" style="88" bestFit="1" customWidth="1"/>
    <col min="9760" max="9989" width="9.140625" style="88"/>
    <col min="9990" max="9991" width="54" style="88" customWidth="1"/>
    <col min="9992" max="9992" width="16.7109375" style="88" customWidth="1"/>
    <col min="9993" max="9993" width="11.85546875" style="88" bestFit="1" customWidth="1"/>
    <col min="9994" max="9994" width="9.85546875" style="88" bestFit="1" customWidth="1"/>
    <col min="9995" max="9995" width="10.5703125" style="88" bestFit="1" customWidth="1"/>
    <col min="9996" max="9998" width="13.42578125" style="88" customWidth="1"/>
    <col min="9999" max="9999" width="19.140625" style="88" customWidth="1"/>
    <col min="10000" max="10000" width="13.42578125" style="88" customWidth="1"/>
    <col min="10001" max="10001" width="19.85546875" style="88" customWidth="1"/>
    <col min="10002" max="10002" width="16" style="88" customWidth="1"/>
    <col min="10003" max="10003" width="24.28515625" style="88" customWidth="1"/>
    <col min="10004" max="10009" width="10.85546875" style="88" customWidth="1"/>
    <col min="10010" max="10010" width="16.28515625" style="88" bestFit="1" customWidth="1"/>
    <col min="10011" max="10011" width="12.140625" style="88" bestFit="1" customWidth="1"/>
    <col min="10012" max="10014" width="10.85546875" style="88" customWidth="1"/>
    <col min="10015" max="10015" width="9.28515625" style="88" bestFit="1" customWidth="1"/>
    <col min="10016" max="10245" width="9.140625" style="88"/>
    <col min="10246" max="10247" width="54" style="88" customWidth="1"/>
    <col min="10248" max="10248" width="16.7109375" style="88" customWidth="1"/>
    <col min="10249" max="10249" width="11.85546875" style="88" bestFit="1" customWidth="1"/>
    <col min="10250" max="10250" width="9.85546875" style="88" bestFit="1" customWidth="1"/>
    <col min="10251" max="10251" width="10.5703125" style="88" bestFit="1" customWidth="1"/>
    <col min="10252" max="10254" width="13.42578125" style="88" customWidth="1"/>
    <col min="10255" max="10255" width="19.140625" style="88" customWidth="1"/>
    <col min="10256" max="10256" width="13.42578125" style="88" customWidth="1"/>
    <col min="10257" max="10257" width="19.85546875" style="88" customWidth="1"/>
    <col min="10258" max="10258" width="16" style="88" customWidth="1"/>
    <col min="10259" max="10259" width="24.28515625" style="88" customWidth="1"/>
    <col min="10260" max="10265" width="10.85546875" style="88" customWidth="1"/>
    <col min="10266" max="10266" width="16.28515625" style="88" bestFit="1" customWidth="1"/>
    <col min="10267" max="10267" width="12.140625" style="88" bestFit="1" customWidth="1"/>
    <col min="10268" max="10270" width="10.85546875" style="88" customWidth="1"/>
    <col min="10271" max="10271" width="9.28515625" style="88" bestFit="1" customWidth="1"/>
    <col min="10272" max="10501" width="9.140625" style="88"/>
    <col min="10502" max="10503" width="54" style="88" customWidth="1"/>
    <col min="10504" max="10504" width="16.7109375" style="88" customWidth="1"/>
    <col min="10505" max="10505" width="11.85546875" style="88" bestFit="1" customWidth="1"/>
    <col min="10506" max="10506" width="9.85546875" style="88" bestFit="1" customWidth="1"/>
    <col min="10507" max="10507" width="10.5703125" style="88" bestFit="1" customWidth="1"/>
    <col min="10508" max="10510" width="13.42578125" style="88" customWidth="1"/>
    <col min="10511" max="10511" width="19.140625" style="88" customWidth="1"/>
    <col min="10512" max="10512" width="13.42578125" style="88" customWidth="1"/>
    <col min="10513" max="10513" width="19.85546875" style="88" customWidth="1"/>
    <col min="10514" max="10514" width="16" style="88" customWidth="1"/>
    <col min="10515" max="10515" width="24.28515625" style="88" customWidth="1"/>
    <col min="10516" max="10521" width="10.85546875" style="88" customWidth="1"/>
    <col min="10522" max="10522" width="16.28515625" style="88" bestFit="1" customWidth="1"/>
    <col min="10523" max="10523" width="12.140625" style="88" bestFit="1" customWidth="1"/>
    <col min="10524" max="10526" width="10.85546875" style="88" customWidth="1"/>
    <col min="10527" max="10527" width="9.28515625" style="88" bestFit="1" customWidth="1"/>
    <col min="10528" max="10757" width="9.140625" style="88"/>
    <col min="10758" max="10759" width="54" style="88" customWidth="1"/>
    <col min="10760" max="10760" width="16.7109375" style="88" customWidth="1"/>
    <col min="10761" max="10761" width="11.85546875" style="88" bestFit="1" customWidth="1"/>
    <col min="10762" max="10762" width="9.85546875" style="88" bestFit="1" customWidth="1"/>
    <col min="10763" max="10763" width="10.5703125" style="88" bestFit="1" customWidth="1"/>
    <col min="10764" max="10766" width="13.42578125" style="88" customWidth="1"/>
    <col min="10767" max="10767" width="19.140625" style="88" customWidth="1"/>
    <col min="10768" max="10768" width="13.42578125" style="88" customWidth="1"/>
    <col min="10769" max="10769" width="19.85546875" style="88" customWidth="1"/>
    <col min="10770" max="10770" width="16" style="88" customWidth="1"/>
    <col min="10771" max="10771" width="24.28515625" style="88" customWidth="1"/>
    <col min="10772" max="10777" width="10.85546875" style="88" customWidth="1"/>
    <col min="10778" max="10778" width="16.28515625" style="88" bestFit="1" customWidth="1"/>
    <col min="10779" max="10779" width="12.140625" style="88" bestFit="1" customWidth="1"/>
    <col min="10780" max="10782" width="10.85546875" style="88" customWidth="1"/>
    <col min="10783" max="10783" width="9.28515625" style="88" bestFit="1" customWidth="1"/>
    <col min="10784" max="11013" width="9.140625" style="88"/>
    <col min="11014" max="11015" width="54" style="88" customWidth="1"/>
    <col min="11016" max="11016" width="16.7109375" style="88" customWidth="1"/>
    <col min="11017" max="11017" width="11.85546875" style="88" bestFit="1" customWidth="1"/>
    <col min="11018" max="11018" width="9.85546875" style="88" bestFit="1" customWidth="1"/>
    <col min="11019" max="11019" width="10.5703125" style="88" bestFit="1" customWidth="1"/>
    <col min="11020" max="11022" width="13.42578125" style="88" customWidth="1"/>
    <col min="11023" max="11023" width="19.140625" style="88" customWidth="1"/>
    <col min="11024" max="11024" width="13.42578125" style="88" customWidth="1"/>
    <col min="11025" max="11025" width="19.85546875" style="88" customWidth="1"/>
    <col min="11026" max="11026" width="16" style="88" customWidth="1"/>
    <col min="11027" max="11027" width="24.28515625" style="88" customWidth="1"/>
    <col min="11028" max="11033" width="10.85546875" style="88" customWidth="1"/>
    <col min="11034" max="11034" width="16.28515625" style="88" bestFit="1" customWidth="1"/>
    <col min="11035" max="11035" width="12.140625" style="88" bestFit="1" customWidth="1"/>
    <col min="11036" max="11038" width="10.85546875" style="88" customWidth="1"/>
    <col min="11039" max="11039" width="9.28515625" style="88" bestFit="1" customWidth="1"/>
    <col min="11040" max="11269" width="9.140625" style="88"/>
    <col min="11270" max="11271" width="54" style="88" customWidth="1"/>
    <col min="11272" max="11272" width="16.7109375" style="88" customWidth="1"/>
    <col min="11273" max="11273" width="11.85546875" style="88" bestFit="1" customWidth="1"/>
    <col min="11274" max="11274" width="9.85546875" style="88" bestFit="1" customWidth="1"/>
    <col min="11275" max="11275" width="10.5703125" style="88" bestFit="1" customWidth="1"/>
    <col min="11276" max="11278" width="13.42578125" style="88" customWidth="1"/>
    <col min="11279" max="11279" width="19.140625" style="88" customWidth="1"/>
    <col min="11280" max="11280" width="13.42578125" style="88" customWidth="1"/>
    <col min="11281" max="11281" width="19.85546875" style="88" customWidth="1"/>
    <col min="11282" max="11282" width="16" style="88" customWidth="1"/>
    <col min="11283" max="11283" width="24.28515625" style="88" customWidth="1"/>
    <col min="11284" max="11289" width="10.85546875" style="88" customWidth="1"/>
    <col min="11290" max="11290" width="16.28515625" style="88" bestFit="1" customWidth="1"/>
    <col min="11291" max="11291" width="12.140625" style="88" bestFit="1" customWidth="1"/>
    <col min="11292" max="11294" width="10.85546875" style="88" customWidth="1"/>
    <col min="11295" max="11295" width="9.28515625" style="88" bestFit="1" customWidth="1"/>
    <col min="11296" max="11525" width="9.140625" style="88"/>
    <col min="11526" max="11527" width="54" style="88" customWidth="1"/>
    <col min="11528" max="11528" width="16.7109375" style="88" customWidth="1"/>
    <col min="11529" max="11529" width="11.85546875" style="88" bestFit="1" customWidth="1"/>
    <col min="11530" max="11530" width="9.85546875" style="88" bestFit="1" customWidth="1"/>
    <col min="11531" max="11531" width="10.5703125" style="88" bestFit="1" customWidth="1"/>
    <col min="11532" max="11534" width="13.42578125" style="88" customWidth="1"/>
    <col min="11535" max="11535" width="19.140625" style="88" customWidth="1"/>
    <col min="11536" max="11536" width="13.42578125" style="88" customWidth="1"/>
    <col min="11537" max="11537" width="19.85546875" style="88" customWidth="1"/>
    <col min="11538" max="11538" width="16" style="88" customWidth="1"/>
    <col min="11539" max="11539" width="24.28515625" style="88" customWidth="1"/>
    <col min="11540" max="11545" width="10.85546875" style="88" customWidth="1"/>
    <col min="11546" max="11546" width="16.28515625" style="88" bestFit="1" customWidth="1"/>
    <col min="11547" max="11547" width="12.140625" style="88" bestFit="1" customWidth="1"/>
    <col min="11548" max="11550" width="10.85546875" style="88" customWidth="1"/>
    <col min="11551" max="11551" width="9.28515625" style="88" bestFit="1" customWidth="1"/>
    <col min="11552" max="11781" width="9.140625" style="88"/>
    <col min="11782" max="11783" width="54" style="88" customWidth="1"/>
    <col min="11784" max="11784" width="16.7109375" style="88" customWidth="1"/>
    <col min="11785" max="11785" width="11.85546875" style="88" bestFit="1" customWidth="1"/>
    <col min="11786" max="11786" width="9.85546875" style="88" bestFit="1" customWidth="1"/>
    <col min="11787" max="11787" width="10.5703125" style="88" bestFit="1" customWidth="1"/>
    <col min="11788" max="11790" width="13.42578125" style="88" customWidth="1"/>
    <col min="11791" max="11791" width="19.140625" style="88" customWidth="1"/>
    <col min="11792" max="11792" width="13.42578125" style="88" customWidth="1"/>
    <col min="11793" max="11793" width="19.85546875" style="88" customWidth="1"/>
    <col min="11794" max="11794" width="16" style="88" customWidth="1"/>
    <col min="11795" max="11795" width="24.28515625" style="88" customWidth="1"/>
    <col min="11796" max="11801" width="10.85546875" style="88" customWidth="1"/>
    <col min="11802" max="11802" width="16.28515625" style="88" bestFit="1" customWidth="1"/>
    <col min="11803" max="11803" width="12.140625" style="88" bestFit="1" customWidth="1"/>
    <col min="11804" max="11806" width="10.85546875" style="88" customWidth="1"/>
    <col min="11807" max="11807" width="9.28515625" style="88" bestFit="1" customWidth="1"/>
    <col min="11808" max="12037" width="9.140625" style="88"/>
    <col min="12038" max="12039" width="54" style="88" customWidth="1"/>
    <col min="12040" max="12040" width="16.7109375" style="88" customWidth="1"/>
    <col min="12041" max="12041" width="11.85546875" style="88" bestFit="1" customWidth="1"/>
    <col min="12042" max="12042" width="9.85546875" style="88" bestFit="1" customWidth="1"/>
    <col min="12043" max="12043" width="10.5703125" style="88" bestFit="1" customWidth="1"/>
    <col min="12044" max="12046" width="13.42578125" style="88" customWidth="1"/>
    <col min="12047" max="12047" width="19.140625" style="88" customWidth="1"/>
    <col min="12048" max="12048" width="13.42578125" style="88" customWidth="1"/>
    <col min="12049" max="12049" width="19.85546875" style="88" customWidth="1"/>
    <col min="12050" max="12050" width="16" style="88" customWidth="1"/>
    <col min="12051" max="12051" width="24.28515625" style="88" customWidth="1"/>
    <col min="12052" max="12057" width="10.85546875" style="88" customWidth="1"/>
    <col min="12058" max="12058" width="16.28515625" style="88" bestFit="1" customWidth="1"/>
    <col min="12059" max="12059" width="12.140625" style="88" bestFit="1" customWidth="1"/>
    <col min="12060" max="12062" width="10.85546875" style="88" customWidth="1"/>
    <col min="12063" max="12063" width="9.28515625" style="88" bestFit="1" customWidth="1"/>
    <col min="12064" max="12293" width="9.140625" style="88"/>
    <col min="12294" max="12295" width="54" style="88" customWidth="1"/>
    <col min="12296" max="12296" width="16.7109375" style="88" customWidth="1"/>
    <col min="12297" max="12297" width="11.85546875" style="88" bestFit="1" customWidth="1"/>
    <col min="12298" max="12298" width="9.85546875" style="88" bestFit="1" customWidth="1"/>
    <col min="12299" max="12299" width="10.5703125" style="88" bestFit="1" customWidth="1"/>
    <col min="12300" max="12302" width="13.42578125" style="88" customWidth="1"/>
    <col min="12303" max="12303" width="19.140625" style="88" customWidth="1"/>
    <col min="12304" max="12304" width="13.42578125" style="88" customWidth="1"/>
    <col min="12305" max="12305" width="19.85546875" style="88" customWidth="1"/>
    <col min="12306" max="12306" width="16" style="88" customWidth="1"/>
    <col min="12307" max="12307" width="24.28515625" style="88" customWidth="1"/>
    <col min="12308" max="12313" width="10.85546875" style="88" customWidth="1"/>
    <col min="12314" max="12314" width="16.28515625" style="88" bestFit="1" customWidth="1"/>
    <col min="12315" max="12315" width="12.140625" style="88" bestFit="1" customWidth="1"/>
    <col min="12316" max="12318" width="10.85546875" style="88" customWidth="1"/>
    <col min="12319" max="12319" width="9.28515625" style="88" bestFit="1" customWidth="1"/>
    <col min="12320" max="12549" width="9.140625" style="88"/>
    <col min="12550" max="12551" width="54" style="88" customWidth="1"/>
    <col min="12552" max="12552" width="16.7109375" style="88" customWidth="1"/>
    <col min="12553" max="12553" width="11.85546875" style="88" bestFit="1" customWidth="1"/>
    <col min="12554" max="12554" width="9.85546875" style="88" bestFit="1" customWidth="1"/>
    <col min="12555" max="12555" width="10.5703125" style="88" bestFit="1" customWidth="1"/>
    <col min="12556" max="12558" width="13.42578125" style="88" customWidth="1"/>
    <col min="12559" max="12559" width="19.140625" style="88" customWidth="1"/>
    <col min="12560" max="12560" width="13.42578125" style="88" customWidth="1"/>
    <col min="12561" max="12561" width="19.85546875" style="88" customWidth="1"/>
    <col min="12562" max="12562" width="16" style="88" customWidth="1"/>
    <col min="12563" max="12563" width="24.28515625" style="88" customWidth="1"/>
    <col min="12564" max="12569" width="10.85546875" style="88" customWidth="1"/>
    <col min="12570" max="12570" width="16.28515625" style="88" bestFit="1" customWidth="1"/>
    <col min="12571" max="12571" width="12.140625" style="88" bestFit="1" customWidth="1"/>
    <col min="12572" max="12574" width="10.85546875" style="88" customWidth="1"/>
    <col min="12575" max="12575" width="9.28515625" style="88" bestFit="1" customWidth="1"/>
    <col min="12576" max="12805" width="9.140625" style="88"/>
    <col min="12806" max="12807" width="54" style="88" customWidth="1"/>
    <col min="12808" max="12808" width="16.7109375" style="88" customWidth="1"/>
    <col min="12809" max="12809" width="11.85546875" style="88" bestFit="1" customWidth="1"/>
    <col min="12810" max="12810" width="9.85546875" style="88" bestFit="1" customWidth="1"/>
    <col min="12811" max="12811" width="10.5703125" style="88" bestFit="1" customWidth="1"/>
    <col min="12812" max="12814" width="13.42578125" style="88" customWidth="1"/>
    <col min="12815" max="12815" width="19.140625" style="88" customWidth="1"/>
    <col min="12816" max="12816" width="13.42578125" style="88" customWidth="1"/>
    <col min="12817" max="12817" width="19.85546875" style="88" customWidth="1"/>
    <col min="12818" max="12818" width="16" style="88" customWidth="1"/>
    <col min="12819" max="12819" width="24.28515625" style="88" customWidth="1"/>
    <col min="12820" max="12825" width="10.85546875" style="88" customWidth="1"/>
    <col min="12826" max="12826" width="16.28515625" style="88" bestFit="1" customWidth="1"/>
    <col min="12827" max="12827" width="12.140625" style="88" bestFit="1" customWidth="1"/>
    <col min="12828" max="12830" width="10.85546875" style="88" customWidth="1"/>
    <col min="12831" max="12831" width="9.28515625" style="88" bestFit="1" customWidth="1"/>
    <col min="12832" max="13061" width="9.140625" style="88"/>
    <col min="13062" max="13063" width="54" style="88" customWidth="1"/>
    <col min="13064" max="13064" width="16.7109375" style="88" customWidth="1"/>
    <col min="13065" max="13065" width="11.85546875" style="88" bestFit="1" customWidth="1"/>
    <col min="13066" max="13066" width="9.85546875" style="88" bestFit="1" customWidth="1"/>
    <col min="13067" max="13067" width="10.5703125" style="88" bestFit="1" customWidth="1"/>
    <col min="13068" max="13070" width="13.42578125" style="88" customWidth="1"/>
    <col min="13071" max="13071" width="19.140625" style="88" customWidth="1"/>
    <col min="13072" max="13072" width="13.42578125" style="88" customWidth="1"/>
    <col min="13073" max="13073" width="19.85546875" style="88" customWidth="1"/>
    <col min="13074" max="13074" width="16" style="88" customWidth="1"/>
    <col min="13075" max="13075" width="24.28515625" style="88" customWidth="1"/>
    <col min="13076" max="13081" width="10.85546875" style="88" customWidth="1"/>
    <col min="13082" max="13082" width="16.28515625" style="88" bestFit="1" customWidth="1"/>
    <col min="13083" max="13083" width="12.140625" style="88" bestFit="1" customWidth="1"/>
    <col min="13084" max="13086" width="10.85546875" style="88" customWidth="1"/>
    <col min="13087" max="13087" width="9.28515625" style="88" bestFit="1" customWidth="1"/>
    <col min="13088" max="13317" width="9.140625" style="88"/>
    <col min="13318" max="13319" width="54" style="88" customWidth="1"/>
    <col min="13320" max="13320" width="16.7109375" style="88" customWidth="1"/>
    <col min="13321" max="13321" width="11.85546875" style="88" bestFit="1" customWidth="1"/>
    <col min="13322" max="13322" width="9.85546875" style="88" bestFit="1" customWidth="1"/>
    <col min="13323" max="13323" width="10.5703125" style="88" bestFit="1" customWidth="1"/>
    <col min="13324" max="13326" width="13.42578125" style="88" customWidth="1"/>
    <col min="13327" max="13327" width="19.140625" style="88" customWidth="1"/>
    <col min="13328" max="13328" width="13.42578125" style="88" customWidth="1"/>
    <col min="13329" max="13329" width="19.85546875" style="88" customWidth="1"/>
    <col min="13330" max="13330" width="16" style="88" customWidth="1"/>
    <col min="13331" max="13331" width="24.28515625" style="88" customWidth="1"/>
    <col min="13332" max="13337" width="10.85546875" style="88" customWidth="1"/>
    <col min="13338" max="13338" width="16.28515625" style="88" bestFit="1" customWidth="1"/>
    <col min="13339" max="13339" width="12.140625" style="88" bestFit="1" customWidth="1"/>
    <col min="13340" max="13342" width="10.85546875" style="88" customWidth="1"/>
    <col min="13343" max="13343" width="9.28515625" style="88" bestFit="1" customWidth="1"/>
    <col min="13344" max="13573" width="9.140625" style="88"/>
    <col min="13574" max="13575" width="54" style="88" customWidth="1"/>
    <col min="13576" max="13576" width="16.7109375" style="88" customWidth="1"/>
    <col min="13577" max="13577" width="11.85546875" style="88" bestFit="1" customWidth="1"/>
    <col min="13578" max="13578" width="9.85546875" style="88" bestFit="1" customWidth="1"/>
    <col min="13579" max="13579" width="10.5703125" style="88" bestFit="1" customWidth="1"/>
    <col min="13580" max="13582" width="13.42578125" style="88" customWidth="1"/>
    <col min="13583" max="13583" width="19.140625" style="88" customWidth="1"/>
    <col min="13584" max="13584" width="13.42578125" style="88" customWidth="1"/>
    <col min="13585" max="13585" width="19.85546875" style="88" customWidth="1"/>
    <col min="13586" max="13586" width="16" style="88" customWidth="1"/>
    <col min="13587" max="13587" width="24.28515625" style="88" customWidth="1"/>
    <col min="13588" max="13593" width="10.85546875" style="88" customWidth="1"/>
    <col min="13594" max="13594" width="16.28515625" style="88" bestFit="1" customWidth="1"/>
    <col min="13595" max="13595" width="12.140625" style="88" bestFit="1" customWidth="1"/>
    <col min="13596" max="13598" width="10.85546875" style="88" customWidth="1"/>
    <col min="13599" max="13599" width="9.28515625" style="88" bestFit="1" customWidth="1"/>
    <col min="13600" max="13829" width="9.140625" style="88"/>
    <col min="13830" max="13831" width="54" style="88" customWidth="1"/>
    <col min="13832" max="13832" width="16.7109375" style="88" customWidth="1"/>
    <col min="13833" max="13833" width="11.85546875" style="88" bestFit="1" customWidth="1"/>
    <col min="13834" max="13834" width="9.85546875" style="88" bestFit="1" customWidth="1"/>
    <col min="13835" max="13835" width="10.5703125" style="88" bestFit="1" customWidth="1"/>
    <col min="13836" max="13838" width="13.42578125" style="88" customWidth="1"/>
    <col min="13839" max="13839" width="19.140625" style="88" customWidth="1"/>
    <col min="13840" max="13840" width="13.42578125" style="88" customWidth="1"/>
    <col min="13841" max="13841" width="19.85546875" style="88" customWidth="1"/>
    <col min="13842" max="13842" width="16" style="88" customWidth="1"/>
    <col min="13843" max="13843" width="24.28515625" style="88" customWidth="1"/>
    <col min="13844" max="13849" width="10.85546875" style="88" customWidth="1"/>
    <col min="13850" max="13850" width="16.28515625" style="88" bestFit="1" customWidth="1"/>
    <col min="13851" max="13851" width="12.140625" style="88" bestFit="1" customWidth="1"/>
    <col min="13852" max="13854" width="10.85546875" style="88" customWidth="1"/>
    <col min="13855" max="13855" width="9.28515625" style="88" bestFit="1" customWidth="1"/>
    <col min="13856" max="14085" width="9.140625" style="88"/>
    <col min="14086" max="14087" width="54" style="88" customWidth="1"/>
    <col min="14088" max="14088" width="16.7109375" style="88" customWidth="1"/>
    <col min="14089" max="14089" width="11.85546875" style="88" bestFit="1" customWidth="1"/>
    <col min="14090" max="14090" width="9.85546875" style="88" bestFit="1" customWidth="1"/>
    <col min="14091" max="14091" width="10.5703125" style="88" bestFit="1" customWidth="1"/>
    <col min="14092" max="14094" width="13.42578125" style="88" customWidth="1"/>
    <col min="14095" max="14095" width="19.140625" style="88" customWidth="1"/>
    <col min="14096" max="14096" width="13.42578125" style="88" customWidth="1"/>
    <col min="14097" max="14097" width="19.85546875" style="88" customWidth="1"/>
    <col min="14098" max="14098" width="16" style="88" customWidth="1"/>
    <col min="14099" max="14099" width="24.28515625" style="88" customWidth="1"/>
    <col min="14100" max="14105" width="10.85546875" style="88" customWidth="1"/>
    <col min="14106" max="14106" width="16.28515625" style="88" bestFit="1" customWidth="1"/>
    <col min="14107" max="14107" width="12.140625" style="88" bestFit="1" customWidth="1"/>
    <col min="14108" max="14110" width="10.85546875" style="88" customWidth="1"/>
    <col min="14111" max="14111" width="9.28515625" style="88" bestFit="1" customWidth="1"/>
    <col min="14112" max="14341" width="9.140625" style="88"/>
    <col min="14342" max="14343" width="54" style="88" customWidth="1"/>
    <col min="14344" max="14344" width="16.7109375" style="88" customWidth="1"/>
    <col min="14345" max="14345" width="11.85546875" style="88" bestFit="1" customWidth="1"/>
    <col min="14346" max="14346" width="9.85546875" style="88" bestFit="1" customWidth="1"/>
    <col min="14347" max="14347" width="10.5703125" style="88" bestFit="1" customWidth="1"/>
    <col min="14348" max="14350" width="13.42578125" style="88" customWidth="1"/>
    <col min="14351" max="14351" width="19.140625" style="88" customWidth="1"/>
    <col min="14352" max="14352" width="13.42578125" style="88" customWidth="1"/>
    <col min="14353" max="14353" width="19.85546875" style="88" customWidth="1"/>
    <col min="14354" max="14354" width="16" style="88" customWidth="1"/>
    <col min="14355" max="14355" width="24.28515625" style="88" customWidth="1"/>
    <col min="14356" max="14361" width="10.85546875" style="88" customWidth="1"/>
    <col min="14362" max="14362" width="16.28515625" style="88" bestFit="1" customWidth="1"/>
    <col min="14363" max="14363" width="12.140625" style="88" bestFit="1" customWidth="1"/>
    <col min="14364" max="14366" width="10.85546875" style="88" customWidth="1"/>
    <col min="14367" max="14367" width="9.28515625" style="88" bestFit="1" customWidth="1"/>
    <col min="14368" max="14597" width="9.140625" style="88"/>
    <col min="14598" max="14599" width="54" style="88" customWidth="1"/>
    <col min="14600" max="14600" width="16.7109375" style="88" customWidth="1"/>
    <col min="14601" max="14601" width="11.85546875" style="88" bestFit="1" customWidth="1"/>
    <col min="14602" max="14602" width="9.85546875" style="88" bestFit="1" customWidth="1"/>
    <col min="14603" max="14603" width="10.5703125" style="88" bestFit="1" customWidth="1"/>
    <col min="14604" max="14606" width="13.42578125" style="88" customWidth="1"/>
    <col min="14607" max="14607" width="19.140625" style="88" customWidth="1"/>
    <col min="14608" max="14608" width="13.42578125" style="88" customWidth="1"/>
    <col min="14609" max="14609" width="19.85546875" style="88" customWidth="1"/>
    <col min="14610" max="14610" width="16" style="88" customWidth="1"/>
    <col min="14611" max="14611" width="24.28515625" style="88" customWidth="1"/>
    <col min="14612" max="14617" width="10.85546875" style="88" customWidth="1"/>
    <col min="14618" max="14618" width="16.28515625" style="88" bestFit="1" customWidth="1"/>
    <col min="14619" max="14619" width="12.140625" style="88" bestFit="1" customWidth="1"/>
    <col min="14620" max="14622" width="10.85546875" style="88" customWidth="1"/>
    <col min="14623" max="14623" width="9.28515625" style="88" bestFit="1" customWidth="1"/>
    <col min="14624" max="14853" width="9.140625" style="88"/>
    <col min="14854" max="14855" width="54" style="88" customWidth="1"/>
    <col min="14856" max="14856" width="16.7109375" style="88" customWidth="1"/>
    <col min="14857" max="14857" width="11.85546875" style="88" bestFit="1" customWidth="1"/>
    <col min="14858" max="14858" width="9.85546875" style="88" bestFit="1" customWidth="1"/>
    <col min="14859" max="14859" width="10.5703125" style="88" bestFit="1" customWidth="1"/>
    <col min="14860" max="14862" width="13.42578125" style="88" customWidth="1"/>
    <col min="14863" max="14863" width="19.140625" style="88" customWidth="1"/>
    <col min="14864" max="14864" width="13.42578125" style="88" customWidth="1"/>
    <col min="14865" max="14865" width="19.85546875" style="88" customWidth="1"/>
    <col min="14866" max="14866" width="16" style="88" customWidth="1"/>
    <col min="14867" max="14867" width="24.28515625" style="88" customWidth="1"/>
    <col min="14868" max="14873" width="10.85546875" style="88" customWidth="1"/>
    <col min="14874" max="14874" width="16.28515625" style="88" bestFit="1" customWidth="1"/>
    <col min="14875" max="14875" width="12.140625" style="88" bestFit="1" customWidth="1"/>
    <col min="14876" max="14878" width="10.85546875" style="88" customWidth="1"/>
    <col min="14879" max="14879" width="9.28515625" style="88" bestFit="1" customWidth="1"/>
    <col min="14880" max="15109" width="9.140625" style="88"/>
    <col min="15110" max="15111" width="54" style="88" customWidth="1"/>
    <col min="15112" max="15112" width="16.7109375" style="88" customWidth="1"/>
    <col min="15113" max="15113" width="11.85546875" style="88" bestFit="1" customWidth="1"/>
    <col min="15114" max="15114" width="9.85546875" style="88" bestFit="1" customWidth="1"/>
    <col min="15115" max="15115" width="10.5703125" style="88" bestFit="1" customWidth="1"/>
    <col min="15116" max="15118" width="13.42578125" style="88" customWidth="1"/>
    <col min="15119" max="15119" width="19.140625" style="88" customWidth="1"/>
    <col min="15120" max="15120" width="13.42578125" style="88" customWidth="1"/>
    <col min="15121" max="15121" width="19.85546875" style="88" customWidth="1"/>
    <col min="15122" max="15122" width="16" style="88" customWidth="1"/>
    <col min="15123" max="15123" width="24.28515625" style="88" customWidth="1"/>
    <col min="15124" max="15129" width="10.85546875" style="88" customWidth="1"/>
    <col min="15130" max="15130" width="16.28515625" style="88" bestFit="1" customWidth="1"/>
    <col min="15131" max="15131" width="12.140625" style="88" bestFit="1" customWidth="1"/>
    <col min="15132" max="15134" width="10.85546875" style="88" customWidth="1"/>
    <col min="15135" max="15135" width="9.28515625" style="88" bestFit="1" customWidth="1"/>
    <col min="15136" max="15365" width="9.140625" style="88"/>
    <col min="15366" max="15367" width="54" style="88" customWidth="1"/>
    <col min="15368" max="15368" width="16.7109375" style="88" customWidth="1"/>
    <col min="15369" max="15369" width="11.85546875" style="88" bestFit="1" customWidth="1"/>
    <col min="15370" max="15370" width="9.85546875" style="88" bestFit="1" customWidth="1"/>
    <col min="15371" max="15371" width="10.5703125" style="88" bestFit="1" customWidth="1"/>
    <col min="15372" max="15374" width="13.42578125" style="88" customWidth="1"/>
    <col min="15375" max="15375" width="19.140625" style="88" customWidth="1"/>
    <col min="15376" max="15376" width="13.42578125" style="88" customWidth="1"/>
    <col min="15377" max="15377" width="19.85546875" style="88" customWidth="1"/>
    <col min="15378" max="15378" width="16" style="88" customWidth="1"/>
    <col min="15379" max="15379" width="24.28515625" style="88" customWidth="1"/>
    <col min="15380" max="15385" width="10.85546875" style="88" customWidth="1"/>
    <col min="15386" max="15386" width="16.28515625" style="88" bestFit="1" customWidth="1"/>
    <col min="15387" max="15387" width="12.140625" style="88" bestFit="1" customWidth="1"/>
    <col min="15388" max="15390" width="10.85546875" style="88" customWidth="1"/>
    <col min="15391" max="15391" width="9.28515625" style="88" bestFit="1" customWidth="1"/>
    <col min="15392" max="15621" width="9.140625" style="88"/>
    <col min="15622" max="15623" width="54" style="88" customWidth="1"/>
    <col min="15624" max="15624" width="16.7109375" style="88" customWidth="1"/>
    <col min="15625" max="15625" width="11.85546875" style="88" bestFit="1" customWidth="1"/>
    <col min="15626" max="15626" width="9.85546875" style="88" bestFit="1" customWidth="1"/>
    <col min="15627" max="15627" width="10.5703125" style="88" bestFit="1" customWidth="1"/>
    <col min="15628" max="15630" width="13.42578125" style="88" customWidth="1"/>
    <col min="15631" max="15631" width="19.140625" style="88" customWidth="1"/>
    <col min="15632" max="15632" width="13.42578125" style="88" customWidth="1"/>
    <col min="15633" max="15633" width="19.85546875" style="88" customWidth="1"/>
    <col min="15634" max="15634" width="16" style="88" customWidth="1"/>
    <col min="15635" max="15635" width="24.28515625" style="88" customWidth="1"/>
    <col min="15636" max="15641" width="10.85546875" style="88" customWidth="1"/>
    <col min="15642" max="15642" width="16.28515625" style="88" bestFit="1" customWidth="1"/>
    <col min="15643" max="15643" width="12.140625" style="88" bestFit="1" customWidth="1"/>
    <col min="15644" max="15646" width="10.85546875" style="88" customWidth="1"/>
    <col min="15647" max="15647" width="9.28515625" style="88" bestFit="1" customWidth="1"/>
    <col min="15648" max="15877" width="9.140625" style="88"/>
    <col min="15878" max="15879" width="54" style="88" customWidth="1"/>
    <col min="15880" max="15880" width="16.7109375" style="88" customWidth="1"/>
    <col min="15881" max="15881" width="11.85546875" style="88" bestFit="1" customWidth="1"/>
    <col min="15882" max="15882" width="9.85546875" style="88" bestFit="1" customWidth="1"/>
    <col min="15883" max="15883" width="10.5703125" style="88" bestFit="1" customWidth="1"/>
    <col min="15884" max="15886" width="13.42578125" style="88" customWidth="1"/>
    <col min="15887" max="15887" width="19.140625" style="88" customWidth="1"/>
    <col min="15888" max="15888" width="13.42578125" style="88" customWidth="1"/>
    <col min="15889" max="15889" width="19.85546875" style="88" customWidth="1"/>
    <col min="15890" max="15890" width="16" style="88" customWidth="1"/>
    <col min="15891" max="15891" width="24.28515625" style="88" customWidth="1"/>
    <col min="15892" max="15897" width="10.85546875" style="88" customWidth="1"/>
    <col min="15898" max="15898" width="16.28515625" style="88" bestFit="1" customWidth="1"/>
    <col min="15899" max="15899" width="12.140625" style="88" bestFit="1" customWidth="1"/>
    <col min="15900" max="15902" width="10.85546875" style="88" customWidth="1"/>
    <col min="15903" max="15903" width="9.28515625" style="88" bestFit="1" customWidth="1"/>
    <col min="15904" max="16133" width="9.140625" style="88"/>
    <col min="16134" max="16135" width="54" style="88" customWidth="1"/>
    <col min="16136" max="16136" width="16.7109375" style="88" customWidth="1"/>
    <col min="16137" max="16137" width="11.85546875" style="88" bestFit="1" customWidth="1"/>
    <col min="16138" max="16138" width="9.85546875" style="88" bestFit="1" customWidth="1"/>
    <col min="16139" max="16139" width="10.5703125" style="88" bestFit="1" customWidth="1"/>
    <col min="16140" max="16142" width="13.42578125" style="88" customWidth="1"/>
    <col min="16143" max="16143" width="19.140625" style="88" customWidth="1"/>
    <col min="16144" max="16144" width="13.42578125" style="88" customWidth="1"/>
    <col min="16145" max="16145" width="19.85546875" style="88" customWidth="1"/>
    <col min="16146" max="16146" width="16" style="88" customWidth="1"/>
    <col min="16147" max="16147" width="24.28515625" style="88" customWidth="1"/>
    <col min="16148" max="16153" width="10.85546875" style="88" customWidth="1"/>
    <col min="16154" max="16154" width="16.28515625" style="88" bestFit="1" customWidth="1"/>
    <col min="16155" max="16155" width="12.140625" style="88" bestFit="1" customWidth="1"/>
    <col min="16156" max="16158" width="10.85546875" style="88" customWidth="1"/>
    <col min="16159" max="16159" width="9.28515625" style="88" bestFit="1" customWidth="1"/>
    <col min="16160" max="16384" width="9.140625" style="88"/>
  </cols>
  <sheetData>
    <row r="1" spans="1:47" ht="91.5" customHeight="1" x14ac:dyDescent="0.25">
      <c r="A1" s="435" t="s">
        <v>1072</v>
      </c>
      <c r="B1" s="436"/>
      <c r="C1" s="436"/>
      <c r="D1" s="436"/>
      <c r="E1" s="436"/>
      <c r="F1" s="437"/>
      <c r="G1" s="438" t="s">
        <v>1074</v>
      </c>
      <c r="H1" s="439"/>
      <c r="I1" s="312" t="s">
        <v>0</v>
      </c>
      <c r="J1" s="312"/>
      <c r="K1" s="312"/>
      <c r="L1" s="312"/>
      <c r="M1" s="312"/>
      <c r="N1" s="312"/>
      <c r="O1" s="312"/>
      <c r="P1" s="312"/>
      <c r="Q1" s="312"/>
      <c r="R1" s="312"/>
      <c r="S1" s="312"/>
      <c r="T1" s="312"/>
      <c r="U1" s="312"/>
      <c r="V1" s="312"/>
      <c r="W1" s="312"/>
      <c r="X1" s="312"/>
      <c r="Y1" s="312"/>
      <c r="Z1" s="312"/>
      <c r="AA1" s="312"/>
      <c r="AB1" s="312"/>
      <c r="AC1" s="312"/>
      <c r="AD1" s="312"/>
      <c r="AE1" s="312"/>
      <c r="AF1" s="312"/>
      <c r="AG1" s="312"/>
      <c r="AH1" s="312"/>
      <c r="AI1" s="312"/>
      <c r="AJ1" s="312"/>
      <c r="AK1" s="312"/>
      <c r="AL1" s="312"/>
      <c r="AM1" s="312"/>
      <c r="AN1" s="312"/>
      <c r="AO1" s="312"/>
      <c r="AP1" s="303" t="s">
        <v>1</v>
      </c>
      <c r="AQ1" s="303"/>
      <c r="AR1" s="303" t="s">
        <v>2</v>
      </c>
      <c r="AS1" s="303"/>
      <c r="AT1" s="304" t="s">
        <v>16</v>
      </c>
      <c r="AU1" s="301" t="s">
        <v>3</v>
      </c>
    </row>
    <row r="2" spans="1:47" ht="36.75" customHeight="1" x14ac:dyDescent="0.25">
      <c r="A2" s="435"/>
      <c r="B2" s="436"/>
      <c r="C2" s="436"/>
      <c r="D2" s="436"/>
      <c r="E2" s="436"/>
      <c r="F2" s="437"/>
      <c r="G2" s="440"/>
      <c r="H2" s="441"/>
      <c r="I2" s="448" t="s">
        <v>5</v>
      </c>
      <c r="J2" s="451" t="s">
        <v>2382</v>
      </c>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46" t="s">
        <v>2383</v>
      </c>
      <c r="AP2" s="24"/>
      <c r="AQ2" s="129"/>
      <c r="AR2" s="24"/>
      <c r="AS2" s="129"/>
      <c r="AT2" s="305"/>
      <c r="AU2" s="302"/>
    </row>
    <row r="3" spans="1:47" ht="36.75" customHeight="1" x14ac:dyDescent="0.25">
      <c r="A3" s="446" t="s">
        <v>39</v>
      </c>
      <c r="B3" s="446" t="s">
        <v>40</v>
      </c>
      <c r="C3" s="446" t="s">
        <v>4</v>
      </c>
      <c r="D3" s="446"/>
      <c r="E3" s="446" t="s">
        <v>1159</v>
      </c>
      <c r="F3" s="446" t="s">
        <v>421</v>
      </c>
      <c r="G3" s="444" t="s">
        <v>1075</v>
      </c>
      <c r="H3" s="442" t="s">
        <v>1076</v>
      </c>
      <c r="I3" s="449"/>
      <c r="J3" s="454" t="s">
        <v>2384</v>
      </c>
      <c r="K3" s="455"/>
      <c r="L3" s="455"/>
      <c r="M3" s="456" t="s">
        <v>2386</v>
      </c>
      <c r="N3" s="456" t="s">
        <v>2387</v>
      </c>
      <c r="O3" s="458" t="s">
        <v>1086</v>
      </c>
      <c r="P3" s="458" t="s">
        <v>2388</v>
      </c>
      <c r="Q3" s="458" t="s">
        <v>2389</v>
      </c>
      <c r="R3" s="458" t="s">
        <v>1089</v>
      </c>
      <c r="S3" s="458" t="s">
        <v>1090</v>
      </c>
      <c r="T3" s="458" t="s">
        <v>1091</v>
      </c>
      <c r="U3" s="458" t="s">
        <v>1092</v>
      </c>
      <c r="V3" s="458" t="s">
        <v>1093</v>
      </c>
      <c r="W3" s="458" t="s">
        <v>1094</v>
      </c>
      <c r="X3" s="458" t="s">
        <v>1095</v>
      </c>
      <c r="Y3" s="458" t="s">
        <v>2390</v>
      </c>
      <c r="Z3" s="458" t="s">
        <v>1096</v>
      </c>
      <c r="AA3" s="458" t="s">
        <v>1097</v>
      </c>
      <c r="AB3" s="458" t="s">
        <v>1098</v>
      </c>
      <c r="AC3" s="458" t="s">
        <v>2391</v>
      </c>
      <c r="AD3" s="458" t="s">
        <v>1099</v>
      </c>
      <c r="AE3" s="458" t="s">
        <v>2392</v>
      </c>
      <c r="AF3" s="458" t="s">
        <v>2393</v>
      </c>
      <c r="AG3" s="458" t="s">
        <v>1102</v>
      </c>
      <c r="AH3" s="458" t="s">
        <v>1103</v>
      </c>
      <c r="AI3" s="458" t="s">
        <v>1104</v>
      </c>
      <c r="AJ3" s="458" t="s">
        <v>1105</v>
      </c>
      <c r="AK3" s="458" t="s">
        <v>1106</v>
      </c>
      <c r="AL3" s="458" t="s">
        <v>1107</v>
      </c>
      <c r="AM3" s="458" t="s">
        <v>1108</v>
      </c>
      <c r="AN3" s="460" t="s">
        <v>1136</v>
      </c>
      <c r="AO3" s="453"/>
      <c r="AP3" s="24"/>
      <c r="AQ3" s="129"/>
      <c r="AR3" s="24"/>
      <c r="AS3" s="129"/>
      <c r="AT3" s="305"/>
      <c r="AU3" s="302"/>
    </row>
    <row r="4" spans="1:47" ht="70.5" customHeight="1" thickBot="1" x14ac:dyDescent="0.3">
      <c r="A4" s="447"/>
      <c r="B4" s="447"/>
      <c r="C4" s="447"/>
      <c r="D4" s="447"/>
      <c r="E4" s="447"/>
      <c r="F4" s="447"/>
      <c r="G4" s="445"/>
      <c r="H4" s="443"/>
      <c r="I4" s="450"/>
      <c r="J4" s="130" t="s">
        <v>2385</v>
      </c>
      <c r="K4" s="131" t="s">
        <v>2394</v>
      </c>
      <c r="L4" s="131" t="s">
        <v>2395</v>
      </c>
      <c r="M4" s="457"/>
      <c r="N4" s="457"/>
      <c r="O4" s="459"/>
      <c r="P4" s="459"/>
      <c r="Q4" s="459"/>
      <c r="R4" s="459"/>
      <c r="S4" s="459"/>
      <c r="T4" s="459"/>
      <c r="U4" s="459"/>
      <c r="V4" s="459"/>
      <c r="W4" s="459"/>
      <c r="X4" s="459"/>
      <c r="Y4" s="459"/>
      <c r="Z4" s="459"/>
      <c r="AA4" s="459"/>
      <c r="AB4" s="459"/>
      <c r="AC4" s="459"/>
      <c r="AD4" s="459"/>
      <c r="AE4" s="459"/>
      <c r="AF4" s="459"/>
      <c r="AG4" s="459"/>
      <c r="AH4" s="459"/>
      <c r="AI4" s="459"/>
      <c r="AJ4" s="459"/>
      <c r="AK4" s="459"/>
      <c r="AL4" s="459"/>
      <c r="AM4" s="459"/>
      <c r="AN4" s="461"/>
      <c r="AO4" s="447"/>
      <c r="AP4" s="28" t="s">
        <v>14</v>
      </c>
      <c r="AQ4" s="25" t="s">
        <v>7</v>
      </c>
      <c r="AR4" s="28" t="s">
        <v>15</v>
      </c>
      <c r="AS4" s="25" t="s">
        <v>8</v>
      </c>
      <c r="AT4" s="305"/>
      <c r="AU4" s="302"/>
    </row>
    <row r="5" spans="1:47" ht="37.5" customHeight="1" thickTop="1" thickBot="1" x14ac:dyDescent="0.3">
      <c r="A5" s="53"/>
      <c r="B5" s="54"/>
      <c r="C5" s="272" t="s">
        <v>1073</v>
      </c>
      <c r="D5" s="273"/>
      <c r="E5" s="273"/>
      <c r="F5" s="273"/>
      <c r="G5" s="31"/>
      <c r="H5" s="32"/>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2"/>
      <c r="AP5" s="33"/>
      <c r="AQ5" s="34">
        <f>+AQ6+AQ8+AQ10+AQ37+AQ43+AQ57+AQ201+AQ238+AQ277+AQ314+AQ347+AQ412+AQ443</f>
        <v>0</v>
      </c>
      <c r="AR5" s="33"/>
      <c r="AS5" s="34">
        <f>+AS6+AS8+AS10+AS37+AS43+AS57+AS201+AS238+AS277+AS314+AS347+AS412+AS443</f>
        <v>0</v>
      </c>
      <c r="AT5" s="35"/>
      <c r="AU5" s="34">
        <f>+AU6+AU8+AU10+AU37+AU43+AU57+AU201+AU238+AU277+AU314+AU347+AU412+AU443</f>
        <v>0</v>
      </c>
    </row>
    <row r="6" spans="1:47" ht="30" customHeight="1" thickTop="1" x14ac:dyDescent="0.25">
      <c r="A6" s="132"/>
      <c r="B6" s="70">
        <v>1</v>
      </c>
      <c r="C6" s="274" t="s">
        <v>1077</v>
      </c>
      <c r="D6" s="275"/>
      <c r="E6" s="133"/>
      <c r="F6" s="71"/>
      <c r="G6" s="90"/>
      <c r="H6" s="73"/>
      <c r="I6" s="90"/>
      <c r="J6" s="72"/>
      <c r="K6" s="72"/>
      <c r="L6" s="72"/>
      <c r="M6" s="72"/>
      <c r="N6" s="72"/>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3"/>
      <c r="AP6" s="74"/>
      <c r="AQ6" s="75">
        <f>SUM(AQ7)</f>
        <v>0</v>
      </c>
      <c r="AR6" s="74"/>
      <c r="AS6" s="75">
        <f>SUM(AS7)</f>
        <v>0</v>
      </c>
      <c r="AT6" s="74"/>
      <c r="AU6" s="75">
        <f>SUM(AU7)</f>
        <v>0</v>
      </c>
    </row>
    <row r="7" spans="1:47" ht="103.5" customHeight="1" x14ac:dyDescent="0.25">
      <c r="A7" s="76"/>
      <c r="B7" s="87"/>
      <c r="C7" s="375" t="s">
        <v>1080</v>
      </c>
      <c r="D7" s="355"/>
      <c r="E7" s="134" t="s">
        <v>1081</v>
      </c>
      <c r="F7" s="91"/>
      <c r="G7" s="135" t="s">
        <v>1078</v>
      </c>
      <c r="H7" s="92" t="s">
        <v>1079</v>
      </c>
      <c r="I7" s="61" t="s">
        <v>392</v>
      </c>
      <c r="J7" s="136"/>
      <c r="K7" s="137"/>
      <c r="L7" s="137"/>
      <c r="M7" s="137"/>
      <c r="N7" s="137">
        <v>1</v>
      </c>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8"/>
      <c r="AO7" s="92">
        <f>SUM(J7:AN7)</f>
        <v>1</v>
      </c>
      <c r="AP7" s="139"/>
      <c r="AQ7" s="63">
        <f t="shared" ref="AQ7" si="0">+AP7*AO7</f>
        <v>0</v>
      </c>
      <c r="AR7" s="2"/>
      <c r="AS7" s="63">
        <f>+AR7*AO7</f>
        <v>0</v>
      </c>
      <c r="AT7" s="93">
        <f>+AP7+AR7</f>
        <v>0</v>
      </c>
      <c r="AU7" s="63">
        <f>+AT7*AO7</f>
        <v>0</v>
      </c>
    </row>
    <row r="8" spans="1:47" ht="30" customHeight="1" x14ac:dyDescent="0.25">
      <c r="A8" s="140"/>
      <c r="B8" s="37">
        <v>2</v>
      </c>
      <c r="C8" s="270" t="s">
        <v>1082</v>
      </c>
      <c r="D8" s="271"/>
      <c r="E8" s="141"/>
      <c r="F8" s="77"/>
      <c r="G8" s="97"/>
      <c r="H8" s="84"/>
      <c r="I8" s="97"/>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4"/>
      <c r="AP8" s="78"/>
      <c r="AQ8" s="79">
        <f>SUM(AQ9)</f>
        <v>0</v>
      </c>
      <c r="AR8" s="78"/>
      <c r="AS8" s="79">
        <f>SUM(AS9)</f>
        <v>0</v>
      </c>
      <c r="AT8" s="78"/>
      <c r="AU8" s="79">
        <f>SUM(AU9)</f>
        <v>0</v>
      </c>
    </row>
    <row r="9" spans="1:47" ht="76.5" customHeight="1" x14ac:dyDescent="0.25">
      <c r="A9" s="76"/>
      <c r="B9" s="98"/>
      <c r="C9" s="375" t="s">
        <v>1160</v>
      </c>
      <c r="D9" s="376"/>
      <c r="E9" s="134" t="s">
        <v>1083</v>
      </c>
      <c r="F9" s="91" t="s">
        <v>2298</v>
      </c>
      <c r="G9" s="135" t="s">
        <v>2299</v>
      </c>
      <c r="H9" s="92" t="s">
        <v>1079</v>
      </c>
      <c r="I9" s="61" t="s">
        <v>392</v>
      </c>
      <c r="J9" s="136"/>
      <c r="K9" s="137">
        <v>1</v>
      </c>
      <c r="L9" s="137"/>
      <c r="M9" s="137"/>
      <c r="N9" s="137"/>
      <c r="O9" s="137"/>
      <c r="P9" s="137"/>
      <c r="Q9" s="137"/>
      <c r="R9" s="137"/>
      <c r="S9" s="137"/>
      <c r="T9" s="137"/>
      <c r="U9" s="137"/>
      <c r="V9" s="137"/>
      <c r="W9" s="137"/>
      <c r="X9" s="137"/>
      <c r="Y9" s="137"/>
      <c r="Z9" s="137"/>
      <c r="AA9" s="137"/>
      <c r="AB9" s="137"/>
      <c r="AC9" s="137"/>
      <c r="AD9" s="137"/>
      <c r="AE9" s="137"/>
      <c r="AF9" s="137"/>
      <c r="AG9" s="137"/>
      <c r="AH9" s="137"/>
      <c r="AI9" s="137"/>
      <c r="AJ9" s="137"/>
      <c r="AK9" s="137"/>
      <c r="AL9" s="137"/>
      <c r="AM9" s="137"/>
      <c r="AN9" s="138"/>
      <c r="AO9" s="92">
        <f>SUM(J9:AN9)</f>
        <v>1</v>
      </c>
      <c r="AP9" s="2"/>
      <c r="AQ9" s="63">
        <f t="shared" ref="AQ9" si="1">+AP9*AO9</f>
        <v>0</v>
      </c>
      <c r="AR9" s="2"/>
      <c r="AS9" s="63">
        <f>+AR9*AO9</f>
        <v>0</v>
      </c>
      <c r="AT9" s="93">
        <f>+AP9+AR9</f>
        <v>0</v>
      </c>
      <c r="AU9" s="63">
        <f>+AT9*AO9</f>
        <v>0</v>
      </c>
    </row>
    <row r="10" spans="1:47" ht="155.25" customHeight="1" x14ac:dyDescent="0.25">
      <c r="A10" s="140"/>
      <c r="B10" s="37">
        <v>3</v>
      </c>
      <c r="C10" s="270" t="s">
        <v>1084</v>
      </c>
      <c r="D10" s="271"/>
      <c r="E10" s="271"/>
      <c r="F10" s="356"/>
      <c r="G10" s="142"/>
      <c r="H10" s="143"/>
      <c r="I10" s="142"/>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4"/>
      <c r="AM10" s="144"/>
      <c r="AN10" s="144"/>
      <c r="AO10" s="143"/>
      <c r="AP10" s="145"/>
      <c r="AQ10" s="146">
        <f>SUM(AQ11:AQ36)</f>
        <v>0</v>
      </c>
      <c r="AR10" s="145"/>
      <c r="AS10" s="146">
        <f>SUM(AS11:AS36)</f>
        <v>0</v>
      </c>
      <c r="AT10" s="145"/>
      <c r="AU10" s="147">
        <f>SUM(AU11:AU36)</f>
        <v>0</v>
      </c>
    </row>
    <row r="11" spans="1:47" ht="30" customHeight="1" x14ac:dyDescent="0.25">
      <c r="A11" s="76"/>
      <c r="B11" s="148" t="s">
        <v>1085</v>
      </c>
      <c r="C11" s="406" t="s">
        <v>1086</v>
      </c>
      <c r="D11" s="407"/>
      <c r="E11" s="430" t="s">
        <v>1327</v>
      </c>
      <c r="F11" s="401" t="s">
        <v>1137</v>
      </c>
      <c r="G11" s="421" t="s">
        <v>1078</v>
      </c>
      <c r="H11" s="347" t="s">
        <v>1079</v>
      </c>
      <c r="I11" s="151" t="s">
        <v>1138</v>
      </c>
      <c r="J11" s="152"/>
      <c r="K11" s="153"/>
      <c r="L11" s="153"/>
      <c r="M11" s="153"/>
      <c r="N11" s="153"/>
      <c r="O11" s="153">
        <v>1</v>
      </c>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4"/>
      <c r="AO11" s="155">
        <f t="shared" ref="AO11:AO74" si="2">SUM(J11:AN11)</f>
        <v>1</v>
      </c>
      <c r="AP11" s="118"/>
      <c r="AQ11" s="156">
        <f t="shared" ref="AQ11" si="3">+AP11*AO11</f>
        <v>0</v>
      </c>
      <c r="AR11" s="13"/>
      <c r="AS11" s="156">
        <f t="shared" ref="AS11" si="4">+AR11*AO11</f>
        <v>0</v>
      </c>
      <c r="AT11" s="157">
        <f t="shared" ref="AT11" si="5">+AR11+AP11</f>
        <v>0</v>
      </c>
      <c r="AU11" s="156">
        <f t="shared" ref="AU11" si="6">+AT11*AO11</f>
        <v>0</v>
      </c>
    </row>
    <row r="12" spans="1:47" ht="30" customHeight="1" x14ac:dyDescent="0.25">
      <c r="A12" s="76"/>
      <c r="B12" s="158" t="s">
        <v>1111</v>
      </c>
      <c r="C12" s="411" t="s">
        <v>1087</v>
      </c>
      <c r="D12" s="412"/>
      <c r="E12" s="431"/>
      <c r="F12" s="409"/>
      <c r="G12" s="422"/>
      <c r="H12" s="348"/>
      <c r="I12" s="162" t="s">
        <v>1138</v>
      </c>
      <c r="J12" s="163"/>
      <c r="K12" s="164"/>
      <c r="L12" s="164"/>
      <c r="M12" s="164"/>
      <c r="N12" s="164"/>
      <c r="O12" s="164"/>
      <c r="P12" s="164">
        <v>1</v>
      </c>
      <c r="Q12" s="164"/>
      <c r="R12" s="164"/>
      <c r="S12" s="164"/>
      <c r="T12" s="164"/>
      <c r="U12" s="164"/>
      <c r="V12" s="164"/>
      <c r="W12" s="164"/>
      <c r="X12" s="164"/>
      <c r="Y12" s="164"/>
      <c r="Z12" s="164"/>
      <c r="AA12" s="164"/>
      <c r="AB12" s="164"/>
      <c r="AC12" s="164"/>
      <c r="AD12" s="164"/>
      <c r="AE12" s="164"/>
      <c r="AF12" s="164"/>
      <c r="AG12" s="164"/>
      <c r="AH12" s="164"/>
      <c r="AI12" s="164"/>
      <c r="AJ12" s="164"/>
      <c r="AK12" s="164"/>
      <c r="AL12" s="164"/>
      <c r="AM12" s="164"/>
      <c r="AN12" s="165"/>
      <c r="AO12" s="166">
        <f t="shared" si="2"/>
        <v>1</v>
      </c>
      <c r="AP12" s="118"/>
      <c r="AQ12" s="167">
        <f t="shared" ref="AQ12:AQ36" si="7">+AP12*AO12</f>
        <v>0</v>
      </c>
      <c r="AR12" s="12"/>
      <c r="AS12" s="167">
        <f t="shared" ref="AS12" si="8">+AR12*AO12</f>
        <v>0</v>
      </c>
      <c r="AT12" s="168">
        <f t="shared" ref="AT12" si="9">+AR12+AP12</f>
        <v>0</v>
      </c>
      <c r="AU12" s="167">
        <f t="shared" ref="AU12" si="10">+AT12*AO12</f>
        <v>0</v>
      </c>
    </row>
    <row r="13" spans="1:47" ht="30" customHeight="1" x14ac:dyDescent="0.25">
      <c r="A13" s="76"/>
      <c r="B13" s="158" t="s">
        <v>1112</v>
      </c>
      <c r="C13" s="411" t="s">
        <v>1088</v>
      </c>
      <c r="D13" s="412"/>
      <c r="E13" s="431"/>
      <c r="F13" s="409"/>
      <c r="G13" s="422"/>
      <c r="H13" s="348"/>
      <c r="I13" s="162" t="s">
        <v>1138</v>
      </c>
      <c r="J13" s="163"/>
      <c r="K13" s="164"/>
      <c r="L13" s="164"/>
      <c r="M13" s="164"/>
      <c r="N13" s="164"/>
      <c r="O13" s="164"/>
      <c r="P13" s="164"/>
      <c r="Q13" s="164">
        <v>1</v>
      </c>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5"/>
      <c r="AO13" s="166">
        <f t="shared" si="2"/>
        <v>1</v>
      </c>
      <c r="AP13" s="118"/>
      <c r="AQ13" s="167">
        <f t="shared" si="7"/>
        <v>0</v>
      </c>
      <c r="AR13" s="12"/>
      <c r="AS13" s="167">
        <f t="shared" ref="AS13:AS36" si="11">+AR13*AO13</f>
        <v>0</v>
      </c>
      <c r="AT13" s="168">
        <f t="shared" ref="AT13:AT36" si="12">+AR13+AP13</f>
        <v>0</v>
      </c>
      <c r="AU13" s="167">
        <f t="shared" ref="AU13:AU36" si="13">+AT13*AO13</f>
        <v>0</v>
      </c>
    </row>
    <row r="14" spans="1:47" ht="30" customHeight="1" x14ac:dyDescent="0.25">
      <c r="A14" s="76"/>
      <c r="B14" s="158" t="s">
        <v>1113</v>
      </c>
      <c r="C14" s="411" t="s">
        <v>1089</v>
      </c>
      <c r="D14" s="412"/>
      <c r="E14" s="431"/>
      <c r="F14" s="409"/>
      <c r="G14" s="422"/>
      <c r="H14" s="348"/>
      <c r="I14" s="162" t="s">
        <v>1138</v>
      </c>
      <c r="J14" s="163"/>
      <c r="K14" s="164"/>
      <c r="L14" s="164"/>
      <c r="M14" s="164"/>
      <c r="N14" s="164"/>
      <c r="O14" s="164"/>
      <c r="P14" s="164"/>
      <c r="Q14" s="164"/>
      <c r="R14" s="164">
        <v>1</v>
      </c>
      <c r="S14" s="164"/>
      <c r="T14" s="164"/>
      <c r="U14" s="164"/>
      <c r="V14" s="164"/>
      <c r="W14" s="164"/>
      <c r="X14" s="164"/>
      <c r="Y14" s="164"/>
      <c r="Z14" s="164"/>
      <c r="AA14" s="164"/>
      <c r="AB14" s="164"/>
      <c r="AC14" s="164"/>
      <c r="AD14" s="164"/>
      <c r="AE14" s="164"/>
      <c r="AF14" s="164"/>
      <c r="AG14" s="164"/>
      <c r="AH14" s="164"/>
      <c r="AI14" s="164"/>
      <c r="AJ14" s="164"/>
      <c r="AK14" s="164"/>
      <c r="AL14" s="164"/>
      <c r="AM14" s="164"/>
      <c r="AN14" s="165"/>
      <c r="AO14" s="166">
        <f t="shared" si="2"/>
        <v>1</v>
      </c>
      <c r="AP14" s="118"/>
      <c r="AQ14" s="167">
        <f t="shared" si="7"/>
        <v>0</v>
      </c>
      <c r="AR14" s="12"/>
      <c r="AS14" s="167">
        <f t="shared" si="11"/>
        <v>0</v>
      </c>
      <c r="AT14" s="168">
        <f t="shared" si="12"/>
        <v>0</v>
      </c>
      <c r="AU14" s="167">
        <f t="shared" si="13"/>
        <v>0</v>
      </c>
    </row>
    <row r="15" spans="1:47" ht="30" customHeight="1" x14ac:dyDescent="0.25">
      <c r="A15" s="76"/>
      <c r="B15" s="158" t="s">
        <v>1114</v>
      </c>
      <c r="C15" s="411" t="s">
        <v>1090</v>
      </c>
      <c r="D15" s="412"/>
      <c r="E15" s="431"/>
      <c r="F15" s="409"/>
      <c r="G15" s="422"/>
      <c r="H15" s="348"/>
      <c r="I15" s="162" t="s">
        <v>1138</v>
      </c>
      <c r="J15" s="163"/>
      <c r="K15" s="164"/>
      <c r="L15" s="164"/>
      <c r="M15" s="164"/>
      <c r="N15" s="164"/>
      <c r="O15" s="164"/>
      <c r="P15" s="164"/>
      <c r="Q15" s="164"/>
      <c r="R15" s="164"/>
      <c r="S15" s="164">
        <v>1</v>
      </c>
      <c r="T15" s="164"/>
      <c r="U15" s="164"/>
      <c r="V15" s="164"/>
      <c r="W15" s="164"/>
      <c r="X15" s="164"/>
      <c r="Y15" s="164"/>
      <c r="Z15" s="164"/>
      <c r="AA15" s="164"/>
      <c r="AB15" s="164"/>
      <c r="AC15" s="164"/>
      <c r="AD15" s="164"/>
      <c r="AE15" s="164"/>
      <c r="AF15" s="164"/>
      <c r="AG15" s="164"/>
      <c r="AH15" s="164"/>
      <c r="AI15" s="164"/>
      <c r="AJ15" s="164"/>
      <c r="AK15" s="164"/>
      <c r="AL15" s="164"/>
      <c r="AM15" s="164"/>
      <c r="AN15" s="165"/>
      <c r="AO15" s="166">
        <f t="shared" si="2"/>
        <v>1</v>
      </c>
      <c r="AP15" s="118"/>
      <c r="AQ15" s="167">
        <f t="shared" si="7"/>
        <v>0</v>
      </c>
      <c r="AR15" s="12"/>
      <c r="AS15" s="167">
        <f t="shared" si="11"/>
        <v>0</v>
      </c>
      <c r="AT15" s="168">
        <f t="shared" si="12"/>
        <v>0</v>
      </c>
      <c r="AU15" s="167">
        <f t="shared" si="13"/>
        <v>0</v>
      </c>
    </row>
    <row r="16" spans="1:47" ht="30" customHeight="1" x14ac:dyDescent="0.25">
      <c r="A16" s="76"/>
      <c r="B16" s="158" t="s">
        <v>1115</v>
      </c>
      <c r="C16" s="411" t="s">
        <v>1091</v>
      </c>
      <c r="D16" s="412"/>
      <c r="E16" s="431"/>
      <c r="F16" s="409"/>
      <c r="G16" s="422"/>
      <c r="H16" s="348"/>
      <c r="I16" s="162" t="s">
        <v>1138</v>
      </c>
      <c r="J16" s="163"/>
      <c r="K16" s="164"/>
      <c r="L16" s="164"/>
      <c r="M16" s="164"/>
      <c r="N16" s="164"/>
      <c r="O16" s="164"/>
      <c r="P16" s="164"/>
      <c r="Q16" s="164"/>
      <c r="R16" s="164"/>
      <c r="S16" s="164"/>
      <c r="T16" s="164">
        <v>1</v>
      </c>
      <c r="U16" s="164"/>
      <c r="V16" s="164"/>
      <c r="W16" s="164"/>
      <c r="X16" s="164"/>
      <c r="Y16" s="164"/>
      <c r="Z16" s="164"/>
      <c r="AA16" s="164"/>
      <c r="AB16" s="164"/>
      <c r="AC16" s="164"/>
      <c r="AD16" s="164"/>
      <c r="AE16" s="164"/>
      <c r="AF16" s="164"/>
      <c r="AG16" s="164"/>
      <c r="AH16" s="164"/>
      <c r="AI16" s="164"/>
      <c r="AJ16" s="164"/>
      <c r="AK16" s="164"/>
      <c r="AL16" s="164"/>
      <c r="AM16" s="164"/>
      <c r="AN16" s="165"/>
      <c r="AO16" s="166">
        <f t="shared" si="2"/>
        <v>1</v>
      </c>
      <c r="AP16" s="118"/>
      <c r="AQ16" s="167">
        <f t="shared" si="7"/>
        <v>0</v>
      </c>
      <c r="AR16" s="12"/>
      <c r="AS16" s="167">
        <f t="shared" si="11"/>
        <v>0</v>
      </c>
      <c r="AT16" s="168">
        <f t="shared" si="12"/>
        <v>0</v>
      </c>
      <c r="AU16" s="167">
        <f t="shared" si="13"/>
        <v>0</v>
      </c>
    </row>
    <row r="17" spans="1:47" ht="30" customHeight="1" x14ac:dyDescent="0.25">
      <c r="A17" s="76"/>
      <c r="B17" s="158" t="s">
        <v>1116</v>
      </c>
      <c r="C17" s="411" t="s">
        <v>1092</v>
      </c>
      <c r="D17" s="412"/>
      <c r="E17" s="431"/>
      <c r="F17" s="409"/>
      <c r="G17" s="422"/>
      <c r="H17" s="348"/>
      <c r="I17" s="162" t="s">
        <v>1138</v>
      </c>
      <c r="J17" s="163"/>
      <c r="K17" s="164"/>
      <c r="L17" s="164"/>
      <c r="M17" s="164"/>
      <c r="N17" s="164"/>
      <c r="O17" s="164"/>
      <c r="P17" s="164"/>
      <c r="Q17" s="164"/>
      <c r="R17" s="164"/>
      <c r="S17" s="164"/>
      <c r="T17" s="164"/>
      <c r="U17" s="164">
        <v>1</v>
      </c>
      <c r="V17" s="164"/>
      <c r="W17" s="164"/>
      <c r="X17" s="164"/>
      <c r="Y17" s="164"/>
      <c r="Z17" s="164"/>
      <c r="AA17" s="164"/>
      <c r="AB17" s="164"/>
      <c r="AC17" s="164"/>
      <c r="AD17" s="164"/>
      <c r="AE17" s="164"/>
      <c r="AF17" s="164"/>
      <c r="AG17" s="164"/>
      <c r="AH17" s="164"/>
      <c r="AI17" s="164"/>
      <c r="AJ17" s="164"/>
      <c r="AK17" s="164"/>
      <c r="AL17" s="164"/>
      <c r="AM17" s="164"/>
      <c r="AN17" s="165"/>
      <c r="AO17" s="166">
        <f t="shared" si="2"/>
        <v>1</v>
      </c>
      <c r="AP17" s="118"/>
      <c r="AQ17" s="167">
        <f t="shared" si="7"/>
        <v>0</v>
      </c>
      <c r="AR17" s="12"/>
      <c r="AS17" s="167">
        <f t="shared" si="11"/>
        <v>0</v>
      </c>
      <c r="AT17" s="168">
        <f t="shared" si="12"/>
        <v>0</v>
      </c>
      <c r="AU17" s="167">
        <f t="shared" si="13"/>
        <v>0</v>
      </c>
    </row>
    <row r="18" spans="1:47" ht="30" customHeight="1" x14ac:dyDescent="0.25">
      <c r="A18" s="76"/>
      <c r="B18" s="158" t="s">
        <v>1117</v>
      </c>
      <c r="C18" s="411" t="s">
        <v>1093</v>
      </c>
      <c r="D18" s="412"/>
      <c r="E18" s="431"/>
      <c r="F18" s="409"/>
      <c r="G18" s="422"/>
      <c r="H18" s="348"/>
      <c r="I18" s="162" t="s">
        <v>1138</v>
      </c>
      <c r="J18" s="163"/>
      <c r="K18" s="164"/>
      <c r="L18" s="164"/>
      <c r="M18" s="164"/>
      <c r="N18" s="164"/>
      <c r="O18" s="164"/>
      <c r="P18" s="164"/>
      <c r="Q18" s="164"/>
      <c r="R18" s="164"/>
      <c r="S18" s="164"/>
      <c r="T18" s="164"/>
      <c r="U18" s="164"/>
      <c r="V18" s="164">
        <v>1</v>
      </c>
      <c r="W18" s="164"/>
      <c r="X18" s="164"/>
      <c r="Y18" s="164"/>
      <c r="Z18" s="164"/>
      <c r="AA18" s="164"/>
      <c r="AB18" s="164"/>
      <c r="AC18" s="164"/>
      <c r="AD18" s="164"/>
      <c r="AE18" s="164"/>
      <c r="AF18" s="164"/>
      <c r="AG18" s="164"/>
      <c r="AH18" s="164"/>
      <c r="AI18" s="164"/>
      <c r="AJ18" s="164"/>
      <c r="AK18" s="164"/>
      <c r="AL18" s="164"/>
      <c r="AM18" s="164"/>
      <c r="AN18" s="165"/>
      <c r="AO18" s="166">
        <f t="shared" si="2"/>
        <v>1</v>
      </c>
      <c r="AP18" s="118"/>
      <c r="AQ18" s="167">
        <f t="shared" si="7"/>
        <v>0</v>
      </c>
      <c r="AR18" s="12"/>
      <c r="AS18" s="167">
        <f t="shared" si="11"/>
        <v>0</v>
      </c>
      <c r="AT18" s="168">
        <f t="shared" si="12"/>
        <v>0</v>
      </c>
      <c r="AU18" s="167">
        <f t="shared" si="13"/>
        <v>0</v>
      </c>
    </row>
    <row r="19" spans="1:47" ht="30" customHeight="1" x14ac:dyDescent="0.25">
      <c r="A19" s="76"/>
      <c r="B19" s="158" t="s">
        <v>1118</v>
      </c>
      <c r="C19" s="411" t="s">
        <v>1094</v>
      </c>
      <c r="D19" s="412"/>
      <c r="E19" s="431"/>
      <c r="F19" s="409"/>
      <c r="G19" s="422"/>
      <c r="H19" s="348"/>
      <c r="I19" s="162" t="s">
        <v>1138</v>
      </c>
      <c r="J19" s="163"/>
      <c r="K19" s="164"/>
      <c r="L19" s="164"/>
      <c r="M19" s="164"/>
      <c r="N19" s="164"/>
      <c r="O19" s="164"/>
      <c r="P19" s="164"/>
      <c r="Q19" s="164"/>
      <c r="R19" s="164"/>
      <c r="S19" s="164"/>
      <c r="T19" s="164"/>
      <c r="U19" s="164"/>
      <c r="V19" s="164"/>
      <c r="W19" s="164">
        <v>1</v>
      </c>
      <c r="X19" s="164"/>
      <c r="Y19" s="164"/>
      <c r="Z19" s="164"/>
      <c r="AA19" s="164"/>
      <c r="AB19" s="164"/>
      <c r="AC19" s="164"/>
      <c r="AD19" s="164"/>
      <c r="AE19" s="164"/>
      <c r="AF19" s="164"/>
      <c r="AG19" s="164"/>
      <c r="AH19" s="164"/>
      <c r="AI19" s="164"/>
      <c r="AJ19" s="164"/>
      <c r="AK19" s="164"/>
      <c r="AL19" s="164"/>
      <c r="AM19" s="164"/>
      <c r="AN19" s="165"/>
      <c r="AO19" s="166">
        <f t="shared" si="2"/>
        <v>1</v>
      </c>
      <c r="AP19" s="118"/>
      <c r="AQ19" s="167">
        <f t="shared" si="7"/>
        <v>0</v>
      </c>
      <c r="AR19" s="12"/>
      <c r="AS19" s="167">
        <f t="shared" si="11"/>
        <v>0</v>
      </c>
      <c r="AT19" s="168">
        <f t="shared" si="12"/>
        <v>0</v>
      </c>
      <c r="AU19" s="167">
        <f t="shared" si="13"/>
        <v>0</v>
      </c>
    </row>
    <row r="20" spans="1:47" ht="30" customHeight="1" x14ac:dyDescent="0.25">
      <c r="A20" s="76"/>
      <c r="B20" s="158" t="s">
        <v>1119</v>
      </c>
      <c r="C20" s="411" t="s">
        <v>1095</v>
      </c>
      <c r="D20" s="412"/>
      <c r="E20" s="431"/>
      <c r="F20" s="409"/>
      <c r="G20" s="422"/>
      <c r="H20" s="348"/>
      <c r="I20" s="162" t="s">
        <v>1138</v>
      </c>
      <c r="J20" s="163"/>
      <c r="K20" s="164"/>
      <c r="L20" s="164"/>
      <c r="M20" s="164"/>
      <c r="N20" s="164"/>
      <c r="O20" s="164"/>
      <c r="P20" s="164"/>
      <c r="Q20" s="164"/>
      <c r="R20" s="164"/>
      <c r="S20" s="164"/>
      <c r="T20" s="164"/>
      <c r="U20" s="164"/>
      <c r="V20" s="164"/>
      <c r="W20" s="164"/>
      <c r="X20" s="164">
        <v>1</v>
      </c>
      <c r="Y20" s="164"/>
      <c r="Z20" s="164"/>
      <c r="AA20" s="164"/>
      <c r="AB20" s="164"/>
      <c r="AC20" s="164"/>
      <c r="AD20" s="164"/>
      <c r="AE20" s="164"/>
      <c r="AF20" s="164"/>
      <c r="AG20" s="164"/>
      <c r="AH20" s="164"/>
      <c r="AI20" s="164"/>
      <c r="AJ20" s="164"/>
      <c r="AK20" s="164"/>
      <c r="AL20" s="164"/>
      <c r="AM20" s="164"/>
      <c r="AN20" s="165"/>
      <c r="AO20" s="166">
        <f t="shared" si="2"/>
        <v>1</v>
      </c>
      <c r="AP20" s="118"/>
      <c r="AQ20" s="167">
        <f t="shared" si="7"/>
        <v>0</v>
      </c>
      <c r="AR20" s="12"/>
      <c r="AS20" s="167">
        <f t="shared" si="11"/>
        <v>0</v>
      </c>
      <c r="AT20" s="168">
        <f t="shared" si="12"/>
        <v>0</v>
      </c>
      <c r="AU20" s="167">
        <f t="shared" si="13"/>
        <v>0</v>
      </c>
    </row>
    <row r="21" spans="1:47" ht="30" customHeight="1" x14ac:dyDescent="0.25">
      <c r="A21" s="76"/>
      <c r="B21" s="158" t="s">
        <v>1120</v>
      </c>
      <c r="C21" s="411" t="s">
        <v>1109</v>
      </c>
      <c r="D21" s="412"/>
      <c r="E21" s="431"/>
      <c r="F21" s="409"/>
      <c r="G21" s="422"/>
      <c r="H21" s="348"/>
      <c r="I21" s="162" t="s">
        <v>1138</v>
      </c>
      <c r="J21" s="163"/>
      <c r="K21" s="164"/>
      <c r="L21" s="164"/>
      <c r="M21" s="164"/>
      <c r="N21" s="164"/>
      <c r="O21" s="164"/>
      <c r="P21" s="164"/>
      <c r="Q21" s="164"/>
      <c r="R21" s="164"/>
      <c r="S21" s="164"/>
      <c r="T21" s="164"/>
      <c r="U21" s="164"/>
      <c r="V21" s="164"/>
      <c r="W21" s="164"/>
      <c r="X21" s="164"/>
      <c r="Y21" s="164">
        <v>0</v>
      </c>
      <c r="Z21" s="164"/>
      <c r="AA21" s="164"/>
      <c r="AB21" s="164"/>
      <c r="AC21" s="164"/>
      <c r="AD21" s="164"/>
      <c r="AE21" s="164"/>
      <c r="AF21" s="164"/>
      <c r="AG21" s="164"/>
      <c r="AH21" s="164"/>
      <c r="AI21" s="164"/>
      <c r="AJ21" s="164"/>
      <c r="AK21" s="164"/>
      <c r="AL21" s="164"/>
      <c r="AM21" s="164"/>
      <c r="AN21" s="165"/>
      <c r="AO21" s="166">
        <f t="shared" si="2"/>
        <v>0</v>
      </c>
      <c r="AP21" s="118"/>
      <c r="AQ21" s="167">
        <f t="shared" si="7"/>
        <v>0</v>
      </c>
      <c r="AR21" s="12"/>
      <c r="AS21" s="167">
        <f t="shared" si="11"/>
        <v>0</v>
      </c>
      <c r="AT21" s="168">
        <f t="shared" si="12"/>
        <v>0</v>
      </c>
      <c r="AU21" s="167">
        <f t="shared" si="13"/>
        <v>0</v>
      </c>
    </row>
    <row r="22" spans="1:47" ht="30" customHeight="1" x14ac:dyDescent="0.25">
      <c r="A22" s="76"/>
      <c r="B22" s="158" t="s">
        <v>1121</v>
      </c>
      <c r="C22" s="411" t="s">
        <v>1096</v>
      </c>
      <c r="D22" s="412"/>
      <c r="E22" s="431"/>
      <c r="F22" s="409"/>
      <c r="G22" s="422"/>
      <c r="H22" s="348"/>
      <c r="I22" s="162" t="s">
        <v>1138</v>
      </c>
      <c r="J22" s="163"/>
      <c r="K22" s="164"/>
      <c r="L22" s="164"/>
      <c r="M22" s="164"/>
      <c r="N22" s="164"/>
      <c r="O22" s="164"/>
      <c r="P22" s="164"/>
      <c r="Q22" s="164"/>
      <c r="R22" s="164"/>
      <c r="S22" s="164"/>
      <c r="T22" s="164"/>
      <c r="U22" s="164"/>
      <c r="V22" s="164"/>
      <c r="W22" s="164"/>
      <c r="X22" s="164"/>
      <c r="Y22" s="164"/>
      <c r="Z22" s="164">
        <v>1</v>
      </c>
      <c r="AA22" s="164"/>
      <c r="AB22" s="164"/>
      <c r="AC22" s="164"/>
      <c r="AD22" s="164"/>
      <c r="AE22" s="164"/>
      <c r="AF22" s="164"/>
      <c r="AG22" s="164"/>
      <c r="AH22" s="164"/>
      <c r="AI22" s="164"/>
      <c r="AJ22" s="164"/>
      <c r="AK22" s="164"/>
      <c r="AL22" s="164"/>
      <c r="AM22" s="164"/>
      <c r="AN22" s="165"/>
      <c r="AO22" s="166">
        <f t="shared" si="2"/>
        <v>1</v>
      </c>
      <c r="AP22" s="118"/>
      <c r="AQ22" s="167">
        <f t="shared" si="7"/>
        <v>0</v>
      </c>
      <c r="AR22" s="12"/>
      <c r="AS22" s="167">
        <f t="shared" si="11"/>
        <v>0</v>
      </c>
      <c r="AT22" s="168">
        <f t="shared" si="12"/>
        <v>0</v>
      </c>
      <c r="AU22" s="167">
        <f t="shared" si="13"/>
        <v>0</v>
      </c>
    </row>
    <row r="23" spans="1:47" ht="30" customHeight="1" x14ac:dyDescent="0.25">
      <c r="A23" s="76"/>
      <c r="B23" s="158" t="s">
        <v>1122</v>
      </c>
      <c r="C23" s="411" t="s">
        <v>1097</v>
      </c>
      <c r="D23" s="412"/>
      <c r="E23" s="431"/>
      <c r="F23" s="409"/>
      <c r="G23" s="422"/>
      <c r="H23" s="348"/>
      <c r="I23" s="162" t="s">
        <v>1138</v>
      </c>
      <c r="J23" s="163"/>
      <c r="K23" s="164"/>
      <c r="L23" s="164"/>
      <c r="M23" s="164"/>
      <c r="N23" s="164"/>
      <c r="O23" s="164"/>
      <c r="P23" s="164"/>
      <c r="Q23" s="164"/>
      <c r="R23" s="164"/>
      <c r="S23" s="164"/>
      <c r="T23" s="164"/>
      <c r="U23" s="164"/>
      <c r="V23" s="164"/>
      <c r="W23" s="164"/>
      <c r="X23" s="164"/>
      <c r="Y23" s="164"/>
      <c r="Z23" s="164"/>
      <c r="AA23" s="164">
        <v>1</v>
      </c>
      <c r="AB23" s="164"/>
      <c r="AC23" s="164"/>
      <c r="AD23" s="164"/>
      <c r="AE23" s="164"/>
      <c r="AF23" s="164"/>
      <c r="AG23" s="164"/>
      <c r="AH23" s="164"/>
      <c r="AI23" s="164"/>
      <c r="AJ23" s="164"/>
      <c r="AK23" s="164"/>
      <c r="AL23" s="164"/>
      <c r="AM23" s="164"/>
      <c r="AN23" s="165"/>
      <c r="AO23" s="166">
        <f t="shared" si="2"/>
        <v>1</v>
      </c>
      <c r="AP23" s="118"/>
      <c r="AQ23" s="167">
        <f t="shared" si="7"/>
        <v>0</v>
      </c>
      <c r="AR23" s="12"/>
      <c r="AS23" s="167">
        <f t="shared" si="11"/>
        <v>0</v>
      </c>
      <c r="AT23" s="168">
        <f t="shared" si="12"/>
        <v>0</v>
      </c>
      <c r="AU23" s="167">
        <f t="shared" si="13"/>
        <v>0</v>
      </c>
    </row>
    <row r="24" spans="1:47" ht="30" customHeight="1" x14ac:dyDescent="0.25">
      <c r="A24" s="76"/>
      <c r="B24" s="158" t="s">
        <v>1123</v>
      </c>
      <c r="C24" s="411" t="s">
        <v>1098</v>
      </c>
      <c r="D24" s="412"/>
      <c r="E24" s="431"/>
      <c r="F24" s="409"/>
      <c r="G24" s="422"/>
      <c r="H24" s="348"/>
      <c r="I24" s="162" t="s">
        <v>393</v>
      </c>
      <c r="J24" s="163"/>
      <c r="K24" s="164"/>
      <c r="L24" s="164"/>
      <c r="M24" s="164"/>
      <c r="N24" s="164"/>
      <c r="O24" s="164"/>
      <c r="P24" s="164"/>
      <c r="Q24" s="164"/>
      <c r="R24" s="164"/>
      <c r="S24" s="164"/>
      <c r="T24" s="164"/>
      <c r="U24" s="164"/>
      <c r="V24" s="164"/>
      <c r="W24" s="164"/>
      <c r="X24" s="164"/>
      <c r="Y24" s="164"/>
      <c r="Z24" s="164"/>
      <c r="AA24" s="164"/>
      <c r="AB24" s="164">
        <v>1</v>
      </c>
      <c r="AC24" s="164"/>
      <c r="AD24" s="164"/>
      <c r="AE24" s="164"/>
      <c r="AF24" s="164"/>
      <c r="AG24" s="164"/>
      <c r="AH24" s="164"/>
      <c r="AI24" s="164"/>
      <c r="AJ24" s="164"/>
      <c r="AK24" s="164"/>
      <c r="AL24" s="164"/>
      <c r="AM24" s="164"/>
      <c r="AN24" s="165"/>
      <c r="AO24" s="166">
        <f t="shared" si="2"/>
        <v>1</v>
      </c>
      <c r="AP24" s="118"/>
      <c r="AQ24" s="167">
        <f t="shared" si="7"/>
        <v>0</v>
      </c>
      <c r="AR24" s="12"/>
      <c r="AS24" s="167">
        <f t="shared" si="11"/>
        <v>0</v>
      </c>
      <c r="AT24" s="168">
        <f t="shared" si="12"/>
        <v>0</v>
      </c>
      <c r="AU24" s="167">
        <f t="shared" si="13"/>
        <v>0</v>
      </c>
    </row>
    <row r="25" spans="1:47" ht="42.75" customHeight="1" x14ac:dyDescent="0.25">
      <c r="A25" s="76"/>
      <c r="B25" s="158" t="s">
        <v>1124</v>
      </c>
      <c r="C25" s="411" t="s">
        <v>1110</v>
      </c>
      <c r="D25" s="412"/>
      <c r="E25" s="431"/>
      <c r="F25" s="409"/>
      <c r="G25" s="422"/>
      <c r="H25" s="348"/>
      <c r="I25" s="162" t="s">
        <v>393</v>
      </c>
      <c r="J25" s="163"/>
      <c r="K25" s="164"/>
      <c r="L25" s="164"/>
      <c r="M25" s="164"/>
      <c r="N25" s="164"/>
      <c r="O25" s="164"/>
      <c r="P25" s="164"/>
      <c r="Q25" s="164"/>
      <c r="R25" s="164"/>
      <c r="S25" s="164"/>
      <c r="T25" s="164"/>
      <c r="U25" s="164"/>
      <c r="V25" s="164"/>
      <c r="W25" s="164"/>
      <c r="X25" s="164"/>
      <c r="Y25" s="164"/>
      <c r="Z25" s="164"/>
      <c r="AA25" s="164"/>
      <c r="AB25" s="164"/>
      <c r="AC25" s="164">
        <v>1</v>
      </c>
      <c r="AD25" s="164"/>
      <c r="AE25" s="164"/>
      <c r="AF25" s="164"/>
      <c r="AG25" s="164"/>
      <c r="AH25" s="164"/>
      <c r="AI25" s="164"/>
      <c r="AJ25" s="164"/>
      <c r="AK25" s="164"/>
      <c r="AL25" s="164"/>
      <c r="AM25" s="164"/>
      <c r="AN25" s="165"/>
      <c r="AO25" s="166">
        <f t="shared" si="2"/>
        <v>1</v>
      </c>
      <c r="AP25" s="118"/>
      <c r="AQ25" s="167">
        <f t="shared" si="7"/>
        <v>0</v>
      </c>
      <c r="AR25" s="12"/>
      <c r="AS25" s="167">
        <f t="shared" si="11"/>
        <v>0</v>
      </c>
      <c r="AT25" s="168">
        <f t="shared" si="12"/>
        <v>0</v>
      </c>
      <c r="AU25" s="167">
        <f t="shared" si="13"/>
        <v>0</v>
      </c>
    </row>
    <row r="26" spans="1:47" ht="30" customHeight="1" x14ac:dyDescent="0.25">
      <c r="A26" s="76"/>
      <c r="B26" s="158" t="s">
        <v>1125</v>
      </c>
      <c r="C26" s="411" t="s">
        <v>1099</v>
      </c>
      <c r="D26" s="412"/>
      <c r="E26" s="431"/>
      <c r="F26" s="409"/>
      <c r="G26" s="422"/>
      <c r="H26" s="348"/>
      <c r="I26" s="162" t="s">
        <v>393</v>
      </c>
      <c r="J26" s="163"/>
      <c r="K26" s="164"/>
      <c r="L26" s="164"/>
      <c r="M26" s="164"/>
      <c r="N26" s="164"/>
      <c r="O26" s="164"/>
      <c r="P26" s="164"/>
      <c r="Q26" s="164"/>
      <c r="R26" s="164"/>
      <c r="S26" s="164"/>
      <c r="T26" s="164"/>
      <c r="U26" s="164"/>
      <c r="V26" s="164"/>
      <c r="W26" s="164"/>
      <c r="X26" s="164"/>
      <c r="Y26" s="164"/>
      <c r="Z26" s="164"/>
      <c r="AA26" s="164"/>
      <c r="AB26" s="164"/>
      <c r="AC26" s="164"/>
      <c r="AD26" s="164">
        <v>1</v>
      </c>
      <c r="AE26" s="164"/>
      <c r="AF26" s="164"/>
      <c r="AG26" s="164"/>
      <c r="AH26" s="164"/>
      <c r="AI26" s="164"/>
      <c r="AJ26" s="164"/>
      <c r="AK26" s="164"/>
      <c r="AL26" s="164"/>
      <c r="AM26" s="164"/>
      <c r="AN26" s="165"/>
      <c r="AO26" s="166">
        <f t="shared" si="2"/>
        <v>1</v>
      </c>
      <c r="AP26" s="118"/>
      <c r="AQ26" s="167">
        <f t="shared" si="7"/>
        <v>0</v>
      </c>
      <c r="AR26" s="12"/>
      <c r="AS26" s="167">
        <f t="shared" si="11"/>
        <v>0</v>
      </c>
      <c r="AT26" s="168">
        <f t="shared" si="12"/>
        <v>0</v>
      </c>
      <c r="AU26" s="167">
        <f t="shared" si="13"/>
        <v>0</v>
      </c>
    </row>
    <row r="27" spans="1:47" ht="30" customHeight="1" x14ac:dyDescent="0.25">
      <c r="A27" s="76"/>
      <c r="B27" s="158" t="s">
        <v>1126</v>
      </c>
      <c r="C27" s="411" t="s">
        <v>1100</v>
      </c>
      <c r="D27" s="412"/>
      <c r="E27" s="431"/>
      <c r="F27" s="409"/>
      <c r="G27" s="422"/>
      <c r="H27" s="348"/>
      <c r="I27" s="162" t="s">
        <v>393</v>
      </c>
      <c r="J27" s="163"/>
      <c r="K27" s="164"/>
      <c r="L27" s="164"/>
      <c r="M27" s="164"/>
      <c r="N27" s="164"/>
      <c r="O27" s="164"/>
      <c r="P27" s="164"/>
      <c r="Q27" s="164"/>
      <c r="R27" s="164"/>
      <c r="S27" s="164"/>
      <c r="T27" s="164"/>
      <c r="U27" s="164"/>
      <c r="V27" s="164"/>
      <c r="W27" s="164"/>
      <c r="X27" s="164"/>
      <c r="Y27" s="164"/>
      <c r="Z27" s="164"/>
      <c r="AA27" s="164"/>
      <c r="AB27" s="164"/>
      <c r="AC27" s="164"/>
      <c r="AD27" s="164"/>
      <c r="AE27" s="164">
        <v>1</v>
      </c>
      <c r="AF27" s="164"/>
      <c r="AG27" s="164"/>
      <c r="AH27" s="164"/>
      <c r="AI27" s="164"/>
      <c r="AJ27" s="164"/>
      <c r="AK27" s="164"/>
      <c r="AL27" s="164"/>
      <c r="AM27" s="164"/>
      <c r="AN27" s="165"/>
      <c r="AO27" s="166">
        <f t="shared" si="2"/>
        <v>1</v>
      </c>
      <c r="AP27" s="118"/>
      <c r="AQ27" s="167">
        <f t="shared" si="7"/>
        <v>0</v>
      </c>
      <c r="AR27" s="12"/>
      <c r="AS27" s="167">
        <f t="shared" si="11"/>
        <v>0</v>
      </c>
      <c r="AT27" s="168">
        <f t="shared" si="12"/>
        <v>0</v>
      </c>
      <c r="AU27" s="167">
        <f t="shared" si="13"/>
        <v>0</v>
      </c>
    </row>
    <row r="28" spans="1:47" ht="30" customHeight="1" x14ac:dyDescent="0.25">
      <c r="A28" s="76"/>
      <c r="B28" s="158" t="s">
        <v>1127</v>
      </c>
      <c r="C28" s="411" t="s">
        <v>1101</v>
      </c>
      <c r="D28" s="412"/>
      <c r="E28" s="431"/>
      <c r="F28" s="409"/>
      <c r="G28" s="422"/>
      <c r="H28" s="348"/>
      <c r="I28" s="162" t="s">
        <v>393</v>
      </c>
      <c r="J28" s="163"/>
      <c r="K28" s="164"/>
      <c r="L28" s="164"/>
      <c r="M28" s="164"/>
      <c r="N28" s="164"/>
      <c r="O28" s="164"/>
      <c r="P28" s="164"/>
      <c r="Q28" s="164"/>
      <c r="R28" s="164"/>
      <c r="S28" s="164"/>
      <c r="T28" s="164"/>
      <c r="U28" s="164"/>
      <c r="V28" s="164"/>
      <c r="W28" s="164"/>
      <c r="X28" s="164"/>
      <c r="Y28" s="164"/>
      <c r="Z28" s="164"/>
      <c r="AA28" s="164"/>
      <c r="AB28" s="164"/>
      <c r="AC28" s="164"/>
      <c r="AD28" s="164"/>
      <c r="AE28" s="164"/>
      <c r="AF28" s="164">
        <v>1</v>
      </c>
      <c r="AG28" s="164"/>
      <c r="AH28" s="164"/>
      <c r="AI28" s="164"/>
      <c r="AJ28" s="164"/>
      <c r="AK28" s="164"/>
      <c r="AL28" s="164"/>
      <c r="AM28" s="164"/>
      <c r="AN28" s="165"/>
      <c r="AO28" s="166">
        <f t="shared" si="2"/>
        <v>1</v>
      </c>
      <c r="AP28" s="118"/>
      <c r="AQ28" s="167">
        <f t="shared" si="7"/>
        <v>0</v>
      </c>
      <c r="AR28" s="12"/>
      <c r="AS28" s="167">
        <f t="shared" si="11"/>
        <v>0</v>
      </c>
      <c r="AT28" s="168">
        <f t="shared" si="12"/>
        <v>0</v>
      </c>
      <c r="AU28" s="167">
        <f t="shared" si="13"/>
        <v>0</v>
      </c>
    </row>
    <row r="29" spans="1:47" ht="30" customHeight="1" x14ac:dyDescent="0.25">
      <c r="A29" s="76"/>
      <c r="B29" s="158" t="s">
        <v>1128</v>
      </c>
      <c r="C29" s="411" t="s">
        <v>1102</v>
      </c>
      <c r="D29" s="412"/>
      <c r="E29" s="431"/>
      <c r="F29" s="409"/>
      <c r="G29" s="422"/>
      <c r="H29" s="348"/>
      <c r="I29" s="162" t="s">
        <v>393</v>
      </c>
      <c r="J29" s="163"/>
      <c r="K29" s="164"/>
      <c r="L29" s="164"/>
      <c r="M29" s="164"/>
      <c r="N29" s="164"/>
      <c r="O29" s="164"/>
      <c r="P29" s="164"/>
      <c r="Q29" s="164"/>
      <c r="R29" s="164"/>
      <c r="S29" s="164"/>
      <c r="T29" s="164"/>
      <c r="U29" s="164"/>
      <c r="V29" s="164"/>
      <c r="W29" s="164"/>
      <c r="X29" s="164"/>
      <c r="Y29" s="164"/>
      <c r="Z29" s="164"/>
      <c r="AA29" s="164"/>
      <c r="AB29" s="164"/>
      <c r="AC29" s="164"/>
      <c r="AD29" s="164"/>
      <c r="AE29" s="164"/>
      <c r="AF29" s="164"/>
      <c r="AG29" s="164">
        <v>1</v>
      </c>
      <c r="AH29" s="164"/>
      <c r="AI29" s="164"/>
      <c r="AJ29" s="164"/>
      <c r="AK29" s="164"/>
      <c r="AL29" s="164"/>
      <c r="AM29" s="164"/>
      <c r="AN29" s="165"/>
      <c r="AO29" s="166">
        <f t="shared" si="2"/>
        <v>1</v>
      </c>
      <c r="AP29" s="118"/>
      <c r="AQ29" s="167">
        <f t="shared" si="7"/>
        <v>0</v>
      </c>
      <c r="AR29" s="12"/>
      <c r="AS29" s="167">
        <f t="shared" si="11"/>
        <v>0</v>
      </c>
      <c r="AT29" s="168">
        <f t="shared" si="12"/>
        <v>0</v>
      </c>
      <c r="AU29" s="167">
        <f t="shared" si="13"/>
        <v>0</v>
      </c>
    </row>
    <row r="30" spans="1:47" ht="30" customHeight="1" x14ac:dyDescent="0.25">
      <c r="A30" s="76"/>
      <c r="B30" s="158" t="s">
        <v>1129</v>
      </c>
      <c r="C30" s="411" t="s">
        <v>1103</v>
      </c>
      <c r="D30" s="412"/>
      <c r="E30" s="431"/>
      <c r="F30" s="409"/>
      <c r="G30" s="422"/>
      <c r="H30" s="348"/>
      <c r="I30" s="162" t="s">
        <v>393</v>
      </c>
      <c r="J30" s="163"/>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v>1</v>
      </c>
      <c r="AI30" s="164"/>
      <c r="AJ30" s="164"/>
      <c r="AK30" s="164"/>
      <c r="AL30" s="164"/>
      <c r="AM30" s="164"/>
      <c r="AN30" s="165"/>
      <c r="AO30" s="166">
        <f t="shared" si="2"/>
        <v>1</v>
      </c>
      <c r="AP30" s="118"/>
      <c r="AQ30" s="167">
        <f t="shared" si="7"/>
        <v>0</v>
      </c>
      <c r="AR30" s="12"/>
      <c r="AS30" s="167">
        <f t="shared" si="11"/>
        <v>0</v>
      </c>
      <c r="AT30" s="168">
        <f t="shared" si="12"/>
        <v>0</v>
      </c>
      <c r="AU30" s="167">
        <f t="shared" si="13"/>
        <v>0</v>
      </c>
    </row>
    <row r="31" spans="1:47" ht="30" customHeight="1" x14ac:dyDescent="0.25">
      <c r="A31" s="76"/>
      <c r="B31" s="158" t="s">
        <v>1130</v>
      </c>
      <c r="C31" s="411" t="s">
        <v>1104</v>
      </c>
      <c r="D31" s="412"/>
      <c r="E31" s="431"/>
      <c r="F31" s="409"/>
      <c r="G31" s="422"/>
      <c r="H31" s="348"/>
      <c r="I31" s="162" t="s">
        <v>393</v>
      </c>
      <c r="J31" s="163"/>
      <c r="K31" s="164"/>
      <c r="L31" s="164"/>
      <c r="M31" s="164"/>
      <c r="N31" s="164"/>
      <c r="O31" s="164"/>
      <c r="P31" s="164"/>
      <c r="Q31" s="164"/>
      <c r="R31" s="164"/>
      <c r="S31" s="164"/>
      <c r="T31" s="164"/>
      <c r="U31" s="164"/>
      <c r="V31" s="164"/>
      <c r="W31" s="164"/>
      <c r="X31" s="164"/>
      <c r="Y31" s="164"/>
      <c r="Z31" s="164"/>
      <c r="AA31" s="164"/>
      <c r="AB31" s="164"/>
      <c r="AC31" s="164"/>
      <c r="AD31" s="164"/>
      <c r="AE31" s="164"/>
      <c r="AF31" s="164"/>
      <c r="AG31" s="164"/>
      <c r="AH31" s="164"/>
      <c r="AI31" s="164">
        <v>1</v>
      </c>
      <c r="AJ31" s="164"/>
      <c r="AK31" s="164"/>
      <c r="AL31" s="164"/>
      <c r="AM31" s="164"/>
      <c r="AN31" s="165"/>
      <c r="AO31" s="166">
        <f t="shared" si="2"/>
        <v>1</v>
      </c>
      <c r="AP31" s="118"/>
      <c r="AQ31" s="167">
        <f t="shared" si="7"/>
        <v>0</v>
      </c>
      <c r="AR31" s="12"/>
      <c r="AS31" s="167">
        <f t="shared" si="11"/>
        <v>0</v>
      </c>
      <c r="AT31" s="168">
        <f t="shared" si="12"/>
        <v>0</v>
      </c>
      <c r="AU31" s="167">
        <f t="shared" si="13"/>
        <v>0</v>
      </c>
    </row>
    <row r="32" spans="1:47" ht="30" customHeight="1" x14ac:dyDescent="0.25">
      <c r="A32" s="76"/>
      <c r="B32" s="158" t="s">
        <v>1131</v>
      </c>
      <c r="C32" s="411" t="s">
        <v>1105</v>
      </c>
      <c r="D32" s="412"/>
      <c r="E32" s="431"/>
      <c r="F32" s="409"/>
      <c r="G32" s="422"/>
      <c r="H32" s="348"/>
      <c r="I32" s="162" t="s">
        <v>393</v>
      </c>
      <c r="J32" s="163"/>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v>1</v>
      </c>
      <c r="AK32" s="164"/>
      <c r="AL32" s="164"/>
      <c r="AM32" s="164"/>
      <c r="AN32" s="165"/>
      <c r="AO32" s="166">
        <f t="shared" si="2"/>
        <v>1</v>
      </c>
      <c r="AP32" s="118"/>
      <c r="AQ32" s="167">
        <f t="shared" si="7"/>
        <v>0</v>
      </c>
      <c r="AR32" s="12"/>
      <c r="AS32" s="167">
        <f t="shared" si="11"/>
        <v>0</v>
      </c>
      <c r="AT32" s="168">
        <f t="shared" si="12"/>
        <v>0</v>
      </c>
      <c r="AU32" s="167">
        <f t="shared" si="13"/>
        <v>0</v>
      </c>
    </row>
    <row r="33" spans="1:47" ht="30" customHeight="1" x14ac:dyDescent="0.25">
      <c r="A33" s="76"/>
      <c r="B33" s="158" t="s">
        <v>1132</v>
      </c>
      <c r="C33" s="411" t="s">
        <v>1106</v>
      </c>
      <c r="D33" s="412"/>
      <c r="E33" s="431"/>
      <c r="F33" s="409"/>
      <c r="G33" s="422"/>
      <c r="H33" s="348"/>
      <c r="I33" s="162" t="s">
        <v>393</v>
      </c>
      <c r="J33" s="163"/>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164"/>
      <c r="AH33" s="164"/>
      <c r="AI33" s="164"/>
      <c r="AJ33" s="164"/>
      <c r="AK33" s="164">
        <v>1</v>
      </c>
      <c r="AL33" s="164"/>
      <c r="AM33" s="164"/>
      <c r="AN33" s="165"/>
      <c r="AO33" s="166">
        <f t="shared" si="2"/>
        <v>1</v>
      </c>
      <c r="AP33" s="118"/>
      <c r="AQ33" s="167">
        <f t="shared" si="7"/>
        <v>0</v>
      </c>
      <c r="AR33" s="12"/>
      <c r="AS33" s="167">
        <f t="shared" si="11"/>
        <v>0</v>
      </c>
      <c r="AT33" s="168">
        <f t="shared" si="12"/>
        <v>0</v>
      </c>
      <c r="AU33" s="167">
        <f t="shared" si="13"/>
        <v>0</v>
      </c>
    </row>
    <row r="34" spans="1:47" ht="30" customHeight="1" x14ac:dyDescent="0.25">
      <c r="A34" s="76"/>
      <c r="B34" s="158" t="s">
        <v>1133</v>
      </c>
      <c r="C34" s="411" t="s">
        <v>1107</v>
      </c>
      <c r="D34" s="412"/>
      <c r="E34" s="431"/>
      <c r="F34" s="409"/>
      <c r="G34" s="422"/>
      <c r="H34" s="348"/>
      <c r="I34" s="162" t="s">
        <v>393</v>
      </c>
      <c r="J34" s="163"/>
      <c r="K34" s="164"/>
      <c r="L34" s="164"/>
      <c r="M34" s="164"/>
      <c r="N34" s="164"/>
      <c r="O34" s="164"/>
      <c r="P34" s="164"/>
      <c r="Q34" s="164"/>
      <c r="R34" s="164"/>
      <c r="S34" s="164"/>
      <c r="T34" s="164"/>
      <c r="U34" s="164"/>
      <c r="V34" s="164"/>
      <c r="W34" s="164"/>
      <c r="X34" s="164"/>
      <c r="Y34" s="164"/>
      <c r="Z34" s="164"/>
      <c r="AA34" s="164"/>
      <c r="AB34" s="164"/>
      <c r="AC34" s="164"/>
      <c r="AD34" s="164"/>
      <c r="AE34" s="164"/>
      <c r="AF34" s="164"/>
      <c r="AG34" s="164"/>
      <c r="AH34" s="164"/>
      <c r="AI34" s="164"/>
      <c r="AJ34" s="164"/>
      <c r="AK34" s="164"/>
      <c r="AL34" s="164">
        <v>1</v>
      </c>
      <c r="AM34" s="164"/>
      <c r="AN34" s="165"/>
      <c r="AO34" s="166">
        <f t="shared" si="2"/>
        <v>1</v>
      </c>
      <c r="AP34" s="118"/>
      <c r="AQ34" s="167">
        <f t="shared" si="7"/>
        <v>0</v>
      </c>
      <c r="AR34" s="12"/>
      <c r="AS34" s="167">
        <f t="shared" si="11"/>
        <v>0</v>
      </c>
      <c r="AT34" s="168">
        <f t="shared" si="12"/>
        <v>0</v>
      </c>
      <c r="AU34" s="167">
        <f t="shared" si="13"/>
        <v>0</v>
      </c>
    </row>
    <row r="35" spans="1:47" ht="30" customHeight="1" x14ac:dyDescent="0.25">
      <c r="A35" s="76"/>
      <c r="B35" s="158" t="s">
        <v>1134</v>
      </c>
      <c r="C35" s="411" t="s">
        <v>1108</v>
      </c>
      <c r="D35" s="412"/>
      <c r="E35" s="431"/>
      <c r="F35" s="409"/>
      <c r="G35" s="422"/>
      <c r="H35" s="348"/>
      <c r="I35" s="162" t="s">
        <v>393</v>
      </c>
      <c r="J35" s="163"/>
      <c r="K35" s="164"/>
      <c r="L35" s="164"/>
      <c r="M35" s="164"/>
      <c r="N35" s="164"/>
      <c r="O35" s="164"/>
      <c r="P35" s="164"/>
      <c r="Q35" s="164"/>
      <c r="R35" s="164"/>
      <c r="S35" s="164"/>
      <c r="T35" s="164"/>
      <c r="U35" s="164"/>
      <c r="V35" s="164"/>
      <c r="W35" s="164"/>
      <c r="X35" s="164"/>
      <c r="Y35" s="164"/>
      <c r="Z35" s="164"/>
      <c r="AA35" s="164"/>
      <c r="AB35" s="164"/>
      <c r="AC35" s="164"/>
      <c r="AD35" s="164"/>
      <c r="AE35" s="164"/>
      <c r="AF35" s="164"/>
      <c r="AG35" s="164"/>
      <c r="AH35" s="164"/>
      <c r="AI35" s="164"/>
      <c r="AJ35" s="164"/>
      <c r="AK35" s="164"/>
      <c r="AL35" s="164"/>
      <c r="AM35" s="164">
        <v>1</v>
      </c>
      <c r="AN35" s="165"/>
      <c r="AO35" s="166">
        <f t="shared" si="2"/>
        <v>1</v>
      </c>
      <c r="AP35" s="118"/>
      <c r="AQ35" s="167">
        <f t="shared" si="7"/>
        <v>0</v>
      </c>
      <c r="AR35" s="12"/>
      <c r="AS35" s="167">
        <f t="shared" si="11"/>
        <v>0</v>
      </c>
      <c r="AT35" s="168">
        <f t="shared" si="12"/>
        <v>0</v>
      </c>
      <c r="AU35" s="167">
        <f t="shared" si="13"/>
        <v>0</v>
      </c>
    </row>
    <row r="36" spans="1:47" ht="30" customHeight="1" x14ac:dyDescent="0.25">
      <c r="A36" s="76"/>
      <c r="B36" s="169" t="s">
        <v>1135</v>
      </c>
      <c r="C36" s="404" t="s">
        <v>1136</v>
      </c>
      <c r="D36" s="405"/>
      <c r="E36" s="432"/>
      <c r="F36" s="402"/>
      <c r="G36" s="423"/>
      <c r="H36" s="349"/>
      <c r="I36" s="173" t="s">
        <v>393</v>
      </c>
      <c r="J36" s="174"/>
      <c r="K36" s="175"/>
      <c r="L36" s="175"/>
      <c r="M36" s="175"/>
      <c r="N36" s="175"/>
      <c r="O36" s="175"/>
      <c r="P36" s="175"/>
      <c r="Q36" s="175"/>
      <c r="R36" s="175"/>
      <c r="S36" s="175"/>
      <c r="T36" s="175"/>
      <c r="U36" s="175"/>
      <c r="V36" s="175"/>
      <c r="W36" s="175"/>
      <c r="X36" s="175"/>
      <c r="Y36" s="175"/>
      <c r="Z36" s="175"/>
      <c r="AA36" s="175"/>
      <c r="AB36" s="175"/>
      <c r="AC36" s="175"/>
      <c r="AD36" s="175"/>
      <c r="AE36" s="175"/>
      <c r="AF36" s="175"/>
      <c r="AG36" s="175"/>
      <c r="AH36" s="175"/>
      <c r="AI36" s="175"/>
      <c r="AJ36" s="175"/>
      <c r="AK36" s="175"/>
      <c r="AL36" s="175"/>
      <c r="AM36" s="175"/>
      <c r="AN36" s="176">
        <v>1</v>
      </c>
      <c r="AO36" s="177">
        <f t="shared" si="2"/>
        <v>1</v>
      </c>
      <c r="AP36" s="118"/>
      <c r="AQ36" s="178">
        <f t="shared" si="7"/>
        <v>0</v>
      </c>
      <c r="AR36" s="14"/>
      <c r="AS36" s="178">
        <f t="shared" si="11"/>
        <v>0</v>
      </c>
      <c r="AT36" s="179">
        <f t="shared" si="12"/>
        <v>0</v>
      </c>
      <c r="AU36" s="178">
        <f t="shared" si="13"/>
        <v>0</v>
      </c>
    </row>
    <row r="37" spans="1:47" ht="123" customHeight="1" x14ac:dyDescent="0.25">
      <c r="A37" s="140"/>
      <c r="B37" s="37">
        <v>4</v>
      </c>
      <c r="C37" s="270" t="s">
        <v>1139</v>
      </c>
      <c r="D37" s="271"/>
      <c r="E37" s="271"/>
      <c r="F37" s="356"/>
      <c r="G37" s="142"/>
      <c r="H37" s="143"/>
      <c r="I37" s="142"/>
      <c r="J37" s="144"/>
      <c r="K37" s="144"/>
      <c r="L37" s="144"/>
      <c r="M37" s="144"/>
      <c r="N37" s="144"/>
      <c r="O37" s="144"/>
      <c r="P37" s="144"/>
      <c r="Q37" s="144"/>
      <c r="R37" s="144"/>
      <c r="S37" s="144"/>
      <c r="T37" s="144"/>
      <c r="U37" s="144"/>
      <c r="V37" s="144"/>
      <c r="W37" s="144"/>
      <c r="X37" s="144"/>
      <c r="Y37" s="144"/>
      <c r="Z37" s="144"/>
      <c r="AA37" s="144"/>
      <c r="AB37" s="144"/>
      <c r="AC37" s="144"/>
      <c r="AD37" s="144"/>
      <c r="AE37" s="144"/>
      <c r="AF37" s="144"/>
      <c r="AG37" s="144"/>
      <c r="AH37" s="144"/>
      <c r="AI37" s="144"/>
      <c r="AJ37" s="144"/>
      <c r="AK37" s="144"/>
      <c r="AL37" s="144"/>
      <c r="AM37" s="144"/>
      <c r="AN37" s="144"/>
      <c r="AO37" s="143"/>
      <c r="AP37" s="145"/>
      <c r="AQ37" s="180">
        <f>SUM(AQ38:AQ42)</f>
        <v>0</v>
      </c>
      <c r="AR37" s="145"/>
      <c r="AS37" s="180">
        <f>SUM(AS38:AS42)</f>
        <v>0</v>
      </c>
      <c r="AT37" s="145"/>
      <c r="AU37" s="180">
        <f>SUM(AU38:AU42)</f>
        <v>0</v>
      </c>
    </row>
    <row r="38" spans="1:47" ht="30" customHeight="1" x14ac:dyDescent="0.25">
      <c r="A38" s="76"/>
      <c r="B38" s="148" t="s">
        <v>61</v>
      </c>
      <c r="C38" s="406" t="s">
        <v>1141</v>
      </c>
      <c r="D38" s="407"/>
      <c r="E38" s="433" t="s">
        <v>1140</v>
      </c>
      <c r="F38" s="409" t="s">
        <v>1146</v>
      </c>
      <c r="G38" s="421" t="s">
        <v>1078</v>
      </c>
      <c r="H38" s="403" t="s">
        <v>1079</v>
      </c>
      <c r="I38" s="151" t="s">
        <v>1138</v>
      </c>
      <c r="J38" s="152"/>
      <c r="K38" s="153"/>
      <c r="L38" s="153"/>
      <c r="M38" s="153"/>
      <c r="N38" s="153"/>
      <c r="O38" s="153"/>
      <c r="P38" s="153"/>
      <c r="Q38" s="153"/>
      <c r="R38" s="153"/>
      <c r="S38" s="153"/>
      <c r="T38" s="153"/>
      <c r="U38" s="153"/>
      <c r="V38" s="153"/>
      <c r="W38" s="153"/>
      <c r="X38" s="153"/>
      <c r="Y38" s="153"/>
      <c r="Z38" s="153"/>
      <c r="AA38" s="153"/>
      <c r="AB38" s="153"/>
      <c r="AC38" s="153"/>
      <c r="AD38" s="153"/>
      <c r="AE38" s="153"/>
      <c r="AF38" s="153"/>
      <c r="AG38" s="153"/>
      <c r="AH38" s="153"/>
      <c r="AI38" s="153"/>
      <c r="AJ38" s="153"/>
      <c r="AK38" s="153"/>
      <c r="AL38" s="153"/>
      <c r="AM38" s="153"/>
      <c r="AN38" s="154"/>
      <c r="AO38" s="155">
        <f t="shared" si="2"/>
        <v>0</v>
      </c>
      <c r="AP38" s="118"/>
      <c r="AQ38" s="156">
        <f t="shared" ref="AQ38:AQ42" si="14">+AP38*AO38</f>
        <v>0</v>
      </c>
      <c r="AR38" s="13"/>
      <c r="AS38" s="156">
        <f t="shared" ref="AS38:AS42" si="15">+AR38*AO38</f>
        <v>0</v>
      </c>
      <c r="AT38" s="157">
        <f t="shared" ref="AT38:AT42" si="16">+AR38+AP38</f>
        <v>0</v>
      </c>
      <c r="AU38" s="156">
        <f t="shared" ref="AU38:AU42" si="17">+AT38*AO38</f>
        <v>0</v>
      </c>
    </row>
    <row r="39" spans="1:47" ht="30" customHeight="1" x14ac:dyDescent="0.25">
      <c r="A39" s="76"/>
      <c r="B39" s="158" t="s">
        <v>62</v>
      </c>
      <c r="C39" s="411" t="s">
        <v>1142</v>
      </c>
      <c r="D39" s="412"/>
      <c r="E39" s="433"/>
      <c r="F39" s="409"/>
      <c r="G39" s="422"/>
      <c r="H39" s="394"/>
      <c r="I39" s="162" t="s">
        <v>1138</v>
      </c>
      <c r="J39" s="163"/>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c r="AH39" s="164"/>
      <c r="AI39" s="164"/>
      <c r="AJ39" s="164"/>
      <c r="AK39" s="164"/>
      <c r="AL39" s="164"/>
      <c r="AM39" s="164"/>
      <c r="AN39" s="165"/>
      <c r="AO39" s="166">
        <f t="shared" si="2"/>
        <v>0</v>
      </c>
      <c r="AP39" s="118"/>
      <c r="AQ39" s="167">
        <f t="shared" si="14"/>
        <v>0</v>
      </c>
      <c r="AR39" s="12"/>
      <c r="AS39" s="167">
        <f t="shared" si="15"/>
        <v>0</v>
      </c>
      <c r="AT39" s="168">
        <f t="shared" si="16"/>
        <v>0</v>
      </c>
      <c r="AU39" s="167">
        <f t="shared" si="17"/>
        <v>0</v>
      </c>
    </row>
    <row r="40" spans="1:47" ht="30" customHeight="1" x14ac:dyDescent="0.25">
      <c r="A40" s="76"/>
      <c r="B40" s="158" t="s">
        <v>63</v>
      </c>
      <c r="C40" s="411" t="s">
        <v>1143</v>
      </c>
      <c r="D40" s="412"/>
      <c r="E40" s="433"/>
      <c r="F40" s="409"/>
      <c r="G40" s="422"/>
      <c r="H40" s="394"/>
      <c r="I40" s="162" t="s">
        <v>1138</v>
      </c>
      <c r="J40" s="163">
        <v>0</v>
      </c>
      <c r="K40" s="164"/>
      <c r="L40" s="164"/>
      <c r="M40" s="164"/>
      <c r="N40" s="164"/>
      <c r="O40" s="164"/>
      <c r="P40" s="164"/>
      <c r="Q40" s="164"/>
      <c r="R40" s="164"/>
      <c r="S40" s="164"/>
      <c r="T40" s="164"/>
      <c r="U40" s="164"/>
      <c r="V40" s="164"/>
      <c r="W40" s="164"/>
      <c r="X40" s="164"/>
      <c r="Y40" s="164"/>
      <c r="Z40" s="164"/>
      <c r="AA40" s="164"/>
      <c r="AB40" s="164"/>
      <c r="AC40" s="164"/>
      <c r="AD40" s="164"/>
      <c r="AE40" s="164"/>
      <c r="AF40" s="164"/>
      <c r="AG40" s="164"/>
      <c r="AH40" s="164"/>
      <c r="AI40" s="164"/>
      <c r="AJ40" s="164"/>
      <c r="AK40" s="164"/>
      <c r="AL40" s="164"/>
      <c r="AM40" s="164"/>
      <c r="AN40" s="165"/>
      <c r="AO40" s="166">
        <f t="shared" si="2"/>
        <v>0</v>
      </c>
      <c r="AP40" s="118"/>
      <c r="AQ40" s="167">
        <f t="shared" si="14"/>
        <v>0</v>
      </c>
      <c r="AR40" s="12"/>
      <c r="AS40" s="167">
        <f t="shared" si="15"/>
        <v>0</v>
      </c>
      <c r="AT40" s="168">
        <f t="shared" si="16"/>
        <v>0</v>
      </c>
      <c r="AU40" s="167">
        <f t="shared" si="17"/>
        <v>0</v>
      </c>
    </row>
    <row r="41" spans="1:47" ht="30" customHeight="1" x14ac:dyDescent="0.25">
      <c r="A41" s="76"/>
      <c r="B41" s="158" t="s">
        <v>64</v>
      </c>
      <c r="C41" s="411" t="s">
        <v>1144</v>
      </c>
      <c r="D41" s="412"/>
      <c r="E41" s="433"/>
      <c r="F41" s="409"/>
      <c r="G41" s="422"/>
      <c r="H41" s="394"/>
      <c r="I41" s="162" t="s">
        <v>1138</v>
      </c>
      <c r="J41" s="163"/>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164"/>
      <c r="AH41" s="164"/>
      <c r="AI41" s="164"/>
      <c r="AJ41" s="164"/>
      <c r="AK41" s="164"/>
      <c r="AL41" s="164"/>
      <c r="AM41" s="164"/>
      <c r="AN41" s="165"/>
      <c r="AO41" s="166">
        <f t="shared" si="2"/>
        <v>0</v>
      </c>
      <c r="AP41" s="118"/>
      <c r="AQ41" s="167">
        <f t="shared" si="14"/>
        <v>0</v>
      </c>
      <c r="AR41" s="12"/>
      <c r="AS41" s="167">
        <f t="shared" si="15"/>
        <v>0</v>
      </c>
      <c r="AT41" s="168">
        <f t="shared" si="16"/>
        <v>0</v>
      </c>
      <c r="AU41" s="167">
        <f t="shared" si="17"/>
        <v>0</v>
      </c>
    </row>
    <row r="42" spans="1:47" ht="30" customHeight="1" x14ac:dyDescent="0.25">
      <c r="A42" s="76"/>
      <c r="B42" s="169" t="s">
        <v>65</v>
      </c>
      <c r="C42" s="404" t="s">
        <v>1145</v>
      </c>
      <c r="D42" s="405"/>
      <c r="E42" s="434"/>
      <c r="F42" s="402"/>
      <c r="G42" s="423"/>
      <c r="H42" s="395"/>
      <c r="I42" s="173" t="s">
        <v>1138</v>
      </c>
      <c r="J42" s="174"/>
      <c r="K42" s="175"/>
      <c r="L42" s="175"/>
      <c r="M42" s="175"/>
      <c r="N42" s="175"/>
      <c r="O42" s="175"/>
      <c r="P42" s="175"/>
      <c r="Q42" s="175"/>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6"/>
      <c r="AO42" s="177">
        <f t="shared" si="2"/>
        <v>0</v>
      </c>
      <c r="AP42" s="118"/>
      <c r="AQ42" s="178">
        <f t="shared" si="14"/>
        <v>0</v>
      </c>
      <c r="AR42" s="14"/>
      <c r="AS42" s="178">
        <f t="shared" si="15"/>
        <v>0</v>
      </c>
      <c r="AT42" s="179">
        <f t="shared" si="16"/>
        <v>0</v>
      </c>
      <c r="AU42" s="178">
        <f t="shared" si="17"/>
        <v>0</v>
      </c>
    </row>
    <row r="43" spans="1:47" ht="54.75" customHeight="1" x14ac:dyDescent="0.25">
      <c r="A43" s="140"/>
      <c r="B43" s="37">
        <v>5</v>
      </c>
      <c r="C43" s="270" t="s">
        <v>1147</v>
      </c>
      <c r="D43" s="271"/>
      <c r="E43" s="271"/>
      <c r="F43" s="356"/>
      <c r="G43" s="97"/>
      <c r="H43" s="84"/>
      <c r="I43" s="142"/>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c r="AH43" s="144"/>
      <c r="AI43" s="144"/>
      <c r="AJ43" s="144"/>
      <c r="AK43" s="144"/>
      <c r="AL43" s="144"/>
      <c r="AM43" s="144"/>
      <c r="AN43" s="144"/>
      <c r="AO43" s="143"/>
      <c r="AP43" s="145"/>
      <c r="AQ43" s="180">
        <f>SUM(AQ44:AQ56)</f>
        <v>0</v>
      </c>
      <c r="AR43" s="145"/>
      <c r="AS43" s="180">
        <f>SUM(AS44:AS56)</f>
        <v>0</v>
      </c>
      <c r="AT43" s="145"/>
      <c r="AU43" s="180">
        <f>SUM(AU44:AU56)</f>
        <v>0</v>
      </c>
    </row>
    <row r="44" spans="1:47" ht="30" customHeight="1" x14ac:dyDescent="0.25">
      <c r="A44" s="76"/>
      <c r="B44" s="148" t="s">
        <v>96</v>
      </c>
      <c r="C44" s="406" t="s">
        <v>1149</v>
      </c>
      <c r="D44" s="407"/>
      <c r="E44" s="408" t="s">
        <v>1148</v>
      </c>
      <c r="F44" s="401" t="s">
        <v>1158</v>
      </c>
      <c r="G44" s="397" t="s">
        <v>1079</v>
      </c>
      <c r="H44" s="394" t="s">
        <v>1079</v>
      </c>
      <c r="I44" s="151" t="s">
        <v>1138</v>
      </c>
      <c r="J44" s="152"/>
      <c r="K44" s="153"/>
      <c r="L44" s="153">
        <v>1</v>
      </c>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4"/>
      <c r="AO44" s="155">
        <f t="shared" si="2"/>
        <v>1</v>
      </c>
      <c r="AP44" s="13"/>
      <c r="AQ44" s="156">
        <f t="shared" ref="AQ44" si="18">+AP44*AO44</f>
        <v>0</v>
      </c>
      <c r="AR44" s="13"/>
      <c r="AS44" s="156">
        <f t="shared" ref="AS44" si="19">+AR44*AO44</f>
        <v>0</v>
      </c>
      <c r="AT44" s="157">
        <f t="shared" ref="AT44" si="20">+AR44+AP44</f>
        <v>0</v>
      </c>
      <c r="AU44" s="156">
        <f t="shared" ref="AU44" si="21">+AT44*AO44</f>
        <v>0</v>
      </c>
    </row>
    <row r="45" spans="1:47" ht="30" customHeight="1" x14ac:dyDescent="0.25">
      <c r="A45" s="76"/>
      <c r="B45" s="158" t="s">
        <v>1154</v>
      </c>
      <c r="C45" s="411" t="s">
        <v>1150</v>
      </c>
      <c r="D45" s="412"/>
      <c r="E45" s="408"/>
      <c r="F45" s="409"/>
      <c r="G45" s="397"/>
      <c r="H45" s="394"/>
      <c r="I45" s="162" t="s">
        <v>1138</v>
      </c>
      <c r="J45" s="163"/>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164"/>
      <c r="AH45" s="164"/>
      <c r="AI45" s="164"/>
      <c r="AJ45" s="164"/>
      <c r="AK45" s="164"/>
      <c r="AL45" s="164"/>
      <c r="AM45" s="164"/>
      <c r="AN45" s="165"/>
      <c r="AO45" s="166">
        <f t="shared" si="2"/>
        <v>0</v>
      </c>
      <c r="AP45" s="12"/>
      <c r="AQ45" s="167">
        <f t="shared" ref="AQ45:AQ55" si="22">+AP45*AO45</f>
        <v>0</v>
      </c>
      <c r="AR45" s="12"/>
      <c r="AS45" s="167">
        <f t="shared" ref="AS45:AS55" si="23">+AR45*AO45</f>
        <v>0</v>
      </c>
      <c r="AT45" s="168">
        <f t="shared" ref="AT45:AT55" si="24">+AR45+AP45</f>
        <v>0</v>
      </c>
      <c r="AU45" s="167">
        <f t="shared" ref="AU45:AU55" si="25">+AT45*AO45</f>
        <v>0</v>
      </c>
    </row>
    <row r="46" spans="1:47" ht="30" customHeight="1" x14ac:dyDescent="0.25">
      <c r="A46" s="76"/>
      <c r="B46" s="158" t="s">
        <v>1155</v>
      </c>
      <c r="C46" s="411" t="s">
        <v>1151</v>
      </c>
      <c r="D46" s="412"/>
      <c r="E46" s="408"/>
      <c r="F46" s="409"/>
      <c r="G46" s="397"/>
      <c r="H46" s="394"/>
      <c r="I46" s="162" t="s">
        <v>1138</v>
      </c>
      <c r="J46" s="163"/>
      <c r="K46" s="164"/>
      <c r="L46" s="164"/>
      <c r="M46" s="164"/>
      <c r="N46" s="164"/>
      <c r="O46" s="164"/>
      <c r="P46" s="164"/>
      <c r="Q46" s="164"/>
      <c r="R46" s="164"/>
      <c r="S46" s="164"/>
      <c r="T46" s="164"/>
      <c r="U46" s="164"/>
      <c r="V46" s="164"/>
      <c r="W46" s="164"/>
      <c r="X46" s="164"/>
      <c r="Y46" s="164"/>
      <c r="Z46" s="164"/>
      <c r="AA46" s="164"/>
      <c r="AB46" s="164"/>
      <c r="AC46" s="164"/>
      <c r="AD46" s="164"/>
      <c r="AE46" s="164"/>
      <c r="AF46" s="164"/>
      <c r="AG46" s="164"/>
      <c r="AH46" s="164"/>
      <c r="AI46" s="164"/>
      <c r="AJ46" s="164"/>
      <c r="AK46" s="164"/>
      <c r="AL46" s="164"/>
      <c r="AM46" s="164"/>
      <c r="AN46" s="165"/>
      <c r="AO46" s="166">
        <f t="shared" si="2"/>
        <v>0</v>
      </c>
      <c r="AP46" s="12"/>
      <c r="AQ46" s="167">
        <f t="shared" si="22"/>
        <v>0</v>
      </c>
      <c r="AR46" s="12"/>
      <c r="AS46" s="167">
        <f t="shared" si="23"/>
        <v>0</v>
      </c>
      <c r="AT46" s="168">
        <f t="shared" si="24"/>
        <v>0</v>
      </c>
      <c r="AU46" s="167">
        <f t="shared" si="25"/>
        <v>0</v>
      </c>
    </row>
    <row r="47" spans="1:47" ht="30" customHeight="1" x14ac:dyDescent="0.25">
      <c r="A47" s="76"/>
      <c r="B47" s="158" t="s">
        <v>1156</v>
      </c>
      <c r="C47" s="411" t="s">
        <v>1152</v>
      </c>
      <c r="D47" s="412"/>
      <c r="E47" s="408"/>
      <c r="F47" s="409"/>
      <c r="G47" s="397"/>
      <c r="H47" s="394"/>
      <c r="I47" s="162" t="s">
        <v>1138</v>
      </c>
      <c r="J47" s="163"/>
      <c r="K47" s="164"/>
      <c r="L47" s="164"/>
      <c r="M47" s="164"/>
      <c r="N47" s="164"/>
      <c r="O47" s="164"/>
      <c r="P47" s="164"/>
      <c r="Q47" s="164"/>
      <c r="R47" s="164"/>
      <c r="S47" s="164"/>
      <c r="T47" s="164"/>
      <c r="U47" s="164"/>
      <c r="V47" s="164"/>
      <c r="W47" s="164"/>
      <c r="X47" s="164"/>
      <c r="Y47" s="164"/>
      <c r="Z47" s="164"/>
      <c r="AA47" s="164"/>
      <c r="AB47" s="164"/>
      <c r="AC47" s="164"/>
      <c r="AD47" s="164"/>
      <c r="AE47" s="164"/>
      <c r="AF47" s="164"/>
      <c r="AG47" s="164"/>
      <c r="AH47" s="164"/>
      <c r="AI47" s="164"/>
      <c r="AJ47" s="164"/>
      <c r="AK47" s="164"/>
      <c r="AL47" s="164"/>
      <c r="AM47" s="164"/>
      <c r="AN47" s="165"/>
      <c r="AO47" s="166">
        <f t="shared" si="2"/>
        <v>0</v>
      </c>
      <c r="AP47" s="12"/>
      <c r="AQ47" s="167">
        <f t="shared" si="22"/>
        <v>0</v>
      </c>
      <c r="AR47" s="12"/>
      <c r="AS47" s="167">
        <f t="shared" si="23"/>
        <v>0</v>
      </c>
      <c r="AT47" s="168">
        <f t="shared" si="24"/>
        <v>0</v>
      </c>
      <c r="AU47" s="167">
        <f t="shared" si="25"/>
        <v>0</v>
      </c>
    </row>
    <row r="48" spans="1:47" ht="30" customHeight="1" x14ac:dyDescent="0.25">
      <c r="A48" s="76"/>
      <c r="B48" s="182" t="s">
        <v>1157</v>
      </c>
      <c r="C48" s="404" t="s">
        <v>1153</v>
      </c>
      <c r="D48" s="405"/>
      <c r="E48" s="400"/>
      <c r="F48" s="409"/>
      <c r="G48" s="398"/>
      <c r="H48" s="395"/>
      <c r="I48" s="173" t="s">
        <v>1138</v>
      </c>
      <c r="J48" s="174"/>
      <c r="K48" s="175"/>
      <c r="L48" s="175"/>
      <c r="M48" s="175"/>
      <c r="N48" s="175"/>
      <c r="O48" s="175"/>
      <c r="P48" s="175"/>
      <c r="Q48" s="175"/>
      <c r="R48" s="175"/>
      <c r="S48" s="175"/>
      <c r="T48" s="175"/>
      <c r="U48" s="175"/>
      <c r="V48" s="175"/>
      <c r="W48" s="175"/>
      <c r="X48" s="175"/>
      <c r="Y48" s="175"/>
      <c r="Z48" s="175"/>
      <c r="AA48" s="175"/>
      <c r="AB48" s="175"/>
      <c r="AC48" s="175"/>
      <c r="AD48" s="175"/>
      <c r="AE48" s="175"/>
      <c r="AF48" s="175"/>
      <c r="AG48" s="175"/>
      <c r="AH48" s="175"/>
      <c r="AI48" s="175"/>
      <c r="AJ48" s="175"/>
      <c r="AK48" s="175"/>
      <c r="AL48" s="175"/>
      <c r="AM48" s="175"/>
      <c r="AN48" s="176"/>
      <c r="AO48" s="177">
        <f t="shared" si="2"/>
        <v>0</v>
      </c>
      <c r="AP48" s="14"/>
      <c r="AQ48" s="178">
        <f t="shared" si="22"/>
        <v>0</v>
      </c>
      <c r="AR48" s="14"/>
      <c r="AS48" s="178">
        <f t="shared" si="23"/>
        <v>0</v>
      </c>
      <c r="AT48" s="179">
        <f t="shared" si="24"/>
        <v>0</v>
      </c>
      <c r="AU48" s="178">
        <f t="shared" si="25"/>
        <v>0</v>
      </c>
    </row>
    <row r="49" spans="1:47" ht="30" customHeight="1" x14ac:dyDescent="0.25">
      <c r="A49" s="76"/>
      <c r="B49" s="148" t="s">
        <v>99</v>
      </c>
      <c r="C49" s="406" t="s">
        <v>1167</v>
      </c>
      <c r="D49" s="407"/>
      <c r="E49" s="399" t="s">
        <v>1174</v>
      </c>
      <c r="F49" s="409"/>
      <c r="G49" s="424" t="s">
        <v>1079</v>
      </c>
      <c r="H49" s="403" t="s">
        <v>1079</v>
      </c>
      <c r="I49" s="151" t="s">
        <v>1138</v>
      </c>
      <c r="J49" s="152"/>
      <c r="K49" s="153"/>
      <c r="L49" s="153"/>
      <c r="M49" s="153"/>
      <c r="N49" s="153"/>
      <c r="O49" s="153"/>
      <c r="P49" s="153"/>
      <c r="Q49" s="153"/>
      <c r="R49" s="153"/>
      <c r="S49" s="153"/>
      <c r="T49" s="153"/>
      <c r="U49" s="153"/>
      <c r="V49" s="153"/>
      <c r="W49" s="153"/>
      <c r="X49" s="153"/>
      <c r="Y49" s="153"/>
      <c r="Z49" s="153"/>
      <c r="AA49" s="153"/>
      <c r="AB49" s="153"/>
      <c r="AC49" s="153"/>
      <c r="AD49" s="153"/>
      <c r="AE49" s="153"/>
      <c r="AF49" s="153"/>
      <c r="AG49" s="153"/>
      <c r="AH49" s="153"/>
      <c r="AI49" s="153"/>
      <c r="AJ49" s="153"/>
      <c r="AK49" s="153"/>
      <c r="AL49" s="153"/>
      <c r="AM49" s="153"/>
      <c r="AN49" s="154"/>
      <c r="AO49" s="155">
        <f t="shared" si="2"/>
        <v>0</v>
      </c>
      <c r="AP49" s="13"/>
      <c r="AQ49" s="156">
        <f t="shared" si="22"/>
        <v>0</v>
      </c>
      <c r="AR49" s="13"/>
      <c r="AS49" s="156">
        <f t="shared" si="23"/>
        <v>0</v>
      </c>
      <c r="AT49" s="157">
        <f t="shared" si="24"/>
        <v>0</v>
      </c>
      <c r="AU49" s="156">
        <f t="shared" si="25"/>
        <v>0</v>
      </c>
    </row>
    <row r="50" spans="1:47" ht="30" customHeight="1" x14ac:dyDescent="0.25">
      <c r="A50" s="76"/>
      <c r="B50" s="158" t="s">
        <v>1161</v>
      </c>
      <c r="C50" s="411" t="s">
        <v>1168</v>
      </c>
      <c r="D50" s="412"/>
      <c r="E50" s="408"/>
      <c r="F50" s="409"/>
      <c r="G50" s="397"/>
      <c r="H50" s="394"/>
      <c r="I50" s="162" t="s">
        <v>1138</v>
      </c>
      <c r="J50" s="163"/>
      <c r="K50" s="164"/>
      <c r="L50" s="164"/>
      <c r="M50" s="164"/>
      <c r="N50" s="164"/>
      <c r="O50" s="164"/>
      <c r="P50" s="164"/>
      <c r="Q50" s="164"/>
      <c r="R50" s="164"/>
      <c r="S50" s="164"/>
      <c r="T50" s="164"/>
      <c r="U50" s="164"/>
      <c r="V50" s="164"/>
      <c r="W50" s="164"/>
      <c r="X50" s="164"/>
      <c r="Y50" s="164"/>
      <c r="Z50" s="164"/>
      <c r="AA50" s="164"/>
      <c r="AB50" s="164"/>
      <c r="AC50" s="164"/>
      <c r="AD50" s="164"/>
      <c r="AE50" s="164"/>
      <c r="AF50" s="164"/>
      <c r="AG50" s="164"/>
      <c r="AH50" s="164"/>
      <c r="AI50" s="164"/>
      <c r="AJ50" s="164"/>
      <c r="AK50" s="164"/>
      <c r="AL50" s="164"/>
      <c r="AM50" s="164"/>
      <c r="AN50" s="165"/>
      <c r="AO50" s="166">
        <f t="shared" si="2"/>
        <v>0</v>
      </c>
      <c r="AP50" s="12"/>
      <c r="AQ50" s="167">
        <f t="shared" si="22"/>
        <v>0</v>
      </c>
      <c r="AR50" s="12"/>
      <c r="AS50" s="167">
        <f t="shared" si="23"/>
        <v>0</v>
      </c>
      <c r="AT50" s="168">
        <f t="shared" si="24"/>
        <v>0</v>
      </c>
      <c r="AU50" s="167">
        <f t="shared" si="25"/>
        <v>0</v>
      </c>
    </row>
    <row r="51" spans="1:47" ht="30" customHeight="1" x14ac:dyDescent="0.25">
      <c r="A51" s="76"/>
      <c r="B51" s="158" t="s">
        <v>1162</v>
      </c>
      <c r="C51" s="411" t="s">
        <v>1169</v>
      </c>
      <c r="D51" s="412"/>
      <c r="E51" s="408"/>
      <c r="F51" s="409"/>
      <c r="G51" s="397"/>
      <c r="H51" s="394"/>
      <c r="I51" s="162" t="s">
        <v>1138</v>
      </c>
      <c r="J51" s="163"/>
      <c r="K51" s="164"/>
      <c r="L51" s="164"/>
      <c r="M51" s="164"/>
      <c r="N51" s="164"/>
      <c r="O51" s="164"/>
      <c r="P51" s="164"/>
      <c r="Q51" s="164"/>
      <c r="R51" s="164"/>
      <c r="S51" s="164"/>
      <c r="T51" s="164"/>
      <c r="U51" s="164"/>
      <c r="V51" s="164"/>
      <c r="W51" s="164"/>
      <c r="X51" s="164"/>
      <c r="Y51" s="164"/>
      <c r="Z51" s="164"/>
      <c r="AA51" s="164"/>
      <c r="AB51" s="164"/>
      <c r="AC51" s="164"/>
      <c r="AD51" s="164"/>
      <c r="AE51" s="164"/>
      <c r="AF51" s="164"/>
      <c r="AG51" s="164"/>
      <c r="AH51" s="164"/>
      <c r="AI51" s="164"/>
      <c r="AJ51" s="164"/>
      <c r="AK51" s="164"/>
      <c r="AL51" s="164"/>
      <c r="AM51" s="164"/>
      <c r="AN51" s="165"/>
      <c r="AO51" s="166">
        <f t="shared" si="2"/>
        <v>0</v>
      </c>
      <c r="AP51" s="12"/>
      <c r="AQ51" s="167">
        <f t="shared" si="22"/>
        <v>0</v>
      </c>
      <c r="AR51" s="12"/>
      <c r="AS51" s="167">
        <f t="shared" si="23"/>
        <v>0</v>
      </c>
      <c r="AT51" s="168">
        <f t="shared" si="24"/>
        <v>0</v>
      </c>
      <c r="AU51" s="167">
        <f t="shared" si="25"/>
        <v>0</v>
      </c>
    </row>
    <row r="52" spans="1:47" ht="30" customHeight="1" x14ac:dyDescent="0.25">
      <c r="A52" s="76"/>
      <c r="B52" s="158" t="s">
        <v>1163</v>
      </c>
      <c r="C52" s="411" t="s">
        <v>1170</v>
      </c>
      <c r="D52" s="412"/>
      <c r="E52" s="408"/>
      <c r="F52" s="409"/>
      <c r="G52" s="397"/>
      <c r="H52" s="394"/>
      <c r="I52" s="162" t="s">
        <v>1138</v>
      </c>
      <c r="J52" s="163">
        <v>3</v>
      </c>
      <c r="K52" s="164">
        <v>2</v>
      </c>
      <c r="L52" s="164">
        <v>3</v>
      </c>
      <c r="M52" s="164"/>
      <c r="N52" s="164"/>
      <c r="O52" s="164"/>
      <c r="P52" s="164"/>
      <c r="Q52" s="164"/>
      <c r="R52" s="164"/>
      <c r="S52" s="164"/>
      <c r="T52" s="164"/>
      <c r="U52" s="164"/>
      <c r="V52" s="164"/>
      <c r="W52" s="164"/>
      <c r="X52" s="164"/>
      <c r="Y52" s="164"/>
      <c r="Z52" s="164"/>
      <c r="AA52" s="164"/>
      <c r="AB52" s="164"/>
      <c r="AC52" s="164"/>
      <c r="AD52" s="164"/>
      <c r="AE52" s="164"/>
      <c r="AF52" s="164"/>
      <c r="AG52" s="164"/>
      <c r="AH52" s="164"/>
      <c r="AI52" s="164"/>
      <c r="AJ52" s="164"/>
      <c r="AK52" s="164"/>
      <c r="AL52" s="164"/>
      <c r="AM52" s="164"/>
      <c r="AN52" s="165"/>
      <c r="AO52" s="166">
        <f t="shared" si="2"/>
        <v>8</v>
      </c>
      <c r="AP52" s="12"/>
      <c r="AQ52" s="167">
        <f t="shared" si="22"/>
        <v>0</v>
      </c>
      <c r="AR52" s="12"/>
      <c r="AS52" s="167">
        <f t="shared" si="23"/>
        <v>0</v>
      </c>
      <c r="AT52" s="168">
        <f t="shared" si="24"/>
        <v>0</v>
      </c>
      <c r="AU52" s="167">
        <f t="shared" si="25"/>
        <v>0</v>
      </c>
    </row>
    <row r="53" spans="1:47" ht="30" customHeight="1" x14ac:dyDescent="0.25">
      <c r="A53" s="76"/>
      <c r="B53" s="158" t="s">
        <v>1164</v>
      </c>
      <c r="C53" s="411" t="s">
        <v>1171</v>
      </c>
      <c r="D53" s="412"/>
      <c r="E53" s="408"/>
      <c r="F53" s="409"/>
      <c r="G53" s="397"/>
      <c r="H53" s="394"/>
      <c r="I53" s="162" t="s">
        <v>1138</v>
      </c>
      <c r="J53" s="163"/>
      <c r="K53" s="164"/>
      <c r="L53" s="164"/>
      <c r="M53" s="164"/>
      <c r="N53" s="164"/>
      <c r="O53" s="164"/>
      <c r="P53" s="164"/>
      <c r="Q53" s="164"/>
      <c r="R53" s="164"/>
      <c r="S53" s="164"/>
      <c r="T53" s="164"/>
      <c r="U53" s="164"/>
      <c r="V53" s="164"/>
      <c r="W53" s="164"/>
      <c r="X53" s="164"/>
      <c r="Y53" s="164"/>
      <c r="Z53" s="164"/>
      <c r="AA53" s="164"/>
      <c r="AB53" s="164"/>
      <c r="AC53" s="164"/>
      <c r="AD53" s="164"/>
      <c r="AE53" s="164"/>
      <c r="AF53" s="164"/>
      <c r="AG53" s="164"/>
      <c r="AH53" s="164"/>
      <c r="AI53" s="164"/>
      <c r="AJ53" s="164"/>
      <c r="AK53" s="164"/>
      <c r="AL53" s="164"/>
      <c r="AM53" s="164"/>
      <c r="AN53" s="165"/>
      <c r="AO53" s="166">
        <f t="shared" si="2"/>
        <v>0</v>
      </c>
      <c r="AP53" s="12"/>
      <c r="AQ53" s="167">
        <f t="shared" si="22"/>
        <v>0</v>
      </c>
      <c r="AR53" s="12"/>
      <c r="AS53" s="167">
        <f t="shared" si="23"/>
        <v>0</v>
      </c>
      <c r="AT53" s="168">
        <f t="shared" si="24"/>
        <v>0</v>
      </c>
      <c r="AU53" s="167">
        <f t="shared" si="25"/>
        <v>0</v>
      </c>
    </row>
    <row r="54" spans="1:47" ht="30" customHeight="1" x14ac:dyDescent="0.25">
      <c r="A54" s="76"/>
      <c r="B54" s="158" t="s">
        <v>1165</v>
      </c>
      <c r="C54" s="411" t="s">
        <v>1172</v>
      </c>
      <c r="D54" s="412"/>
      <c r="E54" s="408"/>
      <c r="F54" s="409"/>
      <c r="G54" s="397"/>
      <c r="H54" s="394"/>
      <c r="I54" s="162" t="s">
        <v>1138</v>
      </c>
      <c r="J54" s="163"/>
      <c r="K54" s="164"/>
      <c r="L54" s="164"/>
      <c r="M54" s="164"/>
      <c r="N54" s="164"/>
      <c r="O54" s="164"/>
      <c r="P54" s="164"/>
      <c r="Q54" s="164"/>
      <c r="R54" s="164"/>
      <c r="S54" s="164"/>
      <c r="T54" s="164"/>
      <c r="U54" s="164"/>
      <c r="V54" s="164"/>
      <c r="W54" s="164"/>
      <c r="X54" s="164"/>
      <c r="Y54" s="164"/>
      <c r="Z54" s="164"/>
      <c r="AA54" s="164"/>
      <c r="AB54" s="164"/>
      <c r="AC54" s="164"/>
      <c r="AD54" s="164"/>
      <c r="AE54" s="164"/>
      <c r="AF54" s="164"/>
      <c r="AG54" s="164"/>
      <c r="AH54" s="164"/>
      <c r="AI54" s="164"/>
      <c r="AJ54" s="164"/>
      <c r="AK54" s="164"/>
      <c r="AL54" s="164"/>
      <c r="AM54" s="164"/>
      <c r="AN54" s="165"/>
      <c r="AO54" s="166">
        <f t="shared" si="2"/>
        <v>0</v>
      </c>
      <c r="AP54" s="12"/>
      <c r="AQ54" s="167">
        <f t="shared" si="22"/>
        <v>0</v>
      </c>
      <c r="AR54" s="12"/>
      <c r="AS54" s="167">
        <f t="shared" si="23"/>
        <v>0</v>
      </c>
      <c r="AT54" s="168">
        <f t="shared" si="24"/>
        <v>0</v>
      </c>
      <c r="AU54" s="167">
        <f t="shared" si="25"/>
        <v>0</v>
      </c>
    </row>
    <row r="55" spans="1:47" ht="30" customHeight="1" x14ac:dyDescent="0.25">
      <c r="A55" s="76"/>
      <c r="B55" s="182" t="s">
        <v>1166</v>
      </c>
      <c r="C55" s="404" t="s">
        <v>1173</v>
      </c>
      <c r="D55" s="405"/>
      <c r="E55" s="400"/>
      <c r="F55" s="409"/>
      <c r="G55" s="398"/>
      <c r="H55" s="395"/>
      <c r="I55" s="173" t="s">
        <v>1138</v>
      </c>
      <c r="J55" s="174"/>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6"/>
      <c r="AO55" s="177">
        <f t="shared" si="2"/>
        <v>0</v>
      </c>
      <c r="AP55" s="14"/>
      <c r="AQ55" s="178">
        <f t="shared" si="22"/>
        <v>0</v>
      </c>
      <c r="AR55" s="14"/>
      <c r="AS55" s="178">
        <f t="shared" si="23"/>
        <v>0</v>
      </c>
      <c r="AT55" s="179">
        <f t="shared" si="24"/>
        <v>0</v>
      </c>
      <c r="AU55" s="178">
        <f t="shared" si="25"/>
        <v>0</v>
      </c>
    </row>
    <row r="56" spans="1:47" ht="75" customHeight="1" x14ac:dyDescent="0.25">
      <c r="A56" s="76"/>
      <c r="B56" s="37" t="s">
        <v>105</v>
      </c>
      <c r="C56" s="276" t="s">
        <v>1175</v>
      </c>
      <c r="D56" s="278"/>
      <c r="E56" s="183" t="s">
        <v>1176</v>
      </c>
      <c r="F56" s="402"/>
      <c r="G56" s="184" t="str">
        <f>+G49</f>
        <v>YÜKLENİCİ</v>
      </c>
      <c r="H56" s="185" t="str">
        <f>+H49</f>
        <v>YÜKLENİCİ</v>
      </c>
      <c r="I56" s="173" t="s">
        <v>1138</v>
      </c>
      <c r="J56" s="174"/>
      <c r="K56" s="175"/>
      <c r="L56" s="175"/>
      <c r="M56" s="175"/>
      <c r="N56" s="175"/>
      <c r="O56" s="175"/>
      <c r="P56" s="175"/>
      <c r="Q56" s="175"/>
      <c r="R56" s="175"/>
      <c r="S56" s="175"/>
      <c r="T56" s="175"/>
      <c r="U56" s="175"/>
      <c r="V56" s="175"/>
      <c r="W56" s="175"/>
      <c r="X56" s="175"/>
      <c r="Y56" s="175"/>
      <c r="Z56" s="175"/>
      <c r="AA56" s="175"/>
      <c r="AB56" s="175"/>
      <c r="AC56" s="175"/>
      <c r="AD56" s="175"/>
      <c r="AE56" s="175"/>
      <c r="AF56" s="175"/>
      <c r="AG56" s="175"/>
      <c r="AH56" s="175"/>
      <c r="AI56" s="175"/>
      <c r="AJ56" s="175"/>
      <c r="AK56" s="175"/>
      <c r="AL56" s="175"/>
      <c r="AM56" s="175"/>
      <c r="AN56" s="176"/>
      <c r="AO56" s="177">
        <f t="shared" si="2"/>
        <v>0</v>
      </c>
      <c r="AP56" s="14"/>
      <c r="AQ56" s="178">
        <f t="shared" ref="AQ56" si="26">+AP56*AO56</f>
        <v>0</v>
      </c>
      <c r="AR56" s="14"/>
      <c r="AS56" s="178">
        <f t="shared" ref="AS56" si="27">+AR56*AO56</f>
        <v>0</v>
      </c>
      <c r="AT56" s="179">
        <f t="shared" ref="AT56" si="28">+AR56+AP56</f>
        <v>0</v>
      </c>
      <c r="AU56" s="178">
        <f t="shared" ref="AU56" si="29">+AT56*AO56</f>
        <v>0</v>
      </c>
    </row>
    <row r="57" spans="1:47" ht="96" customHeight="1" x14ac:dyDescent="0.25">
      <c r="A57" s="140"/>
      <c r="B57" s="37">
        <v>6</v>
      </c>
      <c r="C57" s="270" t="s">
        <v>1177</v>
      </c>
      <c r="D57" s="271"/>
      <c r="E57" s="271"/>
      <c r="F57" s="356"/>
      <c r="G57" s="186"/>
      <c r="H57" s="187"/>
      <c r="I57" s="97"/>
      <c r="J57" s="83"/>
      <c r="K57" s="83"/>
      <c r="L57" s="83"/>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4"/>
      <c r="AP57" s="78"/>
      <c r="AQ57" s="79">
        <f>SUM(AQ58:AQ200)</f>
        <v>0</v>
      </c>
      <c r="AR57" s="78"/>
      <c r="AS57" s="79">
        <f>SUM(AS58:AS200)</f>
        <v>0</v>
      </c>
      <c r="AT57" s="78"/>
      <c r="AU57" s="79">
        <f>SUM(AU58:AU200)</f>
        <v>0</v>
      </c>
    </row>
    <row r="58" spans="1:47" ht="30" customHeight="1" x14ac:dyDescent="0.25">
      <c r="A58" s="76"/>
      <c r="B58" s="148" t="s">
        <v>148</v>
      </c>
      <c r="C58" s="406" t="s">
        <v>1179</v>
      </c>
      <c r="D58" s="407"/>
      <c r="E58" s="399" t="s">
        <v>1178</v>
      </c>
      <c r="F58" s="401" t="s">
        <v>1214</v>
      </c>
      <c r="G58" s="424" t="s">
        <v>1079</v>
      </c>
      <c r="H58" s="403" t="s">
        <v>1079</v>
      </c>
      <c r="I58" s="151" t="s">
        <v>532</v>
      </c>
      <c r="J58" s="152"/>
      <c r="K58" s="153">
        <v>370</v>
      </c>
      <c r="L58" s="153"/>
      <c r="M58" s="153"/>
      <c r="N58" s="153"/>
      <c r="O58" s="153"/>
      <c r="P58" s="153"/>
      <c r="Q58" s="153"/>
      <c r="R58" s="153"/>
      <c r="S58" s="153"/>
      <c r="T58" s="153"/>
      <c r="U58" s="153"/>
      <c r="V58" s="153"/>
      <c r="W58" s="153"/>
      <c r="X58" s="153"/>
      <c r="Y58" s="153"/>
      <c r="Z58" s="153"/>
      <c r="AA58" s="153"/>
      <c r="AB58" s="153"/>
      <c r="AC58" s="153"/>
      <c r="AD58" s="153"/>
      <c r="AE58" s="153"/>
      <c r="AF58" s="153"/>
      <c r="AG58" s="153"/>
      <c r="AH58" s="153"/>
      <c r="AI58" s="153"/>
      <c r="AJ58" s="153"/>
      <c r="AK58" s="153"/>
      <c r="AL58" s="153"/>
      <c r="AM58" s="153"/>
      <c r="AN58" s="154"/>
      <c r="AO58" s="155">
        <f t="shared" si="2"/>
        <v>370</v>
      </c>
      <c r="AP58" s="13"/>
      <c r="AQ58" s="156">
        <f t="shared" ref="AQ58" si="30">+AP58*AO58</f>
        <v>0</v>
      </c>
      <c r="AR58" s="13"/>
      <c r="AS58" s="156">
        <f t="shared" ref="AS58" si="31">+AR58*AO58</f>
        <v>0</v>
      </c>
      <c r="AT58" s="157">
        <f t="shared" ref="AT58" si="32">+AR58+AP58</f>
        <v>0</v>
      </c>
      <c r="AU58" s="156">
        <f t="shared" ref="AU58" si="33">+AT58*AO58</f>
        <v>0</v>
      </c>
    </row>
    <row r="59" spans="1:47" ht="30" customHeight="1" x14ac:dyDescent="0.25">
      <c r="A59" s="76"/>
      <c r="B59" s="158" t="s">
        <v>149</v>
      </c>
      <c r="C59" s="411" t="s">
        <v>1180</v>
      </c>
      <c r="D59" s="412"/>
      <c r="E59" s="408"/>
      <c r="F59" s="409"/>
      <c r="G59" s="397"/>
      <c r="H59" s="394"/>
      <c r="I59" s="162" t="s">
        <v>532</v>
      </c>
      <c r="J59" s="163">
        <v>40</v>
      </c>
      <c r="K59" s="164">
        <v>100</v>
      </c>
      <c r="L59" s="164">
        <v>80</v>
      </c>
      <c r="M59" s="164"/>
      <c r="N59" s="164"/>
      <c r="O59" s="164"/>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5"/>
      <c r="AO59" s="166">
        <f t="shared" si="2"/>
        <v>220</v>
      </c>
      <c r="AP59" s="12"/>
      <c r="AQ59" s="167">
        <f t="shared" ref="AQ59:AQ77" si="34">+AP59*AO59</f>
        <v>0</v>
      </c>
      <c r="AR59" s="12"/>
      <c r="AS59" s="167">
        <f t="shared" ref="AS59:AS77" si="35">+AR59*AO59</f>
        <v>0</v>
      </c>
      <c r="AT59" s="168">
        <f t="shared" ref="AT59:AT77" si="36">+AR59+AP59</f>
        <v>0</v>
      </c>
      <c r="AU59" s="167">
        <f t="shared" ref="AU59:AU77" si="37">+AT59*AO59</f>
        <v>0</v>
      </c>
    </row>
    <row r="60" spans="1:47" ht="30" customHeight="1" x14ac:dyDescent="0.25">
      <c r="A60" s="76"/>
      <c r="B60" s="158" t="s">
        <v>150</v>
      </c>
      <c r="C60" s="411" t="s">
        <v>1181</v>
      </c>
      <c r="D60" s="412"/>
      <c r="E60" s="408"/>
      <c r="F60" s="409"/>
      <c r="G60" s="397"/>
      <c r="H60" s="394"/>
      <c r="I60" s="162" t="s">
        <v>532</v>
      </c>
      <c r="J60" s="163"/>
      <c r="K60" s="164"/>
      <c r="L60" s="164"/>
      <c r="M60" s="164"/>
      <c r="N60" s="164"/>
      <c r="O60" s="164"/>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5"/>
      <c r="AO60" s="166">
        <f t="shared" si="2"/>
        <v>0</v>
      </c>
      <c r="AP60" s="12"/>
      <c r="AQ60" s="167">
        <f t="shared" si="34"/>
        <v>0</v>
      </c>
      <c r="AR60" s="12"/>
      <c r="AS60" s="167">
        <f t="shared" si="35"/>
        <v>0</v>
      </c>
      <c r="AT60" s="168">
        <f t="shared" si="36"/>
        <v>0</v>
      </c>
      <c r="AU60" s="167">
        <f t="shared" si="37"/>
        <v>0</v>
      </c>
    </row>
    <row r="61" spans="1:47" ht="30" customHeight="1" x14ac:dyDescent="0.25">
      <c r="A61" s="76"/>
      <c r="B61" s="158" t="s">
        <v>1198</v>
      </c>
      <c r="C61" s="411" t="s">
        <v>1182</v>
      </c>
      <c r="D61" s="412"/>
      <c r="E61" s="408"/>
      <c r="F61" s="409"/>
      <c r="G61" s="397"/>
      <c r="H61" s="394"/>
      <c r="I61" s="162" t="s">
        <v>532</v>
      </c>
      <c r="J61" s="163"/>
      <c r="K61" s="164"/>
      <c r="L61" s="164"/>
      <c r="M61" s="164"/>
      <c r="N61" s="164"/>
      <c r="O61" s="164"/>
      <c r="P61" s="164"/>
      <c r="Q61" s="164"/>
      <c r="R61" s="164">
        <v>50</v>
      </c>
      <c r="S61" s="164">
        <v>10</v>
      </c>
      <c r="T61" s="164"/>
      <c r="U61" s="164">
        <v>50</v>
      </c>
      <c r="V61" s="164">
        <v>485</v>
      </c>
      <c r="W61" s="164">
        <v>985</v>
      </c>
      <c r="X61" s="164">
        <v>725</v>
      </c>
      <c r="Y61" s="164">
        <v>0</v>
      </c>
      <c r="Z61" s="164">
        <v>235</v>
      </c>
      <c r="AA61" s="164">
        <v>125</v>
      </c>
      <c r="AB61" s="164">
        <v>697</v>
      </c>
      <c r="AC61" s="164">
        <v>40</v>
      </c>
      <c r="AD61" s="164">
        <v>100</v>
      </c>
      <c r="AE61" s="164"/>
      <c r="AF61" s="164"/>
      <c r="AG61" s="164"/>
      <c r="AH61" s="164">
        <v>50</v>
      </c>
      <c r="AI61" s="164">
        <v>35</v>
      </c>
      <c r="AJ61" s="164">
        <v>35</v>
      </c>
      <c r="AK61" s="164">
        <v>35</v>
      </c>
      <c r="AL61" s="164">
        <v>15</v>
      </c>
      <c r="AM61" s="164">
        <v>65</v>
      </c>
      <c r="AN61" s="165">
        <v>50</v>
      </c>
      <c r="AO61" s="166">
        <f t="shared" si="2"/>
        <v>3787</v>
      </c>
      <c r="AP61" s="12"/>
      <c r="AQ61" s="167">
        <f t="shared" si="34"/>
        <v>0</v>
      </c>
      <c r="AR61" s="12"/>
      <c r="AS61" s="167">
        <f t="shared" si="35"/>
        <v>0</v>
      </c>
      <c r="AT61" s="168">
        <f t="shared" si="36"/>
        <v>0</v>
      </c>
      <c r="AU61" s="167">
        <f t="shared" si="37"/>
        <v>0</v>
      </c>
    </row>
    <row r="62" spans="1:47" ht="30" customHeight="1" x14ac:dyDescent="0.25">
      <c r="A62" s="76"/>
      <c r="B62" s="158" t="s">
        <v>1199</v>
      </c>
      <c r="C62" s="411" t="s">
        <v>1183</v>
      </c>
      <c r="D62" s="412"/>
      <c r="E62" s="408"/>
      <c r="F62" s="409"/>
      <c r="G62" s="397"/>
      <c r="H62" s="394"/>
      <c r="I62" s="162" t="s">
        <v>532</v>
      </c>
      <c r="J62" s="163"/>
      <c r="K62" s="164"/>
      <c r="L62" s="164"/>
      <c r="M62" s="164"/>
      <c r="N62" s="164"/>
      <c r="O62" s="164"/>
      <c r="P62" s="164"/>
      <c r="Q62" s="164"/>
      <c r="R62" s="164"/>
      <c r="S62" s="164"/>
      <c r="T62" s="164"/>
      <c r="U62" s="164"/>
      <c r="V62" s="164">
        <v>75</v>
      </c>
      <c r="W62" s="164"/>
      <c r="X62" s="164"/>
      <c r="Y62" s="164"/>
      <c r="Z62" s="164"/>
      <c r="AA62" s="164"/>
      <c r="AB62" s="164"/>
      <c r="AC62" s="164"/>
      <c r="AD62" s="164"/>
      <c r="AE62" s="164"/>
      <c r="AF62" s="164"/>
      <c r="AG62" s="164"/>
      <c r="AH62" s="164"/>
      <c r="AI62" s="164"/>
      <c r="AJ62" s="164"/>
      <c r="AK62" s="164"/>
      <c r="AL62" s="164"/>
      <c r="AM62" s="164"/>
      <c r="AN62" s="165"/>
      <c r="AO62" s="166">
        <f t="shared" si="2"/>
        <v>75</v>
      </c>
      <c r="AP62" s="12"/>
      <c r="AQ62" s="167">
        <f t="shared" si="34"/>
        <v>0</v>
      </c>
      <c r="AR62" s="12"/>
      <c r="AS62" s="167">
        <f t="shared" si="35"/>
        <v>0</v>
      </c>
      <c r="AT62" s="168">
        <f t="shared" si="36"/>
        <v>0</v>
      </c>
      <c r="AU62" s="167">
        <f t="shared" si="37"/>
        <v>0</v>
      </c>
    </row>
    <row r="63" spans="1:47" ht="30" customHeight="1" x14ac:dyDescent="0.25">
      <c r="A63" s="76"/>
      <c r="B63" s="158" t="s">
        <v>1200</v>
      </c>
      <c r="C63" s="411" t="s">
        <v>1184</v>
      </c>
      <c r="D63" s="412"/>
      <c r="E63" s="408"/>
      <c r="F63" s="409"/>
      <c r="G63" s="397"/>
      <c r="H63" s="394"/>
      <c r="I63" s="162" t="s">
        <v>532</v>
      </c>
      <c r="J63" s="163"/>
      <c r="K63" s="164"/>
      <c r="L63" s="164"/>
      <c r="M63" s="164"/>
      <c r="N63" s="164"/>
      <c r="O63" s="164"/>
      <c r="P63" s="164"/>
      <c r="Q63" s="164"/>
      <c r="R63" s="164"/>
      <c r="S63" s="164"/>
      <c r="T63" s="164"/>
      <c r="U63" s="164"/>
      <c r="V63" s="164"/>
      <c r="W63" s="164"/>
      <c r="X63" s="164"/>
      <c r="Y63" s="164"/>
      <c r="Z63" s="164">
        <v>25</v>
      </c>
      <c r="AA63" s="164"/>
      <c r="AB63" s="164"/>
      <c r="AC63" s="164"/>
      <c r="AD63" s="164"/>
      <c r="AE63" s="164"/>
      <c r="AF63" s="164"/>
      <c r="AG63" s="164"/>
      <c r="AH63" s="164"/>
      <c r="AI63" s="164"/>
      <c r="AJ63" s="164"/>
      <c r="AK63" s="164"/>
      <c r="AL63" s="164"/>
      <c r="AM63" s="164"/>
      <c r="AN63" s="165"/>
      <c r="AO63" s="166">
        <f t="shared" si="2"/>
        <v>25</v>
      </c>
      <c r="AP63" s="12"/>
      <c r="AQ63" s="167">
        <f t="shared" si="34"/>
        <v>0</v>
      </c>
      <c r="AR63" s="12"/>
      <c r="AS63" s="167">
        <f t="shared" si="35"/>
        <v>0</v>
      </c>
      <c r="AT63" s="168">
        <f t="shared" si="36"/>
        <v>0</v>
      </c>
      <c r="AU63" s="167">
        <f t="shared" si="37"/>
        <v>0</v>
      </c>
    </row>
    <row r="64" spans="1:47" ht="30" customHeight="1" x14ac:dyDescent="0.25">
      <c r="A64" s="76"/>
      <c r="B64" s="158" t="s">
        <v>1201</v>
      </c>
      <c r="C64" s="411" t="s">
        <v>1185</v>
      </c>
      <c r="D64" s="412"/>
      <c r="E64" s="408"/>
      <c r="F64" s="409"/>
      <c r="G64" s="397"/>
      <c r="H64" s="394"/>
      <c r="I64" s="162" t="s">
        <v>532</v>
      </c>
      <c r="J64" s="163"/>
      <c r="K64" s="164"/>
      <c r="L64" s="164"/>
      <c r="M64" s="164"/>
      <c r="N64" s="164"/>
      <c r="O64" s="164"/>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5"/>
      <c r="AO64" s="166">
        <f t="shared" si="2"/>
        <v>0</v>
      </c>
      <c r="AP64" s="12"/>
      <c r="AQ64" s="167">
        <f t="shared" si="34"/>
        <v>0</v>
      </c>
      <c r="AR64" s="12"/>
      <c r="AS64" s="167">
        <f t="shared" si="35"/>
        <v>0</v>
      </c>
      <c r="AT64" s="168">
        <f t="shared" si="36"/>
        <v>0</v>
      </c>
      <c r="AU64" s="167">
        <f t="shared" si="37"/>
        <v>0</v>
      </c>
    </row>
    <row r="65" spans="1:47" ht="30" customHeight="1" x14ac:dyDescent="0.25">
      <c r="A65" s="76"/>
      <c r="B65" s="158" t="s">
        <v>1202</v>
      </c>
      <c r="C65" s="411" t="s">
        <v>1186</v>
      </c>
      <c r="D65" s="412"/>
      <c r="E65" s="408"/>
      <c r="F65" s="409"/>
      <c r="G65" s="397"/>
      <c r="H65" s="394"/>
      <c r="I65" s="162" t="s">
        <v>532</v>
      </c>
      <c r="J65" s="163"/>
      <c r="K65" s="164"/>
      <c r="L65" s="164"/>
      <c r="M65" s="164"/>
      <c r="N65" s="164"/>
      <c r="O65" s="164"/>
      <c r="P65" s="164"/>
      <c r="Q65" s="164"/>
      <c r="R65" s="164"/>
      <c r="S65" s="164"/>
      <c r="T65" s="164"/>
      <c r="U65" s="164"/>
      <c r="V65" s="164"/>
      <c r="W65" s="164"/>
      <c r="X65" s="164"/>
      <c r="Y65" s="164"/>
      <c r="Z65" s="164"/>
      <c r="AA65" s="164"/>
      <c r="AB65" s="164"/>
      <c r="AC65" s="164"/>
      <c r="AD65" s="164"/>
      <c r="AE65" s="164"/>
      <c r="AF65" s="164"/>
      <c r="AG65" s="164"/>
      <c r="AH65" s="164"/>
      <c r="AI65" s="164"/>
      <c r="AJ65" s="164"/>
      <c r="AK65" s="164"/>
      <c r="AL65" s="164"/>
      <c r="AM65" s="164"/>
      <c r="AN65" s="165"/>
      <c r="AO65" s="166">
        <f t="shared" si="2"/>
        <v>0</v>
      </c>
      <c r="AP65" s="12"/>
      <c r="AQ65" s="167">
        <f t="shared" si="34"/>
        <v>0</v>
      </c>
      <c r="AR65" s="12"/>
      <c r="AS65" s="167">
        <f t="shared" si="35"/>
        <v>0</v>
      </c>
      <c r="AT65" s="168">
        <f t="shared" si="36"/>
        <v>0</v>
      </c>
      <c r="AU65" s="167">
        <f t="shared" si="37"/>
        <v>0</v>
      </c>
    </row>
    <row r="66" spans="1:47" ht="30" customHeight="1" x14ac:dyDescent="0.25">
      <c r="A66" s="76"/>
      <c r="B66" s="158" t="s">
        <v>1203</v>
      </c>
      <c r="C66" s="411" t="s">
        <v>1187</v>
      </c>
      <c r="D66" s="412"/>
      <c r="E66" s="408"/>
      <c r="F66" s="409"/>
      <c r="G66" s="397"/>
      <c r="H66" s="394"/>
      <c r="I66" s="162" t="s">
        <v>532</v>
      </c>
      <c r="J66" s="163"/>
      <c r="K66" s="164"/>
      <c r="L66" s="164"/>
      <c r="M66" s="164"/>
      <c r="N66" s="164"/>
      <c r="O66" s="164"/>
      <c r="P66" s="164"/>
      <c r="Q66" s="164"/>
      <c r="R66" s="164"/>
      <c r="S66" s="164"/>
      <c r="T66" s="164"/>
      <c r="U66" s="164"/>
      <c r="V66" s="164">
        <v>166</v>
      </c>
      <c r="W66" s="164"/>
      <c r="X66" s="164"/>
      <c r="Y66" s="164"/>
      <c r="Z66" s="164"/>
      <c r="AA66" s="164"/>
      <c r="AB66" s="164"/>
      <c r="AC66" s="164"/>
      <c r="AD66" s="164"/>
      <c r="AE66" s="164"/>
      <c r="AF66" s="164"/>
      <c r="AG66" s="164"/>
      <c r="AH66" s="164"/>
      <c r="AI66" s="164"/>
      <c r="AJ66" s="164"/>
      <c r="AK66" s="164"/>
      <c r="AL66" s="164"/>
      <c r="AM66" s="164"/>
      <c r="AN66" s="165"/>
      <c r="AO66" s="166">
        <f t="shared" si="2"/>
        <v>166</v>
      </c>
      <c r="AP66" s="12"/>
      <c r="AQ66" s="167">
        <f t="shared" si="34"/>
        <v>0</v>
      </c>
      <c r="AR66" s="12"/>
      <c r="AS66" s="167">
        <f t="shared" si="35"/>
        <v>0</v>
      </c>
      <c r="AT66" s="168">
        <f t="shared" si="36"/>
        <v>0</v>
      </c>
      <c r="AU66" s="167">
        <f t="shared" si="37"/>
        <v>0</v>
      </c>
    </row>
    <row r="67" spans="1:47" ht="30" customHeight="1" x14ac:dyDescent="0.25">
      <c r="A67" s="76"/>
      <c r="B67" s="158" t="s">
        <v>1204</v>
      </c>
      <c r="C67" s="411" t="s">
        <v>1188</v>
      </c>
      <c r="D67" s="412"/>
      <c r="E67" s="408"/>
      <c r="F67" s="409"/>
      <c r="G67" s="397"/>
      <c r="H67" s="394"/>
      <c r="I67" s="162" t="s">
        <v>532</v>
      </c>
      <c r="J67" s="163"/>
      <c r="K67" s="164"/>
      <c r="L67" s="164"/>
      <c r="M67" s="164"/>
      <c r="N67" s="164"/>
      <c r="O67" s="164"/>
      <c r="P67" s="164"/>
      <c r="Q67" s="164"/>
      <c r="R67" s="164"/>
      <c r="S67" s="164"/>
      <c r="T67" s="164"/>
      <c r="U67" s="164"/>
      <c r="V67" s="164"/>
      <c r="W67" s="164"/>
      <c r="X67" s="164"/>
      <c r="Y67" s="164"/>
      <c r="Z67" s="164"/>
      <c r="AA67" s="164"/>
      <c r="AB67" s="164"/>
      <c r="AC67" s="164"/>
      <c r="AD67" s="164"/>
      <c r="AE67" s="164"/>
      <c r="AF67" s="164"/>
      <c r="AG67" s="164"/>
      <c r="AH67" s="164"/>
      <c r="AI67" s="164"/>
      <c r="AJ67" s="164"/>
      <c r="AK67" s="164"/>
      <c r="AL67" s="164"/>
      <c r="AM67" s="164"/>
      <c r="AN67" s="165"/>
      <c r="AO67" s="166">
        <f t="shared" si="2"/>
        <v>0</v>
      </c>
      <c r="AP67" s="12"/>
      <c r="AQ67" s="167">
        <f t="shared" si="34"/>
        <v>0</v>
      </c>
      <c r="AR67" s="12"/>
      <c r="AS67" s="167">
        <f t="shared" si="35"/>
        <v>0</v>
      </c>
      <c r="AT67" s="168">
        <f t="shared" si="36"/>
        <v>0</v>
      </c>
      <c r="AU67" s="167">
        <f t="shared" si="37"/>
        <v>0</v>
      </c>
    </row>
    <row r="68" spans="1:47" ht="30" customHeight="1" x14ac:dyDescent="0.25">
      <c r="A68" s="76"/>
      <c r="B68" s="158" t="s">
        <v>1205</v>
      </c>
      <c r="C68" s="411" t="s">
        <v>1189</v>
      </c>
      <c r="D68" s="412"/>
      <c r="E68" s="408"/>
      <c r="F68" s="409"/>
      <c r="G68" s="397"/>
      <c r="H68" s="394"/>
      <c r="I68" s="162" t="s">
        <v>532</v>
      </c>
      <c r="J68" s="163"/>
      <c r="K68" s="164"/>
      <c r="L68" s="164"/>
      <c r="M68" s="164"/>
      <c r="N68" s="164"/>
      <c r="O68" s="164"/>
      <c r="P68" s="164"/>
      <c r="Q68" s="164"/>
      <c r="R68" s="164"/>
      <c r="S68" s="164"/>
      <c r="T68" s="164"/>
      <c r="U68" s="164"/>
      <c r="V68" s="164"/>
      <c r="W68" s="164"/>
      <c r="X68" s="164"/>
      <c r="Y68" s="164"/>
      <c r="Z68" s="164"/>
      <c r="AA68" s="164"/>
      <c r="AB68" s="164"/>
      <c r="AC68" s="164"/>
      <c r="AD68" s="164"/>
      <c r="AE68" s="164"/>
      <c r="AF68" s="164"/>
      <c r="AG68" s="164"/>
      <c r="AH68" s="164"/>
      <c r="AI68" s="164"/>
      <c r="AJ68" s="164"/>
      <c r="AK68" s="164"/>
      <c r="AL68" s="164"/>
      <c r="AM68" s="164"/>
      <c r="AN68" s="165"/>
      <c r="AO68" s="166">
        <f t="shared" si="2"/>
        <v>0</v>
      </c>
      <c r="AP68" s="12"/>
      <c r="AQ68" s="167">
        <f t="shared" si="34"/>
        <v>0</v>
      </c>
      <c r="AR68" s="12"/>
      <c r="AS68" s="167">
        <f t="shared" si="35"/>
        <v>0</v>
      </c>
      <c r="AT68" s="168">
        <f t="shared" si="36"/>
        <v>0</v>
      </c>
      <c r="AU68" s="167">
        <f t="shared" si="37"/>
        <v>0</v>
      </c>
    </row>
    <row r="69" spans="1:47" ht="30" customHeight="1" x14ac:dyDescent="0.25">
      <c r="A69" s="76"/>
      <c r="B69" s="158" t="s">
        <v>1206</v>
      </c>
      <c r="C69" s="411" t="s">
        <v>1190</v>
      </c>
      <c r="D69" s="412"/>
      <c r="E69" s="408"/>
      <c r="F69" s="409"/>
      <c r="G69" s="397"/>
      <c r="H69" s="394"/>
      <c r="I69" s="162" t="s">
        <v>532</v>
      </c>
      <c r="J69" s="163"/>
      <c r="K69" s="164"/>
      <c r="L69" s="164"/>
      <c r="M69" s="164"/>
      <c r="N69" s="164"/>
      <c r="O69" s="164"/>
      <c r="P69" s="164"/>
      <c r="Q69" s="164"/>
      <c r="R69" s="164"/>
      <c r="S69" s="164"/>
      <c r="T69" s="164"/>
      <c r="U69" s="164"/>
      <c r="V69" s="164"/>
      <c r="W69" s="164"/>
      <c r="X69" s="164"/>
      <c r="Y69" s="164"/>
      <c r="Z69" s="164"/>
      <c r="AA69" s="164"/>
      <c r="AB69" s="164"/>
      <c r="AC69" s="164"/>
      <c r="AD69" s="164"/>
      <c r="AE69" s="164"/>
      <c r="AF69" s="164"/>
      <c r="AG69" s="164"/>
      <c r="AH69" s="164"/>
      <c r="AI69" s="164"/>
      <c r="AJ69" s="164"/>
      <c r="AK69" s="164"/>
      <c r="AL69" s="164"/>
      <c r="AM69" s="164"/>
      <c r="AN69" s="165"/>
      <c r="AO69" s="166">
        <f t="shared" si="2"/>
        <v>0</v>
      </c>
      <c r="AP69" s="12"/>
      <c r="AQ69" s="167">
        <f t="shared" si="34"/>
        <v>0</v>
      </c>
      <c r="AR69" s="12"/>
      <c r="AS69" s="167">
        <f t="shared" si="35"/>
        <v>0</v>
      </c>
      <c r="AT69" s="168">
        <f t="shared" si="36"/>
        <v>0</v>
      </c>
      <c r="AU69" s="167">
        <f t="shared" si="37"/>
        <v>0</v>
      </c>
    </row>
    <row r="70" spans="1:47" ht="30" customHeight="1" x14ac:dyDescent="0.25">
      <c r="A70" s="76"/>
      <c r="B70" s="158" t="s">
        <v>1207</v>
      </c>
      <c r="C70" s="411" t="s">
        <v>1191</v>
      </c>
      <c r="D70" s="412"/>
      <c r="E70" s="408"/>
      <c r="F70" s="409"/>
      <c r="G70" s="397"/>
      <c r="H70" s="394"/>
      <c r="I70" s="162" t="s">
        <v>532</v>
      </c>
      <c r="J70" s="163"/>
      <c r="K70" s="164"/>
      <c r="L70" s="164"/>
      <c r="M70" s="164"/>
      <c r="N70" s="164"/>
      <c r="O70" s="164"/>
      <c r="P70" s="164"/>
      <c r="Q70" s="164"/>
      <c r="R70" s="164"/>
      <c r="S70" s="164"/>
      <c r="T70" s="164"/>
      <c r="U70" s="164"/>
      <c r="V70" s="164"/>
      <c r="W70" s="164"/>
      <c r="X70" s="164"/>
      <c r="Y70" s="164"/>
      <c r="Z70" s="164"/>
      <c r="AA70" s="164"/>
      <c r="AB70" s="164"/>
      <c r="AC70" s="164"/>
      <c r="AD70" s="164"/>
      <c r="AE70" s="164"/>
      <c r="AF70" s="164"/>
      <c r="AG70" s="164"/>
      <c r="AH70" s="164"/>
      <c r="AI70" s="164"/>
      <c r="AJ70" s="164"/>
      <c r="AK70" s="164"/>
      <c r="AL70" s="164"/>
      <c r="AM70" s="164"/>
      <c r="AN70" s="165"/>
      <c r="AO70" s="166">
        <f t="shared" si="2"/>
        <v>0</v>
      </c>
      <c r="AP70" s="12"/>
      <c r="AQ70" s="167">
        <f t="shared" si="34"/>
        <v>0</v>
      </c>
      <c r="AR70" s="12"/>
      <c r="AS70" s="167">
        <f t="shared" si="35"/>
        <v>0</v>
      </c>
      <c r="AT70" s="168">
        <f t="shared" si="36"/>
        <v>0</v>
      </c>
      <c r="AU70" s="167">
        <f t="shared" si="37"/>
        <v>0</v>
      </c>
    </row>
    <row r="71" spans="1:47" ht="30" customHeight="1" x14ac:dyDescent="0.25">
      <c r="A71" s="76"/>
      <c r="B71" s="158" t="s">
        <v>1208</v>
      </c>
      <c r="C71" s="411" t="s">
        <v>1192</v>
      </c>
      <c r="D71" s="412"/>
      <c r="E71" s="408"/>
      <c r="F71" s="409"/>
      <c r="G71" s="397"/>
      <c r="H71" s="394"/>
      <c r="I71" s="162" t="s">
        <v>532</v>
      </c>
      <c r="J71" s="163"/>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4"/>
      <c r="AI71" s="164"/>
      <c r="AJ71" s="164"/>
      <c r="AK71" s="164"/>
      <c r="AL71" s="164"/>
      <c r="AM71" s="164"/>
      <c r="AN71" s="165"/>
      <c r="AO71" s="166">
        <f t="shared" si="2"/>
        <v>0</v>
      </c>
      <c r="AP71" s="12"/>
      <c r="AQ71" s="167">
        <f t="shared" si="34"/>
        <v>0</v>
      </c>
      <c r="AR71" s="12"/>
      <c r="AS71" s="167">
        <f t="shared" si="35"/>
        <v>0</v>
      </c>
      <c r="AT71" s="168">
        <f t="shared" si="36"/>
        <v>0</v>
      </c>
      <c r="AU71" s="167">
        <f t="shared" si="37"/>
        <v>0</v>
      </c>
    </row>
    <row r="72" spans="1:47" ht="30" customHeight="1" x14ac:dyDescent="0.25">
      <c r="A72" s="76"/>
      <c r="B72" s="158" t="s">
        <v>1209</v>
      </c>
      <c r="C72" s="411" t="s">
        <v>1193</v>
      </c>
      <c r="D72" s="412"/>
      <c r="E72" s="408"/>
      <c r="F72" s="409"/>
      <c r="G72" s="397"/>
      <c r="H72" s="394"/>
      <c r="I72" s="162" t="s">
        <v>532</v>
      </c>
      <c r="J72" s="163"/>
      <c r="K72" s="164"/>
      <c r="L72" s="164"/>
      <c r="M72" s="164"/>
      <c r="N72" s="164"/>
      <c r="O72" s="164"/>
      <c r="P72" s="164"/>
      <c r="Q72" s="164"/>
      <c r="R72" s="164"/>
      <c r="S72" s="164"/>
      <c r="T72" s="164"/>
      <c r="U72" s="164"/>
      <c r="V72" s="164"/>
      <c r="W72" s="164"/>
      <c r="X72" s="164"/>
      <c r="Y72" s="164"/>
      <c r="Z72" s="164"/>
      <c r="AA72" s="164">
        <v>20</v>
      </c>
      <c r="AB72" s="164"/>
      <c r="AC72" s="164"/>
      <c r="AD72" s="164">
        <v>165</v>
      </c>
      <c r="AE72" s="164"/>
      <c r="AF72" s="164"/>
      <c r="AG72" s="164"/>
      <c r="AH72" s="164"/>
      <c r="AI72" s="164"/>
      <c r="AJ72" s="164"/>
      <c r="AK72" s="164"/>
      <c r="AL72" s="164"/>
      <c r="AM72" s="164"/>
      <c r="AN72" s="165"/>
      <c r="AO72" s="166">
        <f t="shared" si="2"/>
        <v>185</v>
      </c>
      <c r="AP72" s="12"/>
      <c r="AQ72" s="167">
        <f t="shared" si="34"/>
        <v>0</v>
      </c>
      <c r="AR72" s="12"/>
      <c r="AS72" s="167">
        <f t="shared" si="35"/>
        <v>0</v>
      </c>
      <c r="AT72" s="168">
        <f t="shared" si="36"/>
        <v>0</v>
      </c>
      <c r="AU72" s="167">
        <f t="shared" si="37"/>
        <v>0</v>
      </c>
    </row>
    <row r="73" spans="1:47" ht="30" customHeight="1" x14ac:dyDescent="0.25">
      <c r="A73" s="76"/>
      <c r="B73" s="158" t="s">
        <v>1210</v>
      </c>
      <c r="C73" s="411" t="s">
        <v>1194</v>
      </c>
      <c r="D73" s="412"/>
      <c r="E73" s="408"/>
      <c r="F73" s="409"/>
      <c r="G73" s="397"/>
      <c r="H73" s="394"/>
      <c r="I73" s="162" t="s">
        <v>532</v>
      </c>
      <c r="J73" s="163"/>
      <c r="K73" s="164"/>
      <c r="L73" s="164"/>
      <c r="M73" s="164"/>
      <c r="N73" s="164"/>
      <c r="O73" s="164"/>
      <c r="P73" s="164"/>
      <c r="Q73" s="164"/>
      <c r="R73" s="164"/>
      <c r="S73" s="164"/>
      <c r="T73" s="164"/>
      <c r="U73" s="164">
        <v>55</v>
      </c>
      <c r="V73" s="164">
        <v>120</v>
      </c>
      <c r="W73" s="164">
        <v>0</v>
      </c>
      <c r="X73" s="164">
        <v>0</v>
      </c>
      <c r="Y73" s="164">
        <v>0</v>
      </c>
      <c r="Z73" s="164"/>
      <c r="AA73" s="164"/>
      <c r="AB73" s="164"/>
      <c r="AC73" s="164"/>
      <c r="AD73" s="164"/>
      <c r="AE73" s="164"/>
      <c r="AF73" s="164"/>
      <c r="AG73" s="164"/>
      <c r="AH73" s="164"/>
      <c r="AI73" s="164"/>
      <c r="AJ73" s="164"/>
      <c r="AK73" s="164"/>
      <c r="AL73" s="164"/>
      <c r="AM73" s="164"/>
      <c r="AN73" s="165"/>
      <c r="AO73" s="166">
        <f t="shared" si="2"/>
        <v>175</v>
      </c>
      <c r="AP73" s="12"/>
      <c r="AQ73" s="167">
        <f t="shared" si="34"/>
        <v>0</v>
      </c>
      <c r="AR73" s="12"/>
      <c r="AS73" s="167">
        <f t="shared" si="35"/>
        <v>0</v>
      </c>
      <c r="AT73" s="168">
        <f t="shared" si="36"/>
        <v>0</v>
      </c>
      <c r="AU73" s="167">
        <f t="shared" si="37"/>
        <v>0</v>
      </c>
    </row>
    <row r="74" spans="1:47" ht="30" customHeight="1" x14ac:dyDescent="0.25">
      <c r="A74" s="76"/>
      <c r="B74" s="158" t="s">
        <v>1211</v>
      </c>
      <c r="C74" s="411" t="s">
        <v>1195</v>
      </c>
      <c r="D74" s="412"/>
      <c r="E74" s="408"/>
      <c r="F74" s="409"/>
      <c r="G74" s="397"/>
      <c r="H74" s="394"/>
      <c r="I74" s="162" t="s">
        <v>532</v>
      </c>
      <c r="J74" s="163"/>
      <c r="K74" s="164"/>
      <c r="L74" s="164"/>
      <c r="M74" s="164"/>
      <c r="N74" s="164"/>
      <c r="O74" s="164"/>
      <c r="P74" s="164"/>
      <c r="Q74" s="164"/>
      <c r="R74" s="164"/>
      <c r="S74" s="164"/>
      <c r="T74" s="164"/>
      <c r="U74" s="164"/>
      <c r="V74" s="164"/>
      <c r="W74" s="164">
        <v>0</v>
      </c>
      <c r="X74" s="164">
        <v>0</v>
      </c>
      <c r="Y74" s="164"/>
      <c r="Z74" s="164"/>
      <c r="AA74" s="164"/>
      <c r="AB74" s="164"/>
      <c r="AC74" s="164"/>
      <c r="AD74" s="164"/>
      <c r="AE74" s="164"/>
      <c r="AF74" s="164"/>
      <c r="AG74" s="164"/>
      <c r="AH74" s="164"/>
      <c r="AI74" s="164"/>
      <c r="AJ74" s="164"/>
      <c r="AK74" s="164"/>
      <c r="AL74" s="164"/>
      <c r="AM74" s="164"/>
      <c r="AN74" s="165"/>
      <c r="AO74" s="166">
        <f t="shared" si="2"/>
        <v>0</v>
      </c>
      <c r="AP74" s="12"/>
      <c r="AQ74" s="167">
        <f t="shared" si="34"/>
        <v>0</v>
      </c>
      <c r="AR74" s="12"/>
      <c r="AS74" s="167">
        <f t="shared" si="35"/>
        <v>0</v>
      </c>
      <c r="AT74" s="168">
        <f t="shared" si="36"/>
        <v>0</v>
      </c>
      <c r="AU74" s="167">
        <f t="shared" si="37"/>
        <v>0</v>
      </c>
    </row>
    <row r="75" spans="1:47" ht="30" customHeight="1" x14ac:dyDescent="0.25">
      <c r="A75" s="76"/>
      <c r="B75" s="158" t="s">
        <v>1212</v>
      </c>
      <c r="C75" s="411" t="s">
        <v>1196</v>
      </c>
      <c r="D75" s="412"/>
      <c r="E75" s="408"/>
      <c r="F75" s="409"/>
      <c r="G75" s="397"/>
      <c r="H75" s="394"/>
      <c r="I75" s="162" t="s">
        <v>532</v>
      </c>
      <c r="J75" s="163"/>
      <c r="K75" s="164"/>
      <c r="L75" s="164"/>
      <c r="M75" s="164"/>
      <c r="N75" s="164"/>
      <c r="O75" s="164"/>
      <c r="P75" s="164"/>
      <c r="Q75" s="164"/>
      <c r="R75" s="164"/>
      <c r="S75" s="164"/>
      <c r="T75" s="164"/>
      <c r="U75" s="164"/>
      <c r="V75" s="164"/>
      <c r="W75" s="164"/>
      <c r="X75" s="164"/>
      <c r="Y75" s="164"/>
      <c r="Z75" s="164"/>
      <c r="AA75" s="164"/>
      <c r="AB75" s="164"/>
      <c r="AC75" s="164"/>
      <c r="AD75" s="164"/>
      <c r="AE75" s="164"/>
      <c r="AF75" s="164"/>
      <c r="AG75" s="164"/>
      <c r="AH75" s="164"/>
      <c r="AI75" s="164"/>
      <c r="AJ75" s="164"/>
      <c r="AK75" s="164"/>
      <c r="AL75" s="164"/>
      <c r="AM75" s="164"/>
      <c r="AN75" s="165"/>
      <c r="AO75" s="166">
        <f t="shared" ref="AO75:AO138" si="38">SUM(J75:AN75)</f>
        <v>0</v>
      </c>
      <c r="AP75" s="12"/>
      <c r="AQ75" s="167">
        <f t="shared" si="34"/>
        <v>0</v>
      </c>
      <c r="AR75" s="12"/>
      <c r="AS75" s="167">
        <f t="shared" si="35"/>
        <v>0</v>
      </c>
      <c r="AT75" s="168">
        <f t="shared" si="36"/>
        <v>0</v>
      </c>
      <c r="AU75" s="167">
        <f t="shared" si="37"/>
        <v>0</v>
      </c>
    </row>
    <row r="76" spans="1:47" ht="30" customHeight="1" x14ac:dyDescent="0.25">
      <c r="A76" s="76"/>
      <c r="B76" s="169" t="s">
        <v>1213</v>
      </c>
      <c r="C76" s="404" t="s">
        <v>1197</v>
      </c>
      <c r="D76" s="405"/>
      <c r="E76" s="400"/>
      <c r="F76" s="402"/>
      <c r="G76" s="398"/>
      <c r="H76" s="395"/>
      <c r="I76" s="173" t="s">
        <v>532</v>
      </c>
      <c r="J76" s="174"/>
      <c r="K76" s="175"/>
      <c r="L76" s="175"/>
      <c r="M76" s="175"/>
      <c r="N76" s="175"/>
      <c r="O76" s="175"/>
      <c r="P76" s="175"/>
      <c r="Q76" s="175"/>
      <c r="R76" s="175"/>
      <c r="S76" s="175"/>
      <c r="T76" s="175"/>
      <c r="U76" s="175"/>
      <c r="V76" s="175"/>
      <c r="W76" s="175"/>
      <c r="X76" s="175"/>
      <c r="Y76" s="175"/>
      <c r="Z76" s="175"/>
      <c r="AA76" s="175"/>
      <c r="AB76" s="175"/>
      <c r="AC76" s="175"/>
      <c r="AD76" s="175"/>
      <c r="AE76" s="175"/>
      <c r="AF76" s="175"/>
      <c r="AG76" s="175"/>
      <c r="AH76" s="175"/>
      <c r="AI76" s="175"/>
      <c r="AJ76" s="175"/>
      <c r="AK76" s="175"/>
      <c r="AL76" s="175"/>
      <c r="AM76" s="175"/>
      <c r="AN76" s="176"/>
      <c r="AO76" s="177">
        <f t="shared" si="38"/>
        <v>0</v>
      </c>
      <c r="AP76" s="14"/>
      <c r="AQ76" s="178">
        <f t="shared" si="34"/>
        <v>0</v>
      </c>
      <c r="AR76" s="14"/>
      <c r="AS76" s="178">
        <f t="shared" si="35"/>
        <v>0</v>
      </c>
      <c r="AT76" s="179">
        <f t="shared" si="36"/>
        <v>0</v>
      </c>
      <c r="AU76" s="178">
        <f t="shared" si="37"/>
        <v>0</v>
      </c>
    </row>
    <row r="77" spans="1:47" ht="30" customHeight="1" x14ac:dyDescent="0.25">
      <c r="A77" s="76"/>
      <c r="B77" s="148" t="s">
        <v>156</v>
      </c>
      <c r="C77" s="406" t="s">
        <v>1215</v>
      </c>
      <c r="D77" s="407"/>
      <c r="E77" s="399" t="s">
        <v>1220</v>
      </c>
      <c r="F77" s="401" t="s">
        <v>1214</v>
      </c>
      <c r="G77" s="424" t="s">
        <v>1079</v>
      </c>
      <c r="H77" s="403" t="s">
        <v>1079</v>
      </c>
      <c r="I77" s="151" t="s">
        <v>532</v>
      </c>
      <c r="J77" s="152"/>
      <c r="K77" s="153"/>
      <c r="L77" s="153"/>
      <c r="M77" s="153"/>
      <c r="N77" s="153"/>
      <c r="O77" s="153"/>
      <c r="P77" s="153"/>
      <c r="Q77" s="153"/>
      <c r="R77" s="153"/>
      <c r="S77" s="153"/>
      <c r="T77" s="153"/>
      <c r="U77" s="153"/>
      <c r="V77" s="153"/>
      <c r="W77" s="153"/>
      <c r="X77" s="153"/>
      <c r="Y77" s="153"/>
      <c r="Z77" s="153"/>
      <c r="AA77" s="153"/>
      <c r="AB77" s="153"/>
      <c r="AC77" s="153"/>
      <c r="AD77" s="153"/>
      <c r="AE77" s="153"/>
      <c r="AF77" s="153"/>
      <c r="AG77" s="153"/>
      <c r="AH77" s="153"/>
      <c r="AI77" s="153"/>
      <c r="AJ77" s="153"/>
      <c r="AK77" s="153"/>
      <c r="AL77" s="153"/>
      <c r="AM77" s="153"/>
      <c r="AN77" s="154"/>
      <c r="AO77" s="155">
        <f t="shared" si="38"/>
        <v>0</v>
      </c>
      <c r="AP77" s="13"/>
      <c r="AQ77" s="156">
        <f t="shared" si="34"/>
        <v>0</v>
      </c>
      <c r="AR77" s="13"/>
      <c r="AS77" s="156">
        <f t="shared" si="35"/>
        <v>0</v>
      </c>
      <c r="AT77" s="157">
        <f t="shared" si="36"/>
        <v>0</v>
      </c>
      <c r="AU77" s="156">
        <f t="shared" si="37"/>
        <v>0</v>
      </c>
    </row>
    <row r="78" spans="1:47" ht="30" customHeight="1" x14ac:dyDescent="0.25">
      <c r="A78" s="76"/>
      <c r="B78" s="158" t="s">
        <v>157</v>
      </c>
      <c r="C78" s="411" t="s">
        <v>1216</v>
      </c>
      <c r="D78" s="412"/>
      <c r="E78" s="408"/>
      <c r="F78" s="409"/>
      <c r="G78" s="397"/>
      <c r="H78" s="394"/>
      <c r="I78" s="162" t="s">
        <v>532</v>
      </c>
      <c r="J78" s="163"/>
      <c r="K78" s="164"/>
      <c r="L78" s="164">
        <v>120</v>
      </c>
      <c r="M78" s="164"/>
      <c r="N78" s="164"/>
      <c r="O78" s="164"/>
      <c r="P78" s="164"/>
      <c r="Q78" s="164"/>
      <c r="R78" s="164"/>
      <c r="S78" s="164"/>
      <c r="T78" s="164"/>
      <c r="U78" s="164"/>
      <c r="V78" s="164"/>
      <c r="W78" s="164"/>
      <c r="X78" s="164"/>
      <c r="Y78" s="164"/>
      <c r="Z78" s="164"/>
      <c r="AA78" s="164"/>
      <c r="AB78" s="164"/>
      <c r="AC78" s="164"/>
      <c r="AD78" s="164"/>
      <c r="AE78" s="164"/>
      <c r="AF78" s="164"/>
      <c r="AG78" s="164"/>
      <c r="AH78" s="164"/>
      <c r="AI78" s="164"/>
      <c r="AJ78" s="164"/>
      <c r="AK78" s="164"/>
      <c r="AL78" s="164"/>
      <c r="AM78" s="164"/>
      <c r="AN78" s="165"/>
      <c r="AO78" s="166">
        <f t="shared" si="38"/>
        <v>120</v>
      </c>
      <c r="AP78" s="12"/>
      <c r="AQ78" s="167">
        <f t="shared" ref="AQ78:AQ82" si="39">+AP78*AO78</f>
        <v>0</v>
      </c>
      <c r="AR78" s="12"/>
      <c r="AS78" s="167">
        <f t="shared" ref="AS78:AS82" si="40">+AR78*AO78</f>
        <v>0</v>
      </c>
      <c r="AT78" s="168">
        <f t="shared" ref="AT78:AT82" si="41">+AR78+AP78</f>
        <v>0</v>
      </c>
      <c r="AU78" s="167">
        <f t="shared" ref="AU78:AU82" si="42">+AT78*AO78</f>
        <v>0</v>
      </c>
    </row>
    <row r="79" spans="1:47" ht="30" customHeight="1" x14ac:dyDescent="0.25">
      <c r="A79" s="76"/>
      <c r="B79" s="158" t="s">
        <v>158</v>
      </c>
      <c r="C79" s="411" t="s">
        <v>1217</v>
      </c>
      <c r="D79" s="412"/>
      <c r="E79" s="408"/>
      <c r="F79" s="409"/>
      <c r="G79" s="397"/>
      <c r="H79" s="394"/>
      <c r="I79" s="162" t="s">
        <v>532</v>
      </c>
      <c r="J79" s="163"/>
      <c r="K79" s="164"/>
      <c r="L79" s="164"/>
      <c r="M79" s="164"/>
      <c r="N79" s="164"/>
      <c r="O79" s="164"/>
      <c r="P79" s="164"/>
      <c r="Q79" s="164"/>
      <c r="R79" s="164"/>
      <c r="S79" s="164"/>
      <c r="T79" s="164"/>
      <c r="U79" s="164"/>
      <c r="V79" s="164"/>
      <c r="W79" s="164"/>
      <c r="X79" s="164"/>
      <c r="Y79" s="164"/>
      <c r="Z79" s="164"/>
      <c r="AA79" s="164"/>
      <c r="AB79" s="164"/>
      <c r="AC79" s="164"/>
      <c r="AD79" s="164"/>
      <c r="AE79" s="164"/>
      <c r="AF79" s="164"/>
      <c r="AG79" s="164"/>
      <c r="AH79" s="164"/>
      <c r="AI79" s="164"/>
      <c r="AJ79" s="164"/>
      <c r="AK79" s="164"/>
      <c r="AL79" s="164"/>
      <c r="AM79" s="164"/>
      <c r="AN79" s="165"/>
      <c r="AO79" s="166">
        <f t="shared" si="38"/>
        <v>0</v>
      </c>
      <c r="AP79" s="12"/>
      <c r="AQ79" s="167">
        <f t="shared" si="39"/>
        <v>0</v>
      </c>
      <c r="AR79" s="12"/>
      <c r="AS79" s="167">
        <f t="shared" si="40"/>
        <v>0</v>
      </c>
      <c r="AT79" s="168">
        <f t="shared" si="41"/>
        <v>0</v>
      </c>
      <c r="AU79" s="167">
        <f t="shared" si="42"/>
        <v>0</v>
      </c>
    </row>
    <row r="80" spans="1:47" ht="30" customHeight="1" x14ac:dyDescent="0.25">
      <c r="A80" s="76"/>
      <c r="B80" s="158" t="s">
        <v>159</v>
      </c>
      <c r="C80" s="411" t="s">
        <v>1218</v>
      </c>
      <c r="D80" s="412"/>
      <c r="E80" s="408"/>
      <c r="F80" s="409"/>
      <c r="G80" s="397"/>
      <c r="H80" s="394"/>
      <c r="I80" s="162" t="s">
        <v>532</v>
      </c>
      <c r="J80" s="163"/>
      <c r="K80" s="164"/>
      <c r="L80" s="164"/>
      <c r="M80" s="164"/>
      <c r="N80" s="164"/>
      <c r="O80" s="164"/>
      <c r="P80" s="164"/>
      <c r="Q80" s="164"/>
      <c r="R80" s="164"/>
      <c r="S80" s="164"/>
      <c r="T80" s="164"/>
      <c r="U80" s="164"/>
      <c r="V80" s="164"/>
      <c r="W80" s="164"/>
      <c r="X80" s="164"/>
      <c r="Y80" s="164"/>
      <c r="Z80" s="164"/>
      <c r="AA80" s="164"/>
      <c r="AB80" s="164"/>
      <c r="AC80" s="164"/>
      <c r="AD80" s="164"/>
      <c r="AE80" s="164"/>
      <c r="AF80" s="164"/>
      <c r="AG80" s="164"/>
      <c r="AH80" s="164"/>
      <c r="AI80" s="164"/>
      <c r="AJ80" s="164"/>
      <c r="AK80" s="164"/>
      <c r="AL80" s="164"/>
      <c r="AM80" s="164"/>
      <c r="AN80" s="165"/>
      <c r="AO80" s="166">
        <f t="shared" si="38"/>
        <v>0</v>
      </c>
      <c r="AP80" s="12"/>
      <c r="AQ80" s="167">
        <f t="shared" si="39"/>
        <v>0</v>
      </c>
      <c r="AR80" s="12"/>
      <c r="AS80" s="167">
        <f t="shared" si="40"/>
        <v>0</v>
      </c>
      <c r="AT80" s="168">
        <f t="shared" si="41"/>
        <v>0</v>
      </c>
      <c r="AU80" s="167">
        <f t="shared" si="42"/>
        <v>0</v>
      </c>
    </row>
    <row r="81" spans="1:47" ht="30" customHeight="1" x14ac:dyDescent="0.25">
      <c r="A81" s="76"/>
      <c r="B81" s="169" t="s">
        <v>160</v>
      </c>
      <c r="C81" s="404" t="s">
        <v>1219</v>
      </c>
      <c r="D81" s="405"/>
      <c r="E81" s="400"/>
      <c r="F81" s="402"/>
      <c r="G81" s="398"/>
      <c r="H81" s="395"/>
      <c r="I81" s="173" t="s">
        <v>532</v>
      </c>
      <c r="J81" s="174"/>
      <c r="K81" s="175"/>
      <c r="L81" s="175"/>
      <c r="M81" s="175"/>
      <c r="N81" s="175"/>
      <c r="O81" s="175"/>
      <c r="P81" s="175"/>
      <c r="Q81" s="175"/>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6"/>
      <c r="AO81" s="177">
        <f t="shared" si="38"/>
        <v>0</v>
      </c>
      <c r="AP81" s="14"/>
      <c r="AQ81" s="178">
        <f t="shared" si="39"/>
        <v>0</v>
      </c>
      <c r="AR81" s="14"/>
      <c r="AS81" s="178">
        <f t="shared" si="40"/>
        <v>0</v>
      </c>
      <c r="AT81" s="179">
        <f t="shared" si="41"/>
        <v>0</v>
      </c>
      <c r="AU81" s="178">
        <f t="shared" si="42"/>
        <v>0</v>
      </c>
    </row>
    <row r="82" spans="1:47" ht="30" customHeight="1" x14ac:dyDescent="0.25">
      <c r="A82" s="76"/>
      <c r="B82" s="148" t="s">
        <v>170</v>
      </c>
      <c r="C82" s="406" t="s">
        <v>1221</v>
      </c>
      <c r="D82" s="407"/>
      <c r="E82" s="399" t="s">
        <v>1225</v>
      </c>
      <c r="F82" s="401" t="s">
        <v>1214</v>
      </c>
      <c r="G82" s="424" t="s">
        <v>1079</v>
      </c>
      <c r="H82" s="403" t="s">
        <v>1079</v>
      </c>
      <c r="I82" s="151" t="s">
        <v>532</v>
      </c>
      <c r="J82" s="152"/>
      <c r="K82" s="153"/>
      <c r="L82" s="153"/>
      <c r="M82" s="153"/>
      <c r="N82" s="153"/>
      <c r="O82" s="153"/>
      <c r="P82" s="153"/>
      <c r="Q82" s="153"/>
      <c r="R82" s="153"/>
      <c r="S82" s="153"/>
      <c r="T82" s="153"/>
      <c r="U82" s="153"/>
      <c r="V82" s="153"/>
      <c r="W82" s="153"/>
      <c r="X82" s="153"/>
      <c r="Y82" s="153"/>
      <c r="Z82" s="153"/>
      <c r="AA82" s="153"/>
      <c r="AB82" s="153"/>
      <c r="AC82" s="153"/>
      <c r="AD82" s="153"/>
      <c r="AE82" s="153"/>
      <c r="AF82" s="153"/>
      <c r="AG82" s="153"/>
      <c r="AH82" s="153"/>
      <c r="AI82" s="153"/>
      <c r="AJ82" s="153"/>
      <c r="AK82" s="153"/>
      <c r="AL82" s="153"/>
      <c r="AM82" s="153"/>
      <c r="AN82" s="154"/>
      <c r="AO82" s="155">
        <f t="shared" si="38"/>
        <v>0</v>
      </c>
      <c r="AP82" s="13"/>
      <c r="AQ82" s="156">
        <f t="shared" si="39"/>
        <v>0</v>
      </c>
      <c r="AR82" s="13"/>
      <c r="AS82" s="156">
        <f t="shared" si="40"/>
        <v>0</v>
      </c>
      <c r="AT82" s="157">
        <f t="shared" si="41"/>
        <v>0</v>
      </c>
      <c r="AU82" s="156">
        <f t="shared" si="42"/>
        <v>0</v>
      </c>
    </row>
    <row r="83" spans="1:47" ht="30" customHeight="1" x14ac:dyDescent="0.25">
      <c r="A83" s="76"/>
      <c r="B83" s="158" t="s">
        <v>171</v>
      </c>
      <c r="C83" s="411" t="s">
        <v>1222</v>
      </c>
      <c r="D83" s="412"/>
      <c r="E83" s="408"/>
      <c r="F83" s="409"/>
      <c r="G83" s="397"/>
      <c r="H83" s="394"/>
      <c r="I83" s="162" t="s">
        <v>532</v>
      </c>
      <c r="J83" s="163"/>
      <c r="K83" s="164"/>
      <c r="L83" s="164"/>
      <c r="M83" s="164"/>
      <c r="N83" s="164"/>
      <c r="O83" s="164"/>
      <c r="P83" s="164"/>
      <c r="Q83" s="164"/>
      <c r="R83" s="164"/>
      <c r="S83" s="164"/>
      <c r="T83" s="164"/>
      <c r="U83" s="164"/>
      <c r="V83" s="164"/>
      <c r="W83" s="164"/>
      <c r="X83" s="164"/>
      <c r="Y83" s="164"/>
      <c r="Z83" s="164"/>
      <c r="AA83" s="164"/>
      <c r="AB83" s="164"/>
      <c r="AC83" s="164"/>
      <c r="AD83" s="164"/>
      <c r="AE83" s="164"/>
      <c r="AF83" s="164"/>
      <c r="AG83" s="164"/>
      <c r="AH83" s="164"/>
      <c r="AI83" s="164"/>
      <c r="AJ83" s="164"/>
      <c r="AK83" s="164"/>
      <c r="AL83" s="164"/>
      <c r="AM83" s="164"/>
      <c r="AN83" s="165"/>
      <c r="AO83" s="166">
        <f t="shared" si="38"/>
        <v>0</v>
      </c>
      <c r="AP83" s="12"/>
      <c r="AQ83" s="167">
        <f t="shared" ref="AQ83:AQ86" si="43">+AP83*AO83</f>
        <v>0</v>
      </c>
      <c r="AR83" s="12"/>
      <c r="AS83" s="167">
        <f t="shared" ref="AS83:AS86" si="44">+AR83*AO83</f>
        <v>0</v>
      </c>
      <c r="AT83" s="168">
        <f t="shared" ref="AT83:AT86" si="45">+AR83+AP83</f>
        <v>0</v>
      </c>
      <c r="AU83" s="167">
        <f t="shared" ref="AU83:AU86" si="46">+AT83*AO83</f>
        <v>0</v>
      </c>
    </row>
    <row r="84" spans="1:47" ht="30" customHeight="1" x14ac:dyDescent="0.25">
      <c r="A84" s="76"/>
      <c r="B84" s="158" t="s">
        <v>172</v>
      </c>
      <c r="C84" s="411" t="s">
        <v>1223</v>
      </c>
      <c r="D84" s="412"/>
      <c r="E84" s="408"/>
      <c r="F84" s="409"/>
      <c r="G84" s="397"/>
      <c r="H84" s="394"/>
      <c r="I84" s="162" t="s">
        <v>532</v>
      </c>
      <c r="J84" s="163"/>
      <c r="K84" s="164"/>
      <c r="L84" s="164"/>
      <c r="M84" s="164"/>
      <c r="N84" s="164"/>
      <c r="O84" s="164"/>
      <c r="P84" s="164"/>
      <c r="Q84" s="164"/>
      <c r="R84" s="164"/>
      <c r="S84" s="164"/>
      <c r="T84" s="164"/>
      <c r="U84" s="164"/>
      <c r="V84" s="164"/>
      <c r="W84" s="164"/>
      <c r="X84" s="164"/>
      <c r="Y84" s="164"/>
      <c r="Z84" s="164"/>
      <c r="AA84" s="164"/>
      <c r="AB84" s="164"/>
      <c r="AC84" s="164"/>
      <c r="AD84" s="164"/>
      <c r="AE84" s="164"/>
      <c r="AF84" s="164"/>
      <c r="AG84" s="164"/>
      <c r="AH84" s="164"/>
      <c r="AI84" s="164"/>
      <c r="AJ84" s="164"/>
      <c r="AK84" s="164"/>
      <c r="AL84" s="164"/>
      <c r="AM84" s="164"/>
      <c r="AN84" s="165"/>
      <c r="AO84" s="166">
        <f t="shared" si="38"/>
        <v>0</v>
      </c>
      <c r="AP84" s="12"/>
      <c r="AQ84" s="167">
        <f t="shared" si="43"/>
        <v>0</v>
      </c>
      <c r="AR84" s="12"/>
      <c r="AS84" s="167">
        <f t="shared" si="44"/>
        <v>0</v>
      </c>
      <c r="AT84" s="168">
        <f t="shared" si="45"/>
        <v>0</v>
      </c>
      <c r="AU84" s="167">
        <f t="shared" si="46"/>
        <v>0</v>
      </c>
    </row>
    <row r="85" spans="1:47" ht="30" customHeight="1" x14ac:dyDescent="0.25">
      <c r="A85" s="76"/>
      <c r="B85" s="169" t="s">
        <v>173</v>
      </c>
      <c r="C85" s="404" t="s">
        <v>1224</v>
      </c>
      <c r="D85" s="405"/>
      <c r="E85" s="400"/>
      <c r="F85" s="402"/>
      <c r="G85" s="398"/>
      <c r="H85" s="395"/>
      <c r="I85" s="173" t="s">
        <v>532</v>
      </c>
      <c r="J85" s="174"/>
      <c r="K85" s="175"/>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6"/>
      <c r="AO85" s="177">
        <f t="shared" si="38"/>
        <v>0</v>
      </c>
      <c r="AP85" s="14"/>
      <c r="AQ85" s="178">
        <f t="shared" si="43"/>
        <v>0</v>
      </c>
      <c r="AR85" s="14"/>
      <c r="AS85" s="178">
        <f t="shared" si="44"/>
        <v>0</v>
      </c>
      <c r="AT85" s="179">
        <f t="shared" si="45"/>
        <v>0</v>
      </c>
      <c r="AU85" s="178">
        <f t="shared" si="46"/>
        <v>0</v>
      </c>
    </row>
    <row r="86" spans="1:47" ht="30" customHeight="1" x14ac:dyDescent="0.25">
      <c r="A86" s="76"/>
      <c r="B86" s="148" t="s">
        <v>196</v>
      </c>
      <c r="C86" s="406" t="s">
        <v>1226</v>
      </c>
      <c r="D86" s="407"/>
      <c r="E86" s="399" t="s">
        <v>1259</v>
      </c>
      <c r="F86" s="401" t="s">
        <v>1214</v>
      </c>
      <c r="G86" s="424" t="s">
        <v>1079</v>
      </c>
      <c r="H86" s="403" t="s">
        <v>1079</v>
      </c>
      <c r="I86" s="151" t="s">
        <v>532</v>
      </c>
      <c r="J86" s="152"/>
      <c r="K86" s="153"/>
      <c r="L86" s="153"/>
      <c r="M86" s="153"/>
      <c r="N86" s="153"/>
      <c r="O86" s="153"/>
      <c r="P86" s="153"/>
      <c r="Q86" s="153"/>
      <c r="R86" s="153"/>
      <c r="S86" s="153"/>
      <c r="T86" s="153"/>
      <c r="U86" s="153"/>
      <c r="V86" s="153"/>
      <c r="W86" s="153"/>
      <c r="X86" s="153"/>
      <c r="Y86" s="153"/>
      <c r="Z86" s="153"/>
      <c r="AA86" s="153"/>
      <c r="AB86" s="153"/>
      <c r="AC86" s="153"/>
      <c r="AD86" s="153"/>
      <c r="AE86" s="153"/>
      <c r="AF86" s="153"/>
      <c r="AG86" s="153"/>
      <c r="AH86" s="153"/>
      <c r="AI86" s="153"/>
      <c r="AJ86" s="153"/>
      <c r="AK86" s="153"/>
      <c r="AL86" s="153"/>
      <c r="AM86" s="153"/>
      <c r="AN86" s="154"/>
      <c r="AO86" s="155">
        <f t="shared" si="38"/>
        <v>0</v>
      </c>
      <c r="AP86" s="13"/>
      <c r="AQ86" s="156">
        <f t="shared" si="43"/>
        <v>0</v>
      </c>
      <c r="AR86" s="13"/>
      <c r="AS86" s="156">
        <f t="shared" si="44"/>
        <v>0</v>
      </c>
      <c r="AT86" s="157">
        <f t="shared" si="45"/>
        <v>0</v>
      </c>
      <c r="AU86" s="156">
        <f t="shared" si="46"/>
        <v>0</v>
      </c>
    </row>
    <row r="87" spans="1:47" ht="30" customHeight="1" x14ac:dyDescent="0.25">
      <c r="A87" s="76"/>
      <c r="B87" s="158" t="s">
        <v>197</v>
      </c>
      <c r="C87" s="411" t="s">
        <v>1227</v>
      </c>
      <c r="D87" s="412"/>
      <c r="E87" s="408"/>
      <c r="F87" s="409"/>
      <c r="G87" s="397"/>
      <c r="H87" s="394"/>
      <c r="I87" s="162" t="s">
        <v>532</v>
      </c>
      <c r="J87" s="163"/>
      <c r="K87" s="164"/>
      <c r="L87" s="164"/>
      <c r="M87" s="164"/>
      <c r="N87" s="164"/>
      <c r="O87" s="164"/>
      <c r="P87" s="164"/>
      <c r="Q87" s="164"/>
      <c r="R87" s="164"/>
      <c r="S87" s="164"/>
      <c r="T87" s="164"/>
      <c r="U87" s="164"/>
      <c r="V87" s="164"/>
      <c r="W87" s="164"/>
      <c r="X87" s="164"/>
      <c r="Y87" s="164"/>
      <c r="Z87" s="164"/>
      <c r="AA87" s="164"/>
      <c r="AB87" s="164"/>
      <c r="AC87" s="164"/>
      <c r="AD87" s="164"/>
      <c r="AE87" s="164"/>
      <c r="AF87" s="164"/>
      <c r="AG87" s="164"/>
      <c r="AH87" s="164"/>
      <c r="AI87" s="164"/>
      <c r="AJ87" s="164"/>
      <c r="AK87" s="164"/>
      <c r="AL87" s="164"/>
      <c r="AM87" s="164"/>
      <c r="AN87" s="165"/>
      <c r="AO87" s="166">
        <f t="shared" si="38"/>
        <v>0</v>
      </c>
      <c r="AP87" s="12"/>
      <c r="AQ87" s="167">
        <f t="shared" ref="AQ87" si="47">+AP87*AO87</f>
        <v>0</v>
      </c>
      <c r="AR87" s="12"/>
      <c r="AS87" s="167">
        <f t="shared" ref="AS87" si="48">+AR87*AO87</f>
        <v>0</v>
      </c>
      <c r="AT87" s="168">
        <f t="shared" ref="AT87" si="49">+AR87+AP87</f>
        <v>0</v>
      </c>
      <c r="AU87" s="167">
        <f t="shared" ref="AU87" si="50">+AT87*AO87</f>
        <v>0</v>
      </c>
    </row>
    <row r="88" spans="1:47" ht="30" customHeight="1" x14ac:dyDescent="0.25">
      <c r="A88" s="76"/>
      <c r="B88" s="158" t="s">
        <v>198</v>
      </c>
      <c r="C88" s="411" t="s">
        <v>1228</v>
      </c>
      <c r="D88" s="412"/>
      <c r="E88" s="408"/>
      <c r="F88" s="409"/>
      <c r="G88" s="397"/>
      <c r="H88" s="394"/>
      <c r="I88" s="162" t="s">
        <v>532</v>
      </c>
      <c r="J88" s="163"/>
      <c r="K88" s="164"/>
      <c r="L88" s="164"/>
      <c r="M88" s="164"/>
      <c r="N88" s="164"/>
      <c r="O88" s="164"/>
      <c r="P88" s="164"/>
      <c r="Q88" s="164"/>
      <c r="R88" s="164"/>
      <c r="S88" s="164"/>
      <c r="T88" s="164"/>
      <c r="U88" s="164"/>
      <c r="V88" s="164"/>
      <c r="W88" s="164"/>
      <c r="X88" s="164"/>
      <c r="Y88" s="164"/>
      <c r="Z88" s="164"/>
      <c r="AA88" s="164"/>
      <c r="AB88" s="164"/>
      <c r="AC88" s="164"/>
      <c r="AD88" s="164"/>
      <c r="AE88" s="164"/>
      <c r="AF88" s="164"/>
      <c r="AG88" s="164"/>
      <c r="AH88" s="164"/>
      <c r="AI88" s="164"/>
      <c r="AJ88" s="164"/>
      <c r="AK88" s="164"/>
      <c r="AL88" s="164"/>
      <c r="AM88" s="164"/>
      <c r="AN88" s="165"/>
      <c r="AO88" s="166">
        <f t="shared" si="38"/>
        <v>0</v>
      </c>
      <c r="AP88" s="12"/>
      <c r="AQ88" s="167">
        <f t="shared" ref="AQ88:AQ138" si="51">+AP88*AO88</f>
        <v>0</v>
      </c>
      <c r="AR88" s="12"/>
      <c r="AS88" s="167">
        <f t="shared" ref="AS88:AS138" si="52">+AR88*AO88</f>
        <v>0</v>
      </c>
      <c r="AT88" s="168">
        <f t="shared" ref="AT88:AT138" si="53">+AR88+AP88</f>
        <v>0</v>
      </c>
      <c r="AU88" s="167">
        <f t="shared" ref="AU88:AU138" si="54">+AT88*AO88</f>
        <v>0</v>
      </c>
    </row>
    <row r="89" spans="1:47" ht="30" customHeight="1" x14ac:dyDescent="0.25">
      <c r="A89" s="76"/>
      <c r="B89" s="158" t="s">
        <v>2396</v>
      </c>
      <c r="C89" s="411" t="s">
        <v>1229</v>
      </c>
      <c r="D89" s="412"/>
      <c r="E89" s="408"/>
      <c r="F89" s="409"/>
      <c r="G89" s="397"/>
      <c r="H89" s="394"/>
      <c r="I89" s="162" t="s">
        <v>532</v>
      </c>
      <c r="J89" s="163"/>
      <c r="K89" s="164"/>
      <c r="L89" s="164"/>
      <c r="M89" s="164"/>
      <c r="N89" s="164"/>
      <c r="O89" s="164"/>
      <c r="P89" s="164"/>
      <c r="Q89" s="164"/>
      <c r="R89" s="164"/>
      <c r="S89" s="164"/>
      <c r="T89" s="164"/>
      <c r="U89" s="164"/>
      <c r="V89" s="164"/>
      <c r="W89" s="164"/>
      <c r="X89" s="164"/>
      <c r="Y89" s="164"/>
      <c r="Z89" s="164"/>
      <c r="AA89" s="164"/>
      <c r="AB89" s="164"/>
      <c r="AC89" s="164"/>
      <c r="AD89" s="164"/>
      <c r="AE89" s="164"/>
      <c r="AF89" s="164"/>
      <c r="AG89" s="164"/>
      <c r="AH89" s="164"/>
      <c r="AI89" s="164"/>
      <c r="AJ89" s="164"/>
      <c r="AK89" s="164"/>
      <c r="AL89" s="164"/>
      <c r="AM89" s="164"/>
      <c r="AN89" s="165"/>
      <c r="AO89" s="166">
        <f t="shared" si="38"/>
        <v>0</v>
      </c>
      <c r="AP89" s="12"/>
      <c r="AQ89" s="167">
        <f t="shared" si="51"/>
        <v>0</v>
      </c>
      <c r="AR89" s="12"/>
      <c r="AS89" s="167">
        <f t="shared" si="52"/>
        <v>0</v>
      </c>
      <c r="AT89" s="168">
        <f t="shared" si="53"/>
        <v>0</v>
      </c>
      <c r="AU89" s="167">
        <f t="shared" si="54"/>
        <v>0</v>
      </c>
    </row>
    <row r="90" spans="1:47" ht="30" customHeight="1" x14ac:dyDescent="0.25">
      <c r="A90" s="76"/>
      <c r="B90" s="158" t="s">
        <v>2397</v>
      </c>
      <c r="C90" s="411" t="s">
        <v>1230</v>
      </c>
      <c r="D90" s="412"/>
      <c r="E90" s="408"/>
      <c r="F90" s="409"/>
      <c r="G90" s="397"/>
      <c r="H90" s="394"/>
      <c r="I90" s="162" t="s">
        <v>532</v>
      </c>
      <c r="J90" s="163"/>
      <c r="K90" s="164"/>
      <c r="L90" s="164"/>
      <c r="M90" s="164"/>
      <c r="N90" s="164"/>
      <c r="O90" s="164"/>
      <c r="P90" s="164"/>
      <c r="Q90" s="164"/>
      <c r="R90" s="164"/>
      <c r="S90" s="164"/>
      <c r="T90" s="164"/>
      <c r="U90" s="164"/>
      <c r="V90" s="164"/>
      <c r="W90" s="164"/>
      <c r="X90" s="164"/>
      <c r="Y90" s="164"/>
      <c r="Z90" s="164"/>
      <c r="AA90" s="164"/>
      <c r="AB90" s="164"/>
      <c r="AC90" s="164"/>
      <c r="AD90" s="164"/>
      <c r="AE90" s="164"/>
      <c r="AF90" s="164"/>
      <c r="AG90" s="164"/>
      <c r="AH90" s="164"/>
      <c r="AI90" s="164"/>
      <c r="AJ90" s="164"/>
      <c r="AK90" s="164"/>
      <c r="AL90" s="164"/>
      <c r="AM90" s="164"/>
      <c r="AN90" s="165"/>
      <c r="AO90" s="166">
        <f t="shared" si="38"/>
        <v>0</v>
      </c>
      <c r="AP90" s="12"/>
      <c r="AQ90" s="167">
        <f t="shared" si="51"/>
        <v>0</v>
      </c>
      <c r="AR90" s="12"/>
      <c r="AS90" s="167">
        <f t="shared" si="52"/>
        <v>0</v>
      </c>
      <c r="AT90" s="168">
        <f t="shared" si="53"/>
        <v>0</v>
      </c>
      <c r="AU90" s="167">
        <f t="shared" si="54"/>
        <v>0</v>
      </c>
    </row>
    <row r="91" spans="1:47" ht="30" customHeight="1" x14ac:dyDescent="0.25">
      <c r="A91" s="76"/>
      <c r="B91" s="158" t="s">
        <v>2398</v>
      </c>
      <c r="C91" s="411" t="s">
        <v>1231</v>
      </c>
      <c r="D91" s="412"/>
      <c r="E91" s="408"/>
      <c r="F91" s="409"/>
      <c r="G91" s="397"/>
      <c r="H91" s="394"/>
      <c r="I91" s="162" t="s">
        <v>532</v>
      </c>
      <c r="J91" s="163"/>
      <c r="K91" s="164"/>
      <c r="L91" s="164"/>
      <c r="M91" s="164"/>
      <c r="N91" s="164"/>
      <c r="O91" s="164"/>
      <c r="P91" s="164"/>
      <c r="Q91" s="164"/>
      <c r="R91" s="164"/>
      <c r="S91" s="164"/>
      <c r="T91" s="164"/>
      <c r="U91" s="164"/>
      <c r="V91" s="164"/>
      <c r="W91" s="164"/>
      <c r="X91" s="164"/>
      <c r="Y91" s="164"/>
      <c r="Z91" s="164"/>
      <c r="AA91" s="164"/>
      <c r="AB91" s="164"/>
      <c r="AC91" s="164"/>
      <c r="AD91" s="164"/>
      <c r="AE91" s="164"/>
      <c r="AF91" s="164"/>
      <c r="AG91" s="164"/>
      <c r="AH91" s="164"/>
      <c r="AI91" s="164"/>
      <c r="AJ91" s="164"/>
      <c r="AK91" s="164"/>
      <c r="AL91" s="164"/>
      <c r="AM91" s="164"/>
      <c r="AN91" s="165"/>
      <c r="AO91" s="166">
        <f t="shared" si="38"/>
        <v>0</v>
      </c>
      <c r="AP91" s="12"/>
      <c r="AQ91" s="167">
        <f t="shared" si="51"/>
        <v>0</v>
      </c>
      <c r="AR91" s="12"/>
      <c r="AS91" s="167">
        <f t="shared" si="52"/>
        <v>0</v>
      </c>
      <c r="AT91" s="168">
        <f t="shared" si="53"/>
        <v>0</v>
      </c>
      <c r="AU91" s="167">
        <f t="shared" si="54"/>
        <v>0</v>
      </c>
    </row>
    <row r="92" spans="1:47" ht="30" customHeight="1" x14ac:dyDescent="0.25">
      <c r="A92" s="76"/>
      <c r="B92" s="158" t="s">
        <v>2399</v>
      </c>
      <c r="C92" s="411" t="s">
        <v>1232</v>
      </c>
      <c r="D92" s="412"/>
      <c r="E92" s="408"/>
      <c r="F92" s="409"/>
      <c r="G92" s="397"/>
      <c r="H92" s="394"/>
      <c r="I92" s="162" t="s">
        <v>532</v>
      </c>
      <c r="J92" s="163"/>
      <c r="K92" s="164"/>
      <c r="L92" s="164"/>
      <c r="M92" s="164"/>
      <c r="N92" s="164"/>
      <c r="O92" s="164"/>
      <c r="P92" s="164"/>
      <c r="Q92" s="164"/>
      <c r="R92" s="164"/>
      <c r="S92" s="164"/>
      <c r="T92" s="164"/>
      <c r="U92" s="164"/>
      <c r="V92" s="164"/>
      <c r="W92" s="164"/>
      <c r="X92" s="164"/>
      <c r="Y92" s="164"/>
      <c r="Z92" s="164"/>
      <c r="AA92" s="164"/>
      <c r="AB92" s="164"/>
      <c r="AC92" s="164"/>
      <c r="AD92" s="164"/>
      <c r="AE92" s="164"/>
      <c r="AF92" s="164"/>
      <c r="AG92" s="164"/>
      <c r="AH92" s="164"/>
      <c r="AI92" s="164"/>
      <c r="AJ92" s="164"/>
      <c r="AK92" s="164"/>
      <c r="AL92" s="164"/>
      <c r="AM92" s="164"/>
      <c r="AN92" s="165"/>
      <c r="AO92" s="166">
        <f t="shared" si="38"/>
        <v>0</v>
      </c>
      <c r="AP92" s="12"/>
      <c r="AQ92" s="167">
        <f t="shared" si="51"/>
        <v>0</v>
      </c>
      <c r="AR92" s="12"/>
      <c r="AS92" s="167">
        <f t="shared" si="52"/>
        <v>0</v>
      </c>
      <c r="AT92" s="168">
        <f t="shared" si="53"/>
        <v>0</v>
      </c>
      <c r="AU92" s="167">
        <f t="shared" si="54"/>
        <v>0</v>
      </c>
    </row>
    <row r="93" spans="1:47" ht="30" customHeight="1" x14ac:dyDescent="0.25">
      <c r="A93" s="76"/>
      <c r="B93" s="158" t="s">
        <v>2400</v>
      </c>
      <c r="C93" s="411" t="s">
        <v>1233</v>
      </c>
      <c r="D93" s="412"/>
      <c r="E93" s="408"/>
      <c r="F93" s="409"/>
      <c r="G93" s="397"/>
      <c r="H93" s="394"/>
      <c r="I93" s="162" t="s">
        <v>532</v>
      </c>
      <c r="J93" s="163"/>
      <c r="K93" s="164"/>
      <c r="L93" s="164"/>
      <c r="M93" s="164"/>
      <c r="N93" s="164"/>
      <c r="O93" s="164"/>
      <c r="P93" s="164"/>
      <c r="Q93" s="164"/>
      <c r="R93" s="164"/>
      <c r="S93" s="164"/>
      <c r="T93" s="164"/>
      <c r="U93" s="164"/>
      <c r="V93" s="164"/>
      <c r="W93" s="164"/>
      <c r="X93" s="164"/>
      <c r="Y93" s="164"/>
      <c r="Z93" s="164"/>
      <c r="AA93" s="164"/>
      <c r="AB93" s="164"/>
      <c r="AC93" s="164"/>
      <c r="AD93" s="164"/>
      <c r="AE93" s="164">
        <v>6</v>
      </c>
      <c r="AF93" s="164"/>
      <c r="AG93" s="164"/>
      <c r="AH93" s="164"/>
      <c r="AI93" s="164"/>
      <c r="AJ93" s="164"/>
      <c r="AK93" s="164"/>
      <c r="AL93" s="164"/>
      <c r="AM93" s="164"/>
      <c r="AN93" s="165"/>
      <c r="AO93" s="166">
        <f t="shared" si="38"/>
        <v>6</v>
      </c>
      <c r="AP93" s="12"/>
      <c r="AQ93" s="167">
        <f t="shared" si="51"/>
        <v>0</v>
      </c>
      <c r="AR93" s="12"/>
      <c r="AS93" s="167">
        <f t="shared" si="52"/>
        <v>0</v>
      </c>
      <c r="AT93" s="168">
        <f t="shared" si="53"/>
        <v>0</v>
      </c>
      <c r="AU93" s="167">
        <f t="shared" si="54"/>
        <v>0</v>
      </c>
    </row>
    <row r="94" spans="1:47" ht="30" customHeight="1" x14ac:dyDescent="0.25">
      <c r="A94" s="76"/>
      <c r="B94" s="158" t="s">
        <v>2401</v>
      </c>
      <c r="C94" s="411" t="s">
        <v>1234</v>
      </c>
      <c r="D94" s="412"/>
      <c r="E94" s="408"/>
      <c r="F94" s="409"/>
      <c r="G94" s="397"/>
      <c r="H94" s="394"/>
      <c r="I94" s="162" t="s">
        <v>532</v>
      </c>
      <c r="J94" s="163"/>
      <c r="K94" s="164"/>
      <c r="L94" s="164"/>
      <c r="M94" s="164"/>
      <c r="N94" s="164"/>
      <c r="O94" s="164"/>
      <c r="P94" s="164"/>
      <c r="Q94" s="164"/>
      <c r="R94" s="164"/>
      <c r="S94" s="164"/>
      <c r="T94" s="164"/>
      <c r="U94" s="164"/>
      <c r="V94" s="164"/>
      <c r="W94" s="164"/>
      <c r="X94" s="164"/>
      <c r="Y94" s="164"/>
      <c r="Z94" s="164"/>
      <c r="AA94" s="164"/>
      <c r="AB94" s="164"/>
      <c r="AC94" s="164"/>
      <c r="AD94" s="164"/>
      <c r="AE94" s="164"/>
      <c r="AF94" s="164"/>
      <c r="AG94" s="164"/>
      <c r="AH94" s="164"/>
      <c r="AI94" s="164"/>
      <c r="AJ94" s="164"/>
      <c r="AK94" s="164"/>
      <c r="AL94" s="164"/>
      <c r="AM94" s="164"/>
      <c r="AN94" s="165"/>
      <c r="AO94" s="166">
        <f t="shared" si="38"/>
        <v>0</v>
      </c>
      <c r="AP94" s="12"/>
      <c r="AQ94" s="167">
        <f t="shared" si="51"/>
        <v>0</v>
      </c>
      <c r="AR94" s="12"/>
      <c r="AS94" s="167">
        <f t="shared" si="52"/>
        <v>0</v>
      </c>
      <c r="AT94" s="168">
        <f t="shared" si="53"/>
        <v>0</v>
      </c>
      <c r="AU94" s="167">
        <f t="shared" si="54"/>
        <v>0</v>
      </c>
    </row>
    <row r="95" spans="1:47" ht="30" customHeight="1" x14ac:dyDescent="0.25">
      <c r="A95" s="76"/>
      <c r="B95" s="158" t="s">
        <v>2402</v>
      </c>
      <c r="C95" s="411" t="s">
        <v>1235</v>
      </c>
      <c r="D95" s="412"/>
      <c r="E95" s="408"/>
      <c r="F95" s="409"/>
      <c r="G95" s="397"/>
      <c r="H95" s="394"/>
      <c r="I95" s="162" t="s">
        <v>532</v>
      </c>
      <c r="J95" s="163"/>
      <c r="K95" s="164"/>
      <c r="L95" s="164"/>
      <c r="M95" s="164"/>
      <c r="N95" s="164"/>
      <c r="O95" s="164">
        <v>0</v>
      </c>
      <c r="P95" s="164"/>
      <c r="Q95" s="164"/>
      <c r="R95" s="164"/>
      <c r="S95" s="164"/>
      <c r="T95" s="164"/>
      <c r="U95" s="164"/>
      <c r="V95" s="164"/>
      <c r="W95" s="164"/>
      <c r="X95" s="164"/>
      <c r="Y95" s="164"/>
      <c r="Z95" s="164"/>
      <c r="AA95" s="164"/>
      <c r="AB95" s="164"/>
      <c r="AC95" s="164"/>
      <c r="AD95" s="164"/>
      <c r="AE95" s="164"/>
      <c r="AF95" s="164"/>
      <c r="AG95" s="164"/>
      <c r="AH95" s="164"/>
      <c r="AI95" s="164"/>
      <c r="AJ95" s="164"/>
      <c r="AK95" s="164"/>
      <c r="AL95" s="164"/>
      <c r="AM95" s="164"/>
      <c r="AN95" s="165"/>
      <c r="AO95" s="166">
        <f t="shared" si="38"/>
        <v>0</v>
      </c>
      <c r="AP95" s="12"/>
      <c r="AQ95" s="167">
        <f t="shared" si="51"/>
        <v>0</v>
      </c>
      <c r="AR95" s="12"/>
      <c r="AS95" s="167">
        <f t="shared" si="52"/>
        <v>0</v>
      </c>
      <c r="AT95" s="168">
        <f t="shared" si="53"/>
        <v>0</v>
      </c>
      <c r="AU95" s="167">
        <f t="shared" si="54"/>
        <v>0</v>
      </c>
    </row>
    <row r="96" spans="1:47" ht="30" customHeight="1" x14ac:dyDescent="0.25">
      <c r="A96" s="76"/>
      <c r="B96" s="158" t="s">
        <v>2403</v>
      </c>
      <c r="C96" s="411" t="s">
        <v>1236</v>
      </c>
      <c r="D96" s="412"/>
      <c r="E96" s="408"/>
      <c r="F96" s="409"/>
      <c r="G96" s="397"/>
      <c r="H96" s="394"/>
      <c r="I96" s="162" t="s">
        <v>532</v>
      </c>
      <c r="J96" s="163"/>
      <c r="K96" s="164"/>
      <c r="L96" s="164"/>
      <c r="M96" s="164"/>
      <c r="N96" s="164"/>
      <c r="O96" s="164"/>
      <c r="P96" s="164"/>
      <c r="Q96" s="164"/>
      <c r="R96" s="164"/>
      <c r="S96" s="164"/>
      <c r="T96" s="164"/>
      <c r="U96" s="164"/>
      <c r="V96" s="164"/>
      <c r="W96" s="164"/>
      <c r="X96" s="164"/>
      <c r="Y96" s="164"/>
      <c r="Z96" s="164"/>
      <c r="AA96" s="164"/>
      <c r="AB96" s="164"/>
      <c r="AC96" s="164"/>
      <c r="AD96" s="164"/>
      <c r="AE96" s="164">
        <v>20</v>
      </c>
      <c r="AF96" s="164"/>
      <c r="AG96" s="164"/>
      <c r="AH96" s="164"/>
      <c r="AI96" s="164"/>
      <c r="AJ96" s="164"/>
      <c r="AK96" s="164"/>
      <c r="AL96" s="164"/>
      <c r="AM96" s="164"/>
      <c r="AN96" s="165"/>
      <c r="AO96" s="166">
        <f t="shared" si="38"/>
        <v>20</v>
      </c>
      <c r="AP96" s="12"/>
      <c r="AQ96" s="167">
        <f t="shared" si="51"/>
        <v>0</v>
      </c>
      <c r="AR96" s="12"/>
      <c r="AS96" s="167">
        <f t="shared" si="52"/>
        <v>0</v>
      </c>
      <c r="AT96" s="168">
        <f t="shared" si="53"/>
        <v>0</v>
      </c>
      <c r="AU96" s="167">
        <f t="shared" si="54"/>
        <v>0</v>
      </c>
    </row>
    <row r="97" spans="1:47" ht="30" customHeight="1" x14ac:dyDescent="0.25">
      <c r="A97" s="76"/>
      <c r="B97" s="158" t="s">
        <v>2404</v>
      </c>
      <c r="C97" s="411" t="s">
        <v>1237</v>
      </c>
      <c r="D97" s="412"/>
      <c r="E97" s="408"/>
      <c r="F97" s="409"/>
      <c r="G97" s="397"/>
      <c r="H97" s="394"/>
      <c r="I97" s="162" t="s">
        <v>532</v>
      </c>
      <c r="J97" s="163"/>
      <c r="K97" s="164"/>
      <c r="L97" s="164"/>
      <c r="M97" s="164"/>
      <c r="N97" s="164"/>
      <c r="O97" s="164"/>
      <c r="P97" s="164"/>
      <c r="Q97" s="164">
        <v>260</v>
      </c>
      <c r="R97" s="164"/>
      <c r="S97" s="164"/>
      <c r="T97" s="164"/>
      <c r="U97" s="164"/>
      <c r="V97" s="164"/>
      <c r="W97" s="164"/>
      <c r="X97" s="164"/>
      <c r="Y97" s="164"/>
      <c r="Z97" s="164"/>
      <c r="AA97" s="164"/>
      <c r="AB97" s="164"/>
      <c r="AC97" s="164"/>
      <c r="AD97" s="164"/>
      <c r="AE97" s="164"/>
      <c r="AF97" s="164"/>
      <c r="AG97" s="164"/>
      <c r="AH97" s="164"/>
      <c r="AI97" s="164"/>
      <c r="AJ97" s="164"/>
      <c r="AK97" s="164"/>
      <c r="AL97" s="164"/>
      <c r="AM97" s="164"/>
      <c r="AN97" s="165"/>
      <c r="AO97" s="166">
        <f t="shared" si="38"/>
        <v>260</v>
      </c>
      <c r="AP97" s="12"/>
      <c r="AQ97" s="167">
        <f t="shared" si="51"/>
        <v>0</v>
      </c>
      <c r="AR97" s="12"/>
      <c r="AS97" s="167">
        <f t="shared" si="52"/>
        <v>0</v>
      </c>
      <c r="AT97" s="168">
        <f t="shared" si="53"/>
        <v>0</v>
      </c>
      <c r="AU97" s="167">
        <f t="shared" si="54"/>
        <v>0</v>
      </c>
    </row>
    <row r="98" spans="1:47" ht="30" customHeight="1" x14ac:dyDescent="0.25">
      <c r="A98" s="76"/>
      <c r="B98" s="158" t="s">
        <v>2405</v>
      </c>
      <c r="C98" s="411" t="s">
        <v>1238</v>
      </c>
      <c r="D98" s="412"/>
      <c r="E98" s="408"/>
      <c r="F98" s="409"/>
      <c r="G98" s="397"/>
      <c r="H98" s="394"/>
      <c r="I98" s="162" t="s">
        <v>532</v>
      </c>
      <c r="J98" s="163"/>
      <c r="K98" s="164"/>
      <c r="L98" s="164"/>
      <c r="M98" s="164"/>
      <c r="N98" s="164"/>
      <c r="O98" s="164"/>
      <c r="P98" s="164"/>
      <c r="Q98" s="164">
        <v>1170</v>
      </c>
      <c r="R98" s="164"/>
      <c r="S98" s="164"/>
      <c r="T98" s="164"/>
      <c r="U98" s="164"/>
      <c r="V98" s="164"/>
      <c r="W98" s="164"/>
      <c r="X98" s="164"/>
      <c r="Y98" s="164"/>
      <c r="Z98" s="164"/>
      <c r="AA98" s="164"/>
      <c r="AB98" s="164"/>
      <c r="AC98" s="164"/>
      <c r="AD98" s="164"/>
      <c r="AE98" s="164"/>
      <c r="AF98" s="164"/>
      <c r="AG98" s="164"/>
      <c r="AH98" s="164"/>
      <c r="AI98" s="164"/>
      <c r="AJ98" s="164"/>
      <c r="AK98" s="164"/>
      <c r="AL98" s="164"/>
      <c r="AM98" s="164"/>
      <c r="AN98" s="165"/>
      <c r="AO98" s="166">
        <f t="shared" si="38"/>
        <v>1170</v>
      </c>
      <c r="AP98" s="12"/>
      <c r="AQ98" s="167">
        <f t="shared" si="51"/>
        <v>0</v>
      </c>
      <c r="AR98" s="12"/>
      <c r="AS98" s="167">
        <f t="shared" si="52"/>
        <v>0</v>
      </c>
      <c r="AT98" s="168">
        <f t="shared" si="53"/>
        <v>0</v>
      </c>
      <c r="AU98" s="167">
        <f t="shared" si="54"/>
        <v>0</v>
      </c>
    </row>
    <row r="99" spans="1:47" ht="30" customHeight="1" x14ac:dyDescent="0.25">
      <c r="A99" s="76"/>
      <c r="B99" s="158" t="s">
        <v>2406</v>
      </c>
      <c r="C99" s="411" t="s">
        <v>1179</v>
      </c>
      <c r="D99" s="412"/>
      <c r="E99" s="408"/>
      <c r="F99" s="409"/>
      <c r="G99" s="397"/>
      <c r="H99" s="394"/>
      <c r="I99" s="162" t="s">
        <v>532</v>
      </c>
      <c r="J99" s="163"/>
      <c r="K99" s="164"/>
      <c r="L99" s="164"/>
      <c r="M99" s="164"/>
      <c r="N99" s="164"/>
      <c r="O99" s="164"/>
      <c r="P99" s="164"/>
      <c r="Q99" s="164"/>
      <c r="R99" s="164"/>
      <c r="S99" s="164"/>
      <c r="T99" s="164"/>
      <c r="U99" s="164"/>
      <c r="V99" s="164"/>
      <c r="W99" s="164"/>
      <c r="X99" s="164"/>
      <c r="Y99" s="164"/>
      <c r="Z99" s="164"/>
      <c r="AA99" s="164"/>
      <c r="AB99" s="164"/>
      <c r="AC99" s="164"/>
      <c r="AD99" s="164"/>
      <c r="AE99" s="164"/>
      <c r="AF99" s="164"/>
      <c r="AG99" s="164"/>
      <c r="AH99" s="164"/>
      <c r="AI99" s="164"/>
      <c r="AJ99" s="164"/>
      <c r="AK99" s="164"/>
      <c r="AL99" s="164"/>
      <c r="AM99" s="164"/>
      <c r="AN99" s="165"/>
      <c r="AO99" s="166">
        <f t="shared" si="38"/>
        <v>0</v>
      </c>
      <c r="AP99" s="12"/>
      <c r="AQ99" s="167">
        <f t="shared" si="51"/>
        <v>0</v>
      </c>
      <c r="AR99" s="12"/>
      <c r="AS99" s="167">
        <f t="shared" si="52"/>
        <v>0</v>
      </c>
      <c r="AT99" s="168">
        <f t="shared" si="53"/>
        <v>0</v>
      </c>
      <c r="AU99" s="167">
        <f t="shared" si="54"/>
        <v>0</v>
      </c>
    </row>
    <row r="100" spans="1:47" ht="30" customHeight="1" x14ac:dyDescent="0.25">
      <c r="A100" s="76"/>
      <c r="B100" s="158" t="s">
        <v>2407</v>
      </c>
      <c r="C100" s="411" t="s">
        <v>1180</v>
      </c>
      <c r="D100" s="412"/>
      <c r="E100" s="408"/>
      <c r="F100" s="409"/>
      <c r="G100" s="397"/>
      <c r="H100" s="394"/>
      <c r="I100" s="162" t="s">
        <v>532</v>
      </c>
      <c r="J100" s="163"/>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4"/>
      <c r="AI100" s="164"/>
      <c r="AJ100" s="164"/>
      <c r="AK100" s="164"/>
      <c r="AL100" s="164"/>
      <c r="AM100" s="164"/>
      <c r="AN100" s="165"/>
      <c r="AO100" s="166">
        <f t="shared" si="38"/>
        <v>0</v>
      </c>
      <c r="AP100" s="12"/>
      <c r="AQ100" s="167">
        <f t="shared" si="51"/>
        <v>0</v>
      </c>
      <c r="AR100" s="12"/>
      <c r="AS100" s="167">
        <f t="shared" si="52"/>
        <v>0</v>
      </c>
      <c r="AT100" s="168">
        <f t="shared" si="53"/>
        <v>0</v>
      </c>
      <c r="AU100" s="167">
        <f t="shared" si="54"/>
        <v>0</v>
      </c>
    </row>
    <row r="101" spans="1:47" ht="30" customHeight="1" x14ac:dyDescent="0.25">
      <c r="A101" s="76"/>
      <c r="B101" s="158" t="s">
        <v>2408</v>
      </c>
      <c r="C101" s="411" t="s">
        <v>1239</v>
      </c>
      <c r="D101" s="412"/>
      <c r="E101" s="408"/>
      <c r="F101" s="409"/>
      <c r="G101" s="397"/>
      <c r="H101" s="394"/>
      <c r="I101" s="162" t="s">
        <v>532</v>
      </c>
      <c r="J101" s="163"/>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4"/>
      <c r="AI101" s="164"/>
      <c r="AJ101" s="164"/>
      <c r="AK101" s="164"/>
      <c r="AL101" s="164"/>
      <c r="AM101" s="164"/>
      <c r="AN101" s="165"/>
      <c r="AO101" s="166">
        <f t="shared" si="38"/>
        <v>0</v>
      </c>
      <c r="AP101" s="12"/>
      <c r="AQ101" s="167">
        <f t="shared" si="51"/>
        <v>0</v>
      </c>
      <c r="AR101" s="12"/>
      <c r="AS101" s="167">
        <f t="shared" si="52"/>
        <v>0</v>
      </c>
      <c r="AT101" s="168">
        <f t="shared" si="53"/>
        <v>0</v>
      </c>
      <c r="AU101" s="167">
        <f t="shared" si="54"/>
        <v>0</v>
      </c>
    </row>
    <row r="102" spans="1:47" ht="30" customHeight="1" x14ac:dyDescent="0.25">
      <c r="A102" s="76"/>
      <c r="B102" s="158" t="s">
        <v>2409</v>
      </c>
      <c r="C102" s="411" t="s">
        <v>1240</v>
      </c>
      <c r="D102" s="412"/>
      <c r="E102" s="408"/>
      <c r="F102" s="409"/>
      <c r="G102" s="397"/>
      <c r="H102" s="394"/>
      <c r="I102" s="162" t="s">
        <v>532</v>
      </c>
      <c r="J102" s="163"/>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c r="AH102" s="164"/>
      <c r="AI102" s="164"/>
      <c r="AJ102" s="164"/>
      <c r="AK102" s="164"/>
      <c r="AL102" s="164"/>
      <c r="AM102" s="164"/>
      <c r="AN102" s="165"/>
      <c r="AO102" s="166">
        <f t="shared" si="38"/>
        <v>0</v>
      </c>
      <c r="AP102" s="12"/>
      <c r="AQ102" s="167">
        <f t="shared" si="51"/>
        <v>0</v>
      </c>
      <c r="AR102" s="12"/>
      <c r="AS102" s="167">
        <f t="shared" si="52"/>
        <v>0</v>
      </c>
      <c r="AT102" s="168">
        <f t="shared" si="53"/>
        <v>0</v>
      </c>
      <c r="AU102" s="167">
        <f t="shared" si="54"/>
        <v>0</v>
      </c>
    </row>
    <row r="103" spans="1:47" ht="30" customHeight="1" x14ac:dyDescent="0.25">
      <c r="A103" s="76"/>
      <c r="B103" s="158" t="s">
        <v>2410</v>
      </c>
      <c r="C103" s="411" t="s">
        <v>1181</v>
      </c>
      <c r="D103" s="412"/>
      <c r="E103" s="408"/>
      <c r="F103" s="409"/>
      <c r="G103" s="397"/>
      <c r="H103" s="394"/>
      <c r="I103" s="162" t="s">
        <v>532</v>
      </c>
      <c r="J103" s="163"/>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4"/>
      <c r="AI103" s="164"/>
      <c r="AJ103" s="164"/>
      <c r="AK103" s="164"/>
      <c r="AL103" s="164"/>
      <c r="AM103" s="164"/>
      <c r="AN103" s="165"/>
      <c r="AO103" s="166">
        <f t="shared" si="38"/>
        <v>0</v>
      </c>
      <c r="AP103" s="12"/>
      <c r="AQ103" s="167">
        <f t="shared" si="51"/>
        <v>0</v>
      </c>
      <c r="AR103" s="12"/>
      <c r="AS103" s="167">
        <f t="shared" si="52"/>
        <v>0</v>
      </c>
      <c r="AT103" s="168">
        <f t="shared" si="53"/>
        <v>0</v>
      </c>
      <c r="AU103" s="167">
        <f t="shared" si="54"/>
        <v>0</v>
      </c>
    </row>
    <row r="104" spans="1:47" ht="30" customHeight="1" x14ac:dyDescent="0.25">
      <c r="A104" s="76"/>
      <c r="B104" s="158" t="s">
        <v>2411</v>
      </c>
      <c r="C104" s="411" t="s">
        <v>1182</v>
      </c>
      <c r="D104" s="412"/>
      <c r="E104" s="408"/>
      <c r="F104" s="409"/>
      <c r="G104" s="397"/>
      <c r="H104" s="394"/>
      <c r="I104" s="162" t="s">
        <v>532</v>
      </c>
      <c r="J104" s="163"/>
      <c r="K104" s="164"/>
      <c r="L104" s="164"/>
      <c r="M104" s="164"/>
      <c r="N104" s="164"/>
      <c r="O104" s="164"/>
      <c r="P104" s="164"/>
      <c r="Q104" s="164"/>
      <c r="R104" s="164"/>
      <c r="S104" s="164"/>
      <c r="T104" s="164"/>
      <c r="U104" s="164"/>
      <c r="V104" s="164"/>
      <c r="W104" s="164"/>
      <c r="X104" s="164">
        <v>125</v>
      </c>
      <c r="Y104" s="164"/>
      <c r="Z104" s="164"/>
      <c r="AA104" s="164">
        <v>30</v>
      </c>
      <c r="AB104" s="164"/>
      <c r="AC104" s="164"/>
      <c r="AD104" s="164">
        <v>325</v>
      </c>
      <c r="AE104" s="164"/>
      <c r="AF104" s="164"/>
      <c r="AG104" s="164"/>
      <c r="AH104" s="164"/>
      <c r="AI104" s="164"/>
      <c r="AJ104" s="164"/>
      <c r="AK104" s="164"/>
      <c r="AL104" s="164"/>
      <c r="AM104" s="164"/>
      <c r="AN104" s="165"/>
      <c r="AO104" s="166">
        <f t="shared" si="38"/>
        <v>480</v>
      </c>
      <c r="AP104" s="12"/>
      <c r="AQ104" s="167">
        <f t="shared" si="51"/>
        <v>0</v>
      </c>
      <c r="AR104" s="12"/>
      <c r="AS104" s="167">
        <f t="shared" si="52"/>
        <v>0</v>
      </c>
      <c r="AT104" s="168">
        <f t="shared" si="53"/>
        <v>0</v>
      </c>
      <c r="AU104" s="167">
        <f t="shared" si="54"/>
        <v>0</v>
      </c>
    </row>
    <row r="105" spans="1:47" ht="30" customHeight="1" x14ac:dyDescent="0.25">
      <c r="A105" s="76"/>
      <c r="B105" s="158" t="s">
        <v>2412</v>
      </c>
      <c r="C105" s="411" t="s">
        <v>1183</v>
      </c>
      <c r="D105" s="412"/>
      <c r="E105" s="408"/>
      <c r="F105" s="409"/>
      <c r="G105" s="397"/>
      <c r="H105" s="394"/>
      <c r="I105" s="162" t="s">
        <v>532</v>
      </c>
      <c r="J105" s="163"/>
      <c r="K105" s="164"/>
      <c r="L105" s="164"/>
      <c r="M105" s="164"/>
      <c r="N105" s="164"/>
      <c r="O105" s="164"/>
      <c r="P105" s="164"/>
      <c r="Q105" s="164"/>
      <c r="R105" s="164"/>
      <c r="S105" s="164"/>
      <c r="T105" s="164"/>
      <c r="U105" s="164"/>
      <c r="V105" s="164"/>
      <c r="W105" s="164"/>
      <c r="X105" s="164"/>
      <c r="Y105" s="164"/>
      <c r="Z105" s="164"/>
      <c r="AA105" s="164"/>
      <c r="AB105" s="164">
        <v>150</v>
      </c>
      <c r="AC105" s="164"/>
      <c r="AD105" s="164"/>
      <c r="AE105" s="164"/>
      <c r="AF105" s="164"/>
      <c r="AG105" s="164"/>
      <c r="AH105" s="164"/>
      <c r="AI105" s="164"/>
      <c r="AJ105" s="164"/>
      <c r="AK105" s="164"/>
      <c r="AL105" s="164"/>
      <c r="AM105" s="164"/>
      <c r="AN105" s="165"/>
      <c r="AO105" s="166">
        <f t="shared" si="38"/>
        <v>150</v>
      </c>
      <c r="AP105" s="12"/>
      <c r="AQ105" s="167">
        <f t="shared" si="51"/>
        <v>0</v>
      </c>
      <c r="AR105" s="12"/>
      <c r="AS105" s="167">
        <f t="shared" si="52"/>
        <v>0</v>
      </c>
      <c r="AT105" s="168">
        <f t="shared" si="53"/>
        <v>0</v>
      </c>
      <c r="AU105" s="167">
        <f t="shared" si="54"/>
        <v>0</v>
      </c>
    </row>
    <row r="106" spans="1:47" ht="30" customHeight="1" x14ac:dyDescent="0.25">
      <c r="A106" s="76"/>
      <c r="B106" s="158" t="s">
        <v>2413</v>
      </c>
      <c r="C106" s="411" t="s">
        <v>1184</v>
      </c>
      <c r="D106" s="412"/>
      <c r="E106" s="408"/>
      <c r="F106" s="409"/>
      <c r="G106" s="397"/>
      <c r="H106" s="394"/>
      <c r="I106" s="162" t="s">
        <v>532</v>
      </c>
      <c r="J106" s="163"/>
      <c r="K106" s="164"/>
      <c r="L106" s="164"/>
      <c r="M106" s="164"/>
      <c r="N106" s="164"/>
      <c r="O106" s="164"/>
      <c r="P106" s="164"/>
      <c r="Q106" s="164"/>
      <c r="R106" s="164"/>
      <c r="S106" s="164"/>
      <c r="T106" s="164"/>
      <c r="U106" s="164"/>
      <c r="V106" s="164"/>
      <c r="W106" s="164"/>
      <c r="X106" s="164"/>
      <c r="Y106" s="164"/>
      <c r="Z106" s="164">
        <v>30</v>
      </c>
      <c r="AA106" s="164"/>
      <c r="AB106" s="164"/>
      <c r="AC106" s="164"/>
      <c r="AD106" s="164">
        <v>90</v>
      </c>
      <c r="AE106" s="164"/>
      <c r="AF106" s="164"/>
      <c r="AG106" s="164"/>
      <c r="AH106" s="164"/>
      <c r="AI106" s="164"/>
      <c r="AJ106" s="164"/>
      <c r="AK106" s="164"/>
      <c r="AL106" s="164"/>
      <c r="AM106" s="164"/>
      <c r="AN106" s="165"/>
      <c r="AO106" s="166">
        <f t="shared" si="38"/>
        <v>120</v>
      </c>
      <c r="AP106" s="12"/>
      <c r="AQ106" s="167">
        <f t="shared" si="51"/>
        <v>0</v>
      </c>
      <c r="AR106" s="12"/>
      <c r="AS106" s="167">
        <f t="shared" si="52"/>
        <v>0</v>
      </c>
      <c r="AT106" s="168">
        <f t="shared" si="53"/>
        <v>0</v>
      </c>
      <c r="AU106" s="167">
        <f t="shared" si="54"/>
        <v>0</v>
      </c>
    </row>
    <row r="107" spans="1:47" ht="30" customHeight="1" x14ac:dyDescent="0.25">
      <c r="A107" s="76"/>
      <c r="B107" s="158" t="s">
        <v>2414</v>
      </c>
      <c r="C107" s="411" t="s">
        <v>1185</v>
      </c>
      <c r="D107" s="412"/>
      <c r="E107" s="408"/>
      <c r="F107" s="409"/>
      <c r="G107" s="397"/>
      <c r="H107" s="394"/>
      <c r="I107" s="162" t="s">
        <v>532</v>
      </c>
      <c r="J107" s="163"/>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4"/>
      <c r="AI107" s="164"/>
      <c r="AJ107" s="164"/>
      <c r="AK107" s="164"/>
      <c r="AL107" s="164"/>
      <c r="AM107" s="164"/>
      <c r="AN107" s="165"/>
      <c r="AO107" s="166">
        <f t="shared" si="38"/>
        <v>0</v>
      </c>
      <c r="AP107" s="12"/>
      <c r="AQ107" s="167">
        <f t="shared" si="51"/>
        <v>0</v>
      </c>
      <c r="AR107" s="12"/>
      <c r="AS107" s="167">
        <f t="shared" si="52"/>
        <v>0</v>
      </c>
      <c r="AT107" s="168">
        <f t="shared" si="53"/>
        <v>0</v>
      </c>
      <c r="AU107" s="167">
        <f t="shared" si="54"/>
        <v>0</v>
      </c>
    </row>
    <row r="108" spans="1:47" ht="30" customHeight="1" x14ac:dyDescent="0.25">
      <c r="A108" s="76"/>
      <c r="B108" s="158" t="s">
        <v>2415</v>
      </c>
      <c r="C108" s="411" t="s">
        <v>1241</v>
      </c>
      <c r="D108" s="412"/>
      <c r="E108" s="408"/>
      <c r="F108" s="409"/>
      <c r="G108" s="397"/>
      <c r="H108" s="394"/>
      <c r="I108" s="162" t="s">
        <v>532</v>
      </c>
      <c r="J108" s="163"/>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4"/>
      <c r="AI108" s="164"/>
      <c r="AJ108" s="164"/>
      <c r="AK108" s="164"/>
      <c r="AL108" s="164"/>
      <c r="AM108" s="164"/>
      <c r="AN108" s="165"/>
      <c r="AO108" s="166">
        <f t="shared" si="38"/>
        <v>0</v>
      </c>
      <c r="AP108" s="12"/>
      <c r="AQ108" s="167">
        <f t="shared" si="51"/>
        <v>0</v>
      </c>
      <c r="AR108" s="12"/>
      <c r="AS108" s="167">
        <f t="shared" si="52"/>
        <v>0</v>
      </c>
      <c r="AT108" s="168">
        <f t="shared" si="53"/>
        <v>0</v>
      </c>
      <c r="AU108" s="167">
        <f t="shared" si="54"/>
        <v>0</v>
      </c>
    </row>
    <row r="109" spans="1:47" ht="30" customHeight="1" x14ac:dyDescent="0.25">
      <c r="A109" s="76"/>
      <c r="B109" s="158" t="s">
        <v>2416</v>
      </c>
      <c r="C109" s="411" t="s">
        <v>1242</v>
      </c>
      <c r="D109" s="412"/>
      <c r="E109" s="408"/>
      <c r="F109" s="409"/>
      <c r="G109" s="397"/>
      <c r="H109" s="394"/>
      <c r="I109" s="162" t="s">
        <v>532</v>
      </c>
      <c r="J109" s="163"/>
      <c r="K109" s="164"/>
      <c r="L109" s="164"/>
      <c r="M109" s="164"/>
      <c r="N109" s="164"/>
      <c r="O109" s="164"/>
      <c r="P109" s="164"/>
      <c r="Q109" s="164"/>
      <c r="R109" s="164"/>
      <c r="S109" s="164"/>
      <c r="T109" s="164"/>
      <c r="U109" s="164"/>
      <c r="V109" s="164"/>
      <c r="W109" s="164"/>
      <c r="X109" s="164"/>
      <c r="Y109" s="164"/>
      <c r="Z109" s="164"/>
      <c r="AA109" s="164"/>
      <c r="AB109" s="164"/>
      <c r="AC109" s="164"/>
      <c r="AD109" s="164"/>
      <c r="AE109" s="164"/>
      <c r="AF109" s="164"/>
      <c r="AG109" s="164"/>
      <c r="AH109" s="164"/>
      <c r="AI109" s="164"/>
      <c r="AJ109" s="164"/>
      <c r="AK109" s="164"/>
      <c r="AL109" s="164"/>
      <c r="AM109" s="164"/>
      <c r="AN109" s="165"/>
      <c r="AO109" s="166">
        <f t="shared" si="38"/>
        <v>0</v>
      </c>
      <c r="AP109" s="12"/>
      <c r="AQ109" s="167">
        <f t="shared" si="51"/>
        <v>0</v>
      </c>
      <c r="AR109" s="12"/>
      <c r="AS109" s="167">
        <f t="shared" si="52"/>
        <v>0</v>
      </c>
      <c r="AT109" s="168">
        <f t="shared" si="53"/>
        <v>0</v>
      </c>
      <c r="AU109" s="167">
        <f t="shared" si="54"/>
        <v>0</v>
      </c>
    </row>
    <row r="110" spans="1:47" ht="30" customHeight="1" x14ac:dyDescent="0.25">
      <c r="A110" s="76"/>
      <c r="B110" s="158" t="s">
        <v>2417</v>
      </c>
      <c r="C110" s="411" t="s">
        <v>1243</v>
      </c>
      <c r="D110" s="412"/>
      <c r="E110" s="408"/>
      <c r="F110" s="409"/>
      <c r="G110" s="397"/>
      <c r="H110" s="394"/>
      <c r="I110" s="162" t="s">
        <v>532</v>
      </c>
      <c r="J110" s="163"/>
      <c r="K110" s="164"/>
      <c r="L110" s="164"/>
      <c r="M110" s="164"/>
      <c r="N110" s="164"/>
      <c r="O110" s="164"/>
      <c r="P110" s="164"/>
      <c r="Q110" s="164"/>
      <c r="R110" s="164"/>
      <c r="S110" s="164"/>
      <c r="T110" s="164"/>
      <c r="U110" s="164"/>
      <c r="V110" s="164"/>
      <c r="W110" s="164"/>
      <c r="X110" s="164"/>
      <c r="Y110" s="164"/>
      <c r="Z110" s="164"/>
      <c r="AA110" s="164"/>
      <c r="AB110" s="164"/>
      <c r="AC110" s="164"/>
      <c r="AD110" s="164"/>
      <c r="AE110" s="164"/>
      <c r="AF110" s="164"/>
      <c r="AG110" s="164"/>
      <c r="AH110" s="164"/>
      <c r="AI110" s="164"/>
      <c r="AJ110" s="164"/>
      <c r="AK110" s="164"/>
      <c r="AL110" s="164"/>
      <c r="AM110" s="164"/>
      <c r="AN110" s="165"/>
      <c r="AO110" s="166">
        <f t="shared" si="38"/>
        <v>0</v>
      </c>
      <c r="AP110" s="12"/>
      <c r="AQ110" s="167">
        <f t="shared" si="51"/>
        <v>0</v>
      </c>
      <c r="AR110" s="12"/>
      <c r="AS110" s="167">
        <f t="shared" si="52"/>
        <v>0</v>
      </c>
      <c r="AT110" s="168">
        <f t="shared" si="53"/>
        <v>0</v>
      </c>
      <c r="AU110" s="167">
        <f t="shared" si="54"/>
        <v>0</v>
      </c>
    </row>
    <row r="111" spans="1:47" ht="30" customHeight="1" x14ac:dyDescent="0.25">
      <c r="A111" s="76"/>
      <c r="B111" s="158" t="s">
        <v>2418</v>
      </c>
      <c r="C111" s="411" t="s">
        <v>1244</v>
      </c>
      <c r="D111" s="412"/>
      <c r="E111" s="408"/>
      <c r="F111" s="409"/>
      <c r="G111" s="397"/>
      <c r="H111" s="394"/>
      <c r="I111" s="162" t="s">
        <v>532</v>
      </c>
      <c r="J111" s="163"/>
      <c r="K111" s="164"/>
      <c r="L111" s="164"/>
      <c r="M111" s="164"/>
      <c r="N111" s="164"/>
      <c r="O111" s="164"/>
      <c r="P111" s="164"/>
      <c r="Q111" s="164"/>
      <c r="R111" s="164"/>
      <c r="S111" s="164"/>
      <c r="T111" s="164"/>
      <c r="U111" s="164"/>
      <c r="V111" s="164"/>
      <c r="W111" s="164"/>
      <c r="X111" s="164"/>
      <c r="Y111" s="164"/>
      <c r="Z111" s="164"/>
      <c r="AA111" s="164"/>
      <c r="AB111" s="164"/>
      <c r="AC111" s="164"/>
      <c r="AD111" s="164"/>
      <c r="AE111" s="164"/>
      <c r="AF111" s="164"/>
      <c r="AG111" s="164"/>
      <c r="AH111" s="164"/>
      <c r="AI111" s="164"/>
      <c r="AJ111" s="164"/>
      <c r="AK111" s="164"/>
      <c r="AL111" s="164"/>
      <c r="AM111" s="164"/>
      <c r="AN111" s="165"/>
      <c r="AO111" s="166">
        <f t="shared" si="38"/>
        <v>0</v>
      </c>
      <c r="AP111" s="12"/>
      <c r="AQ111" s="167">
        <f t="shared" si="51"/>
        <v>0</v>
      </c>
      <c r="AR111" s="12"/>
      <c r="AS111" s="167">
        <f t="shared" si="52"/>
        <v>0</v>
      </c>
      <c r="AT111" s="168">
        <f t="shared" si="53"/>
        <v>0</v>
      </c>
      <c r="AU111" s="167">
        <f t="shared" si="54"/>
        <v>0</v>
      </c>
    </row>
    <row r="112" spans="1:47" ht="30" customHeight="1" x14ac:dyDescent="0.25">
      <c r="A112" s="76"/>
      <c r="B112" s="158" t="s">
        <v>2419</v>
      </c>
      <c r="C112" s="411" t="s">
        <v>1245</v>
      </c>
      <c r="D112" s="412"/>
      <c r="E112" s="408"/>
      <c r="F112" s="409"/>
      <c r="G112" s="397"/>
      <c r="H112" s="394"/>
      <c r="I112" s="162" t="s">
        <v>532</v>
      </c>
      <c r="J112" s="163"/>
      <c r="K112" s="164"/>
      <c r="L112" s="164"/>
      <c r="M112" s="164"/>
      <c r="N112" s="164"/>
      <c r="O112" s="164">
        <v>100</v>
      </c>
      <c r="P112" s="164"/>
      <c r="Q112" s="164"/>
      <c r="R112" s="164"/>
      <c r="S112" s="164"/>
      <c r="T112" s="164"/>
      <c r="U112" s="164"/>
      <c r="V112" s="164"/>
      <c r="W112" s="164"/>
      <c r="X112" s="164"/>
      <c r="Y112" s="164"/>
      <c r="Z112" s="164"/>
      <c r="AA112" s="164"/>
      <c r="AB112" s="164"/>
      <c r="AC112" s="164"/>
      <c r="AD112" s="164"/>
      <c r="AE112" s="164"/>
      <c r="AF112" s="164"/>
      <c r="AG112" s="164"/>
      <c r="AH112" s="164"/>
      <c r="AI112" s="164"/>
      <c r="AJ112" s="164"/>
      <c r="AK112" s="164"/>
      <c r="AL112" s="164"/>
      <c r="AM112" s="164"/>
      <c r="AN112" s="165"/>
      <c r="AO112" s="166">
        <f t="shared" si="38"/>
        <v>100</v>
      </c>
      <c r="AP112" s="12"/>
      <c r="AQ112" s="167">
        <f t="shared" si="51"/>
        <v>0</v>
      </c>
      <c r="AR112" s="12"/>
      <c r="AS112" s="167">
        <f t="shared" si="52"/>
        <v>0</v>
      </c>
      <c r="AT112" s="168">
        <f t="shared" si="53"/>
        <v>0</v>
      </c>
      <c r="AU112" s="167">
        <f t="shared" si="54"/>
        <v>0</v>
      </c>
    </row>
    <row r="113" spans="1:47" ht="30" customHeight="1" x14ac:dyDescent="0.25">
      <c r="A113" s="76"/>
      <c r="B113" s="158" t="s">
        <v>2420</v>
      </c>
      <c r="C113" s="411" t="s">
        <v>1246</v>
      </c>
      <c r="D113" s="412"/>
      <c r="E113" s="408"/>
      <c r="F113" s="409"/>
      <c r="G113" s="397"/>
      <c r="H113" s="394"/>
      <c r="I113" s="162" t="s">
        <v>532</v>
      </c>
      <c r="J113" s="163"/>
      <c r="K113" s="164"/>
      <c r="L113" s="164"/>
      <c r="M113" s="164"/>
      <c r="N113" s="164"/>
      <c r="O113" s="164"/>
      <c r="P113" s="164"/>
      <c r="Q113" s="164"/>
      <c r="R113" s="164"/>
      <c r="S113" s="164"/>
      <c r="T113" s="164"/>
      <c r="U113" s="164"/>
      <c r="V113" s="164"/>
      <c r="W113" s="164"/>
      <c r="X113" s="164"/>
      <c r="Y113" s="164"/>
      <c r="Z113" s="164"/>
      <c r="AA113" s="164"/>
      <c r="AB113" s="164"/>
      <c r="AC113" s="164"/>
      <c r="AD113" s="164"/>
      <c r="AE113" s="164"/>
      <c r="AF113" s="164"/>
      <c r="AG113" s="164"/>
      <c r="AH113" s="164"/>
      <c r="AI113" s="164"/>
      <c r="AJ113" s="164"/>
      <c r="AK113" s="164"/>
      <c r="AL113" s="164"/>
      <c r="AM113" s="164"/>
      <c r="AN113" s="165"/>
      <c r="AO113" s="166">
        <f t="shared" si="38"/>
        <v>0</v>
      </c>
      <c r="AP113" s="12"/>
      <c r="AQ113" s="167">
        <f t="shared" si="51"/>
        <v>0</v>
      </c>
      <c r="AR113" s="12"/>
      <c r="AS113" s="167">
        <f t="shared" si="52"/>
        <v>0</v>
      </c>
      <c r="AT113" s="168">
        <f t="shared" si="53"/>
        <v>0</v>
      </c>
      <c r="AU113" s="167">
        <f t="shared" si="54"/>
        <v>0</v>
      </c>
    </row>
    <row r="114" spans="1:47" ht="30" customHeight="1" x14ac:dyDescent="0.25">
      <c r="A114" s="76"/>
      <c r="B114" s="158" t="s">
        <v>2421</v>
      </c>
      <c r="C114" s="411" t="s">
        <v>1247</v>
      </c>
      <c r="D114" s="412"/>
      <c r="E114" s="408"/>
      <c r="F114" s="409"/>
      <c r="G114" s="397"/>
      <c r="H114" s="394"/>
      <c r="I114" s="162" t="s">
        <v>532</v>
      </c>
      <c r="J114" s="163"/>
      <c r="K114" s="164"/>
      <c r="L114" s="164"/>
      <c r="M114" s="164"/>
      <c r="N114" s="164"/>
      <c r="O114" s="164"/>
      <c r="P114" s="164"/>
      <c r="Q114" s="164"/>
      <c r="R114" s="164"/>
      <c r="S114" s="164"/>
      <c r="T114" s="164"/>
      <c r="U114" s="164"/>
      <c r="V114" s="164"/>
      <c r="W114" s="164"/>
      <c r="X114" s="164"/>
      <c r="Y114" s="164"/>
      <c r="Z114" s="164"/>
      <c r="AA114" s="164"/>
      <c r="AB114" s="164"/>
      <c r="AC114" s="164"/>
      <c r="AD114" s="164"/>
      <c r="AE114" s="164"/>
      <c r="AF114" s="164"/>
      <c r="AG114" s="164"/>
      <c r="AH114" s="164"/>
      <c r="AI114" s="164"/>
      <c r="AJ114" s="164"/>
      <c r="AK114" s="164"/>
      <c r="AL114" s="164"/>
      <c r="AM114" s="164"/>
      <c r="AN114" s="165"/>
      <c r="AO114" s="166">
        <f t="shared" si="38"/>
        <v>0</v>
      </c>
      <c r="AP114" s="12"/>
      <c r="AQ114" s="167">
        <f t="shared" si="51"/>
        <v>0</v>
      </c>
      <c r="AR114" s="12"/>
      <c r="AS114" s="167">
        <f t="shared" si="52"/>
        <v>0</v>
      </c>
      <c r="AT114" s="168">
        <f t="shared" si="53"/>
        <v>0</v>
      </c>
      <c r="AU114" s="167">
        <f t="shared" si="54"/>
        <v>0</v>
      </c>
    </row>
    <row r="115" spans="1:47" ht="30" customHeight="1" x14ac:dyDescent="0.25">
      <c r="A115" s="76"/>
      <c r="B115" s="158" t="s">
        <v>2422</v>
      </c>
      <c r="C115" s="411" t="s">
        <v>1248</v>
      </c>
      <c r="D115" s="412"/>
      <c r="E115" s="408"/>
      <c r="F115" s="409"/>
      <c r="G115" s="397"/>
      <c r="H115" s="394"/>
      <c r="I115" s="162" t="s">
        <v>532</v>
      </c>
      <c r="J115" s="163"/>
      <c r="K115" s="164"/>
      <c r="L115" s="164"/>
      <c r="M115" s="164"/>
      <c r="N115" s="164"/>
      <c r="O115" s="164">
        <v>50</v>
      </c>
      <c r="P115" s="164">
        <v>20</v>
      </c>
      <c r="Q115" s="164"/>
      <c r="R115" s="164"/>
      <c r="S115" s="164"/>
      <c r="T115" s="164"/>
      <c r="U115" s="164"/>
      <c r="V115" s="164"/>
      <c r="W115" s="164"/>
      <c r="X115" s="164"/>
      <c r="Y115" s="164"/>
      <c r="Z115" s="164"/>
      <c r="AA115" s="164"/>
      <c r="AB115" s="164"/>
      <c r="AC115" s="164"/>
      <c r="AD115" s="164"/>
      <c r="AE115" s="164"/>
      <c r="AF115" s="164"/>
      <c r="AG115" s="164"/>
      <c r="AH115" s="164"/>
      <c r="AI115" s="164"/>
      <c r="AJ115" s="164"/>
      <c r="AK115" s="164"/>
      <c r="AL115" s="164"/>
      <c r="AM115" s="164"/>
      <c r="AN115" s="165"/>
      <c r="AO115" s="166">
        <f t="shared" si="38"/>
        <v>70</v>
      </c>
      <c r="AP115" s="12"/>
      <c r="AQ115" s="167">
        <f t="shared" si="51"/>
        <v>0</v>
      </c>
      <c r="AR115" s="12"/>
      <c r="AS115" s="167">
        <f t="shared" si="52"/>
        <v>0</v>
      </c>
      <c r="AT115" s="168">
        <f t="shared" si="53"/>
        <v>0</v>
      </c>
      <c r="AU115" s="167">
        <f t="shared" si="54"/>
        <v>0</v>
      </c>
    </row>
    <row r="116" spans="1:47" ht="30" customHeight="1" x14ac:dyDescent="0.25">
      <c r="A116" s="76"/>
      <c r="B116" s="158" t="s">
        <v>2423</v>
      </c>
      <c r="C116" s="411" t="s">
        <v>1249</v>
      </c>
      <c r="D116" s="412"/>
      <c r="E116" s="408"/>
      <c r="F116" s="409"/>
      <c r="G116" s="397"/>
      <c r="H116" s="394"/>
      <c r="I116" s="162" t="s">
        <v>532</v>
      </c>
      <c r="J116" s="163"/>
      <c r="K116" s="164"/>
      <c r="L116" s="164"/>
      <c r="M116" s="164"/>
      <c r="N116" s="164"/>
      <c r="O116" s="164"/>
      <c r="P116" s="164"/>
      <c r="Q116" s="164"/>
      <c r="R116" s="164"/>
      <c r="S116" s="164"/>
      <c r="T116" s="164"/>
      <c r="U116" s="164"/>
      <c r="V116" s="164"/>
      <c r="W116" s="164"/>
      <c r="X116" s="164"/>
      <c r="Y116" s="164"/>
      <c r="Z116" s="164"/>
      <c r="AA116" s="164"/>
      <c r="AB116" s="164"/>
      <c r="AC116" s="164"/>
      <c r="AD116" s="164"/>
      <c r="AE116" s="164"/>
      <c r="AF116" s="164"/>
      <c r="AG116" s="164"/>
      <c r="AH116" s="164"/>
      <c r="AI116" s="164"/>
      <c r="AJ116" s="164"/>
      <c r="AK116" s="164"/>
      <c r="AL116" s="164"/>
      <c r="AM116" s="164"/>
      <c r="AN116" s="165"/>
      <c r="AO116" s="166">
        <f t="shared" si="38"/>
        <v>0</v>
      </c>
      <c r="AP116" s="12"/>
      <c r="AQ116" s="167">
        <f t="shared" si="51"/>
        <v>0</v>
      </c>
      <c r="AR116" s="12"/>
      <c r="AS116" s="167">
        <f t="shared" si="52"/>
        <v>0</v>
      </c>
      <c r="AT116" s="168">
        <f t="shared" si="53"/>
        <v>0</v>
      </c>
      <c r="AU116" s="167">
        <f t="shared" si="54"/>
        <v>0</v>
      </c>
    </row>
    <row r="117" spans="1:47" ht="30" customHeight="1" x14ac:dyDescent="0.25">
      <c r="A117" s="76"/>
      <c r="B117" s="158" t="s">
        <v>2424</v>
      </c>
      <c r="C117" s="411" t="s">
        <v>1186</v>
      </c>
      <c r="D117" s="412"/>
      <c r="E117" s="408"/>
      <c r="F117" s="409"/>
      <c r="G117" s="397"/>
      <c r="H117" s="394"/>
      <c r="I117" s="162" t="s">
        <v>532</v>
      </c>
      <c r="J117" s="163"/>
      <c r="K117" s="164"/>
      <c r="L117" s="164"/>
      <c r="M117" s="164"/>
      <c r="N117" s="164"/>
      <c r="O117" s="164"/>
      <c r="P117" s="164"/>
      <c r="Q117" s="164"/>
      <c r="R117" s="164"/>
      <c r="S117" s="164"/>
      <c r="T117" s="164"/>
      <c r="U117" s="164"/>
      <c r="V117" s="164"/>
      <c r="W117" s="164"/>
      <c r="X117" s="164"/>
      <c r="Y117" s="164"/>
      <c r="Z117" s="164"/>
      <c r="AA117" s="164"/>
      <c r="AB117" s="164"/>
      <c r="AC117" s="164"/>
      <c r="AD117" s="164"/>
      <c r="AE117" s="164"/>
      <c r="AF117" s="164"/>
      <c r="AG117" s="164"/>
      <c r="AH117" s="164"/>
      <c r="AI117" s="164"/>
      <c r="AJ117" s="164"/>
      <c r="AK117" s="164"/>
      <c r="AL117" s="164"/>
      <c r="AM117" s="164"/>
      <c r="AN117" s="165"/>
      <c r="AO117" s="166">
        <f t="shared" si="38"/>
        <v>0</v>
      </c>
      <c r="AP117" s="12"/>
      <c r="AQ117" s="167">
        <f t="shared" si="51"/>
        <v>0</v>
      </c>
      <c r="AR117" s="12"/>
      <c r="AS117" s="167">
        <f t="shared" si="52"/>
        <v>0</v>
      </c>
      <c r="AT117" s="168">
        <f t="shared" si="53"/>
        <v>0</v>
      </c>
      <c r="AU117" s="167">
        <f t="shared" si="54"/>
        <v>0</v>
      </c>
    </row>
    <row r="118" spans="1:47" ht="30" customHeight="1" x14ac:dyDescent="0.25">
      <c r="A118" s="76"/>
      <c r="B118" s="158" t="s">
        <v>2425</v>
      </c>
      <c r="C118" s="411" t="s">
        <v>1187</v>
      </c>
      <c r="D118" s="412"/>
      <c r="E118" s="408"/>
      <c r="F118" s="409"/>
      <c r="G118" s="397"/>
      <c r="H118" s="394"/>
      <c r="I118" s="162" t="s">
        <v>532</v>
      </c>
      <c r="J118" s="163"/>
      <c r="K118" s="164"/>
      <c r="L118" s="164"/>
      <c r="M118" s="164"/>
      <c r="N118" s="164"/>
      <c r="O118" s="164"/>
      <c r="P118" s="164"/>
      <c r="Q118" s="164"/>
      <c r="R118" s="164">
        <v>35</v>
      </c>
      <c r="S118" s="164"/>
      <c r="T118" s="164">
        <v>20</v>
      </c>
      <c r="U118" s="164"/>
      <c r="V118" s="164"/>
      <c r="W118" s="164"/>
      <c r="X118" s="164">
        <v>65</v>
      </c>
      <c r="Y118" s="164"/>
      <c r="Z118" s="164"/>
      <c r="AA118" s="164">
        <v>40</v>
      </c>
      <c r="AB118" s="164">
        <v>25</v>
      </c>
      <c r="AC118" s="164"/>
      <c r="AD118" s="164"/>
      <c r="AE118" s="164"/>
      <c r="AF118" s="164"/>
      <c r="AG118" s="164"/>
      <c r="AH118" s="164"/>
      <c r="AI118" s="164"/>
      <c r="AJ118" s="164"/>
      <c r="AK118" s="164"/>
      <c r="AL118" s="164"/>
      <c r="AM118" s="164"/>
      <c r="AN118" s="165"/>
      <c r="AO118" s="166">
        <f t="shared" si="38"/>
        <v>185</v>
      </c>
      <c r="AP118" s="12"/>
      <c r="AQ118" s="167">
        <f t="shared" si="51"/>
        <v>0</v>
      </c>
      <c r="AR118" s="12"/>
      <c r="AS118" s="167">
        <f t="shared" si="52"/>
        <v>0</v>
      </c>
      <c r="AT118" s="168">
        <f t="shared" si="53"/>
        <v>0</v>
      </c>
      <c r="AU118" s="167">
        <f t="shared" si="54"/>
        <v>0</v>
      </c>
    </row>
    <row r="119" spans="1:47" ht="30" customHeight="1" x14ac:dyDescent="0.25">
      <c r="A119" s="76"/>
      <c r="B119" s="158" t="s">
        <v>2426</v>
      </c>
      <c r="C119" s="411" t="s">
        <v>1188</v>
      </c>
      <c r="D119" s="412"/>
      <c r="E119" s="408"/>
      <c r="F119" s="409"/>
      <c r="G119" s="397"/>
      <c r="H119" s="394"/>
      <c r="I119" s="162" t="s">
        <v>532</v>
      </c>
      <c r="J119" s="163"/>
      <c r="K119" s="164"/>
      <c r="L119" s="164"/>
      <c r="M119" s="164"/>
      <c r="N119" s="164"/>
      <c r="O119" s="164"/>
      <c r="P119" s="164"/>
      <c r="Q119" s="164"/>
      <c r="R119" s="164"/>
      <c r="S119" s="164"/>
      <c r="T119" s="164"/>
      <c r="U119" s="164"/>
      <c r="V119" s="164"/>
      <c r="W119" s="164"/>
      <c r="X119" s="164"/>
      <c r="Y119" s="164"/>
      <c r="Z119" s="164"/>
      <c r="AA119" s="164"/>
      <c r="AB119" s="164"/>
      <c r="AC119" s="164"/>
      <c r="AD119" s="164"/>
      <c r="AE119" s="164"/>
      <c r="AF119" s="164"/>
      <c r="AG119" s="164"/>
      <c r="AH119" s="164"/>
      <c r="AI119" s="164"/>
      <c r="AJ119" s="164"/>
      <c r="AK119" s="164"/>
      <c r="AL119" s="164"/>
      <c r="AM119" s="164"/>
      <c r="AN119" s="165"/>
      <c r="AO119" s="166">
        <f t="shared" si="38"/>
        <v>0</v>
      </c>
      <c r="AP119" s="12"/>
      <c r="AQ119" s="167">
        <f t="shared" si="51"/>
        <v>0</v>
      </c>
      <c r="AR119" s="12"/>
      <c r="AS119" s="167">
        <f t="shared" si="52"/>
        <v>0</v>
      </c>
      <c r="AT119" s="168">
        <f t="shared" si="53"/>
        <v>0</v>
      </c>
      <c r="AU119" s="167">
        <f t="shared" si="54"/>
        <v>0</v>
      </c>
    </row>
    <row r="120" spans="1:47" ht="30" customHeight="1" x14ac:dyDescent="0.25">
      <c r="A120" s="76"/>
      <c r="B120" s="158" t="s">
        <v>2427</v>
      </c>
      <c r="C120" s="411" t="s">
        <v>1189</v>
      </c>
      <c r="D120" s="412"/>
      <c r="E120" s="408"/>
      <c r="F120" s="409"/>
      <c r="G120" s="397"/>
      <c r="H120" s="394"/>
      <c r="I120" s="162" t="s">
        <v>532</v>
      </c>
      <c r="J120" s="163"/>
      <c r="K120" s="164"/>
      <c r="L120" s="164"/>
      <c r="M120" s="164"/>
      <c r="N120" s="164"/>
      <c r="O120" s="164"/>
      <c r="P120" s="164"/>
      <c r="Q120" s="164"/>
      <c r="R120" s="164"/>
      <c r="S120" s="164"/>
      <c r="T120" s="164"/>
      <c r="U120" s="164"/>
      <c r="V120" s="164"/>
      <c r="W120" s="164"/>
      <c r="X120" s="164"/>
      <c r="Y120" s="164"/>
      <c r="Z120" s="164"/>
      <c r="AA120" s="164"/>
      <c r="AB120" s="164"/>
      <c r="AC120" s="164"/>
      <c r="AD120" s="164"/>
      <c r="AE120" s="164"/>
      <c r="AF120" s="164"/>
      <c r="AG120" s="164"/>
      <c r="AH120" s="164"/>
      <c r="AI120" s="164"/>
      <c r="AJ120" s="164"/>
      <c r="AK120" s="164"/>
      <c r="AL120" s="164"/>
      <c r="AM120" s="164"/>
      <c r="AN120" s="165"/>
      <c r="AO120" s="166">
        <f t="shared" si="38"/>
        <v>0</v>
      </c>
      <c r="AP120" s="12"/>
      <c r="AQ120" s="167">
        <f t="shared" si="51"/>
        <v>0</v>
      </c>
      <c r="AR120" s="12"/>
      <c r="AS120" s="167">
        <f t="shared" si="52"/>
        <v>0</v>
      </c>
      <c r="AT120" s="168">
        <f t="shared" si="53"/>
        <v>0</v>
      </c>
      <c r="AU120" s="167">
        <f t="shared" si="54"/>
        <v>0</v>
      </c>
    </row>
    <row r="121" spans="1:47" ht="30" customHeight="1" x14ac:dyDescent="0.25">
      <c r="A121" s="76"/>
      <c r="B121" s="158" t="s">
        <v>2428</v>
      </c>
      <c r="C121" s="411" t="s">
        <v>1190</v>
      </c>
      <c r="D121" s="412"/>
      <c r="E121" s="408"/>
      <c r="F121" s="409"/>
      <c r="G121" s="397"/>
      <c r="H121" s="394"/>
      <c r="I121" s="162" t="s">
        <v>532</v>
      </c>
      <c r="J121" s="163"/>
      <c r="K121" s="164"/>
      <c r="L121" s="164"/>
      <c r="M121" s="164"/>
      <c r="N121" s="164"/>
      <c r="O121" s="164"/>
      <c r="P121" s="164"/>
      <c r="Q121" s="164"/>
      <c r="R121" s="164"/>
      <c r="S121" s="164"/>
      <c r="T121" s="164"/>
      <c r="U121" s="164"/>
      <c r="V121" s="164"/>
      <c r="W121" s="164"/>
      <c r="X121" s="164"/>
      <c r="Y121" s="164"/>
      <c r="Z121" s="164"/>
      <c r="AA121" s="164"/>
      <c r="AB121" s="164"/>
      <c r="AC121" s="164"/>
      <c r="AD121" s="164"/>
      <c r="AE121" s="164"/>
      <c r="AF121" s="164"/>
      <c r="AG121" s="164"/>
      <c r="AH121" s="164"/>
      <c r="AI121" s="164"/>
      <c r="AJ121" s="164"/>
      <c r="AK121" s="164"/>
      <c r="AL121" s="164"/>
      <c r="AM121" s="164"/>
      <c r="AN121" s="165"/>
      <c r="AO121" s="166">
        <f t="shared" si="38"/>
        <v>0</v>
      </c>
      <c r="AP121" s="12"/>
      <c r="AQ121" s="167">
        <f t="shared" si="51"/>
        <v>0</v>
      </c>
      <c r="AR121" s="12"/>
      <c r="AS121" s="167">
        <f t="shared" si="52"/>
        <v>0</v>
      </c>
      <c r="AT121" s="168">
        <f t="shared" si="53"/>
        <v>0</v>
      </c>
      <c r="AU121" s="167">
        <f t="shared" si="54"/>
        <v>0</v>
      </c>
    </row>
    <row r="122" spans="1:47" ht="30" customHeight="1" x14ac:dyDescent="0.25">
      <c r="A122" s="76"/>
      <c r="B122" s="158" t="s">
        <v>2429</v>
      </c>
      <c r="C122" s="411" t="s">
        <v>1250</v>
      </c>
      <c r="D122" s="412"/>
      <c r="E122" s="408"/>
      <c r="F122" s="409"/>
      <c r="G122" s="397"/>
      <c r="H122" s="394"/>
      <c r="I122" s="162" t="s">
        <v>532</v>
      </c>
      <c r="J122" s="163"/>
      <c r="K122" s="164"/>
      <c r="L122" s="164"/>
      <c r="M122" s="164"/>
      <c r="N122" s="164"/>
      <c r="O122" s="164">
        <v>145</v>
      </c>
      <c r="P122" s="164"/>
      <c r="Q122" s="164"/>
      <c r="R122" s="164"/>
      <c r="S122" s="164"/>
      <c r="T122" s="164"/>
      <c r="U122" s="164"/>
      <c r="V122" s="164"/>
      <c r="W122" s="164"/>
      <c r="X122" s="164"/>
      <c r="Y122" s="164"/>
      <c r="Z122" s="164"/>
      <c r="AA122" s="164"/>
      <c r="AB122" s="164"/>
      <c r="AC122" s="164"/>
      <c r="AD122" s="164"/>
      <c r="AE122" s="164"/>
      <c r="AF122" s="164"/>
      <c r="AG122" s="164"/>
      <c r="AH122" s="164"/>
      <c r="AI122" s="164"/>
      <c r="AJ122" s="164"/>
      <c r="AK122" s="164"/>
      <c r="AL122" s="164"/>
      <c r="AM122" s="164"/>
      <c r="AN122" s="165"/>
      <c r="AO122" s="166">
        <f t="shared" si="38"/>
        <v>145</v>
      </c>
      <c r="AP122" s="12"/>
      <c r="AQ122" s="167">
        <f t="shared" si="51"/>
        <v>0</v>
      </c>
      <c r="AR122" s="12"/>
      <c r="AS122" s="167">
        <f t="shared" si="52"/>
        <v>0</v>
      </c>
      <c r="AT122" s="168">
        <f t="shared" si="53"/>
        <v>0</v>
      </c>
      <c r="AU122" s="167">
        <f t="shared" si="54"/>
        <v>0</v>
      </c>
    </row>
    <row r="123" spans="1:47" ht="30" customHeight="1" x14ac:dyDescent="0.25">
      <c r="A123" s="76"/>
      <c r="B123" s="158" t="s">
        <v>2430</v>
      </c>
      <c r="C123" s="411" t="s">
        <v>1251</v>
      </c>
      <c r="D123" s="412"/>
      <c r="E123" s="408"/>
      <c r="F123" s="409"/>
      <c r="G123" s="397"/>
      <c r="H123" s="394"/>
      <c r="I123" s="162" t="s">
        <v>532</v>
      </c>
      <c r="J123" s="163"/>
      <c r="K123" s="164"/>
      <c r="L123" s="164"/>
      <c r="M123" s="164"/>
      <c r="N123" s="164"/>
      <c r="O123" s="164">
        <v>140</v>
      </c>
      <c r="P123" s="164"/>
      <c r="Q123" s="164"/>
      <c r="R123" s="164"/>
      <c r="S123" s="164"/>
      <c r="T123" s="164"/>
      <c r="U123" s="164"/>
      <c r="V123" s="164"/>
      <c r="W123" s="164"/>
      <c r="X123" s="164">
        <v>120</v>
      </c>
      <c r="Y123" s="164"/>
      <c r="Z123" s="164"/>
      <c r="AA123" s="164"/>
      <c r="AB123" s="164"/>
      <c r="AC123" s="164"/>
      <c r="AD123" s="164"/>
      <c r="AE123" s="164"/>
      <c r="AF123" s="164"/>
      <c r="AG123" s="164"/>
      <c r="AH123" s="164"/>
      <c r="AI123" s="164"/>
      <c r="AJ123" s="164"/>
      <c r="AK123" s="164"/>
      <c r="AL123" s="164"/>
      <c r="AM123" s="164"/>
      <c r="AN123" s="165"/>
      <c r="AO123" s="166">
        <f t="shared" si="38"/>
        <v>260</v>
      </c>
      <c r="AP123" s="12"/>
      <c r="AQ123" s="167">
        <f t="shared" si="51"/>
        <v>0</v>
      </c>
      <c r="AR123" s="12"/>
      <c r="AS123" s="167">
        <f t="shared" si="52"/>
        <v>0</v>
      </c>
      <c r="AT123" s="168">
        <f t="shared" si="53"/>
        <v>0</v>
      </c>
      <c r="AU123" s="167">
        <f t="shared" si="54"/>
        <v>0</v>
      </c>
    </row>
    <row r="124" spans="1:47" ht="30" customHeight="1" x14ac:dyDescent="0.25">
      <c r="A124" s="76"/>
      <c r="B124" s="158" t="s">
        <v>2431</v>
      </c>
      <c r="C124" s="411" t="s">
        <v>1252</v>
      </c>
      <c r="D124" s="412"/>
      <c r="E124" s="408"/>
      <c r="F124" s="409"/>
      <c r="G124" s="397"/>
      <c r="H124" s="394"/>
      <c r="I124" s="162" t="s">
        <v>532</v>
      </c>
      <c r="J124" s="163"/>
      <c r="K124" s="164"/>
      <c r="L124" s="164"/>
      <c r="M124" s="164"/>
      <c r="N124" s="164"/>
      <c r="O124" s="164"/>
      <c r="P124" s="164"/>
      <c r="Q124" s="164"/>
      <c r="R124" s="164"/>
      <c r="S124" s="164"/>
      <c r="T124" s="164"/>
      <c r="U124" s="164"/>
      <c r="V124" s="164"/>
      <c r="W124" s="164"/>
      <c r="X124" s="164"/>
      <c r="Y124" s="164"/>
      <c r="Z124" s="164"/>
      <c r="AA124" s="164"/>
      <c r="AB124" s="164"/>
      <c r="AC124" s="164"/>
      <c r="AD124" s="164"/>
      <c r="AE124" s="164"/>
      <c r="AF124" s="164"/>
      <c r="AG124" s="164"/>
      <c r="AH124" s="164"/>
      <c r="AI124" s="164"/>
      <c r="AJ124" s="164"/>
      <c r="AK124" s="164"/>
      <c r="AL124" s="164"/>
      <c r="AM124" s="164"/>
      <c r="AN124" s="165"/>
      <c r="AO124" s="166">
        <f t="shared" si="38"/>
        <v>0</v>
      </c>
      <c r="AP124" s="12"/>
      <c r="AQ124" s="167">
        <f t="shared" si="51"/>
        <v>0</v>
      </c>
      <c r="AR124" s="12"/>
      <c r="AS124" s="167">
        <f t="shared" si="52"/>
        <v>0</v>
      </c>
      <c r="AT124" s="168">
        <f t="shared" si="53"/>
        <v>0</v>
      </c>
      <c r="AU124" s="167">
        <f t="shared" si="54"/>
        <v>0</v>
      </c>
    </row>
    <row r="125" spans="1:47" ht="30" customHeight="1" x14ac:dyDescent="0.25">
      <c r="A125" s="76"/>
      <c r="B125" s="158" t="s">
        <v>2432</v>
      </c>
      <c r="C125" s="411" t="s">
        <v>1253</v>
      </c>
      <c r="D125" s="412"/>
      <c r="E125" s="408"/>
      <c r="F125" s="409"/>
      <c r="G125" s="397"/>
      <c r="H125" s="394"/>
      <c r="I125" s="162" t="s">
        <v>532</v>
      </c>
      <c r="J125" s="163"/>
      <c r="K125" s="164"/>
      <c r="L125" s="164"/>
      <c r="M125" s="164"/>
      <c r="N125" s="164"/>
      <c r="O125" s="164"/>
      <c r="P125" s="164"/>
      <c r="Q125" s="164"/>
      <c r="R125" s="164"/>
      <c r="S125" s="164"/>
      <c r="T125" s="164"/>
      <c r="U125" s="164"/>
      <c r="V125" s="164"/>
      <c r="W125" s="164"/>
      <c r="X125" s="164"/>
      <c r="Y125" s="164"/>
      <c r="Z125" s="164"/>
      <c r="AA125" s="164"/>
      <c r="AB125" s="164"/>
      <c r="AC125" s="164"/>
      <c r="AD125" s="164"/>
      <c r="AE125" s="164"/>
      <c r="AF125" s="164"/>
      <c r="AG125" s="164"/>
      <c r="AH125" s="164"/>
      <c r="AI125" s="164"/>
      <c r="AJ125" s="164"/>
      <c r="AK125" s="164"/>
      <c r="AL125" s="164"/>
      <c r="AM125" s="164"/>
      <c r="AN125" s="165"/>
      <c r="AO125" s="166">
        <f t="shared" si="38"/>
        <v>0</v>
      </c>
      <c r="AP125" s="12"/>
      <c r="AQ125" s="167">
        <f t="shared" si="51"/>
        <v>0</v>
      </c>
      <c r="AR125" s="12"/>
      <c r="AS125" s="167">
        <f t="shared" si="52"/>
        <v>0</v>
      </c>
      <c r="AT125" s="168">
        <f t="shared" si="53"/>
        <v>0</v>
      </c>
      <c r="AU125" s="167">
        <f t="shared" si="54"/>
        <v>0</v>
      </c>
    </row>
    <row r="126" spans="1:47" ht="30" customHeight="1" x14ac:dyDescent="0.25">
      <c r="A126" s="76"/>
      <c r="B126" s="158" t="s">
        <v>2433</v>
      </c>
      <c r="C126" s="411" t="s">
        <v>1254</v>
      </c>
      <c r="D126" s="412"/>
      <c r="E126" s="408"/>
      <c r="F126" s="409"/>
      <c r="G126" s="397"/>
      <c r="H126" s="394"/>
      <c r="I126" s="162" t="s">
        <v>532</v>
      </c>
      <c r="J126" s="163"/>
      <c r="K126" s="164"/>
      <c r="L126" s="164"/>
      <c r="M126" s="164"/>
      <c r="N126" s="164"/>
      <c r="O126" s="164"/>
      <c r="P126" s="164"/>
      <c r="Q126" s="164"/>
      <c r="R126" s="164"/>
      <c r="S126" s="164"/>
      <c r="T126" s="164"/>
      <c r="U126" s="164"/>
      <c r="V126" s="164"/>
      <c r="W126" s="164"/>
      <c r="X126" s="164"/>
      <c r="Y126" s="164"/>
      <c r="Z126" s="164"/>
      <c r="AA126" s="164"/>
      <c r="AB126" s="164"/>
      <c r="AC126" s="164"/>
      <c r="AD126" s="164"/>
      <c r="AE126" s="164"/>
      <c r="AF126" s="164"/>
      <c r="AG126" s="164"/>
      <c r="AH126" s="164"/>
      <c r="AI126" s="164"/>
      <c r="AJ126" s="164"/>
      <c r="AK126" s="164"/>
      <c r="AL126" s="164"/>
      <c r="AM126" s="164"/>
      <c r="AN126" s="165"/>
      <c r="AO126" s="166">
        <f t="shared" si="38"/>
        <v>0</v>
      </c>
      <c r="AP126" s="12"/>
      <c r="AQ126" s="167">
        <f t="shared" si="51"/>
        <v>0</v>
      </c>
      <c r="AR126" s="12"/>
      <c r="AS126" s="167">
        <f t="shared" si="52"/>
        <v>0</v>
      </c>
      <c r="AT126" s="168">
        <f t="shared" si="53"/>
        <v>0</v>
      </c>
      <c r="AU126" s="167">
        <f t="shared" si="54"/>
        <v>0</v>
      </c>
    </row>
    <row r="127" spans="1:47" ht="30" customHeight="1" x14ac:dyDescent="0.25">
      <c r="A127" s="76"/>
      <c r="B127" s="158" t="s">
        <v>2434</v>
      </c>
      <c r="C127" s="411" t="s">
        <v>1255</v>
      </c>
      <c r="D127" s="412"/>
      <c r="E127" s="408"/>
      <c r="F127" s="409"/>
      <c r="G127" s="397"/>
      <c r="H127" s="394"/>
      <c r="I127" s="162" t="s">
        <v>532</v>
      </c>
      <c r="J127" s="163"/>
      <c r="K127" s="164"/>
      <c r="L127" s="164"/>
      <c r="M127" s="164"/>
      <c r="N127" s="164"/>
      <c r="O127" s="164">
        <v>0</v>
      </c>
      <c r="P127" s="164"/>
      <c r="Q127" s="164"/>
      <c r="R127" s="164"/>
      <c r="S127" s="164"/>
      <c r="T127" s="164"/>
      <c r="U127" s="164"/>
      <c r="V127" s="164"/>
      <c r="W127" s="164"/>
      <c r="X127" s="164"/>
      <c r="Y127" s="164"/>
      <c r="Z127" s="164"/>
      <c r="AA127" s="164"/>
      <c r="AB127" s="164"/>
      <c r="AC127" s="164"/>
      <c r="AD127" s="164"/>
      <c r="AE127" s="164"/>
      <c r="AF127" s="164"/>
      <c r="AG127" s="164"/>
      <c r="AH127" s="164"/>
      <c r="AI127" s="164"/>
      <c r="AJ127" s="164"/>
      <c r="AK127" s="164"/>
      <c r="AL127" s="164"/>
      <c r="AM127" s="164"/>
      <c r="AN127" s="165"/>
      <c r="AO127" s="166">
        <f t="shared" si="38"/>
        <v>0</v>
      </c>
      <c r="AP127" s="12"/>
      <c r="AQ127" s="167">
        <f t="shared" si="51"/>
        <v>0</v>
      </c>
      <c r="AR127" s="12"/>
      <c r="AS127" s="167">
        <f t="shared" si="52"/>
        <v>0</v>
      </c>
      <c r="AT127" s="168">
        <f t="shared" si="53"/>
        <v>0</v>
      </c>
      <c r="AU127" s="167">
        <f t="shared" si="54"/>
        <v>0</v>
      </c>
    </row>
    <row r="128" spans="1:47" ht="30" customHeight="1" x14ac:dyDescent="0.25">
      <c r="A128" s="76"/>
      <c r="B128" s="158" t="s">
        <v>2435</v>
      </c>
      <c r="C128" s="411" t="s">
        <v>1256</v>
      </c>
      <c r="D128" s="412"/>
      <c r="E128" s="408"/>
      <c r="F128" s="409"/>
      <c r="G128" s="397"/>
      <c r="H128" s="394"/>
      <c r="I128" s="162" t="s">
        <v>532</v>
      </c>
      <c r="J128" s="163"/>
      <c r="K128" s="164"/>
      <c r="L128" s="164"/>
      <c r="M128" s="164"/>
      <c r="N128" s="164"/>
      <c r="O128" s="164"/>
      <c r="P128" s="164"/>
      <c r="Q128" s="164"/>
      <c r="R128" s="164"/>
      <c r="S128" s="164"/>
      <c r="T128" s="164"/>
      <c r="U128" s="164"/>
      <c r="V128" s="164"/>
      <c r="W128" s="164"/>
      <c r="X128" s="164"/>
      <c r="Y128" s="164"/>
      <c r="Z128" s="164"/>
      <c r="AA128" s="164"/>
      <c r="AB128" s="164"/>
      <c r="AC128" s="164"/>
      <c r="AD128" s="164"/>
      <c r="AE128" s="164"/>
      <c r="AF128" s="164"/>
      <c r="AG128" s="164"/>
      <c r="AH128" s="164"/>
      <c r="AI128" s="164"/>
      <c r="AJ128" s="164"/>
      <c r="AK128" s="164"/>
      <c r="AL128" s="164"/>
      <c r="AM128" s="164"/>
      <c r="AN128" s="165"/>
      <c r="AO128" s="166">
        <f t="shared" si="38"/>
        <v>0</v>
      </c>
      <c r="AP128" s="12"/>
      <c r="AQ128" s="167">
        <f t="shared" si="51"/>
        <v>0</v>
      </c>
      <c r="AR128" s="12"/>
      <c r="AS128" s="167">
        <f t="shared" si="52"/>
        <v>0</v>
      </c>
      <c r="AT128" s="168">
        <f t="shared" si="53"/>
        <v>0</v>
      </c>
      <c r="AU128" s="167">
        <f t="shared" si="54"/>
        <v>0</v>
      </c>
    </row>
    <row r="129" spans="1:47" ht="30" customHeight="1" x14ac:dyDescent="0.25">
      <c r="A129" s="76"/>
      <c r="B129" s="158" t="s">
        <v>2436</v>
      </c>
      <c r="C129" s="411" t="s">
        <v>1191</v>
      </c>
      <c r="D129" s="412"/>
      <c r="E129" s="408"/>
      <c r="F129" s="409"/>
      <c r="G129" s="397"/>
      <c r="H129" s="394"/>
      <c r="I129" s="162" t="s">
        <v>532</v>
      </c>
      <c r="J129" s="163"/>
      <c r="K129" s="164"/>
      <c r="L129" s="164"/>
      <c r="M129" s="164"/>
      <c r="N129" s="164"/>
      <c r="O129" s="164"/>
      <c r="P129" s="164"/>
      <c r="Q129" s="164"/>
      <c r="R129" s="164"/>
      <c r="S129" s="164"/>
      <c r="T129" s="164"/>
      <c r="U129" s="164"/>
      <c r="V129" s="164"/>
      <c r="W129" s="164"/>
      <c r="X129" s="164"/>
      <c r="Y129" s="164"/>
      <c r="Z129" s="164"/>
      <c r="AA129" s="164"/>
      <c r="AB129" s="164"/>
      <c r="AC129" s="164"/>
      <c r="AD129" s="164"/>
      <c r="AE129" s="164"/>
      <c r="AF129" s="164"/>
      <c r="AG129" s="164"/>
      <c r="AH129" s="164"/>
      <c r="AI129" s="164"/>
      <c r="AJ129" s="164"/>
      <c r="AK129" s="164"/>
      <c r="AL129" s="164"/>
      <c r="AM129" s="164"/>
      <c r="AN129" s="165"/>
      <c r="AO129" s="166">
        <f t="shared" si="38"/>
        <v>0</v>
      </c>
      <c r="AP129" s="12"/>
      <c r="AQ129" s="167">
        <f t="shared" si="51"/>
        <v>0</v>
      </c>
      <c r="AR129" s="12"/>
      <c r="AS129" s="167">
        <f t="shared" si="52"/>
        <v>0</v>
      </c>
      <c r="AT129" s="168">
        <f t="shared" si="53"/>
        <v>0</v>
      </c>
      <c r="AU129" s="167">
        <f t="shared" si="54"/>
        <v>0</v>
      </c>
    </row>
    <row r="130" spans="1:47" ht="30" customHeight="1" x14ac:dyDescent="0.25">
      <c r="A130" s="76"/>
      <c r="B130" s="158" t="s">
        <v>2437</v>
      </c>
      <c r="C130" s="411" t="s">
        <v>1192</v>
      </c>
      <c r="D130" s="412"/>
      <c r="E130" s="408"/>
      <c r="F130" s="409"/>
      <c r="G130" s="397"/>
      <c r="H130" s="394"/>
      <c r="I130" s="162" t="s">
        <v>532</v>
      </c>
      <c r="J130" s="163"/>
      <c r="K130" s="164"/>
      <c r="L130" s="164"/>
      <c r="M130" s="164"/>
      <c r="N130" s="164"/>
      <c r="O130" s="164"/>
      <c r="P130" s="164"/>
      <c r="Q130" s="164"/>
      <c r="R130" s="164"/>
      <c r="S130" s="164"/>
      <c r="T130" s="164"/>
      <c r="U130" s="164"/>
      <c r="V130" s="164"/>
      <c r="W130" s="164"/>
      <c r="X130" s="164"/>
      <c r="Y130" s="164"/>
      <c r="Z130" s="164"/>
      <c r="AA130" s="164"/>
      <c r="AB130" s="164"/>
      <c r="AC130" s="164"/>
      <c r="AD130" s="164"/>
      <c r="AE130" s="164"/>
      <c r="AF130" s="164"/>
      <c r="AG130" s="164"/>
      <c r="AH130" s="164"/>
      <c r="AI130" s="164"/>
      <c r="AJ130" s="164"/>
      <c r="AK130" s="164"/>
      <c r="AL130" s="164"/>
      <c r="AM130" s="164"/>
      <c r="AN130" s="165"/>
      <c r="AO130" s="166">
        <f t="shared" si="38"/>
        <v>0</v>
      </c>
      <c r="AP130" s="12"/>
      <c r="AQ130" s="167">
        <f t="shared" si="51"/>
        <v>0</v>
      </c>
      <c r="AR130" s="12"/>
      <c r="AS130" s="167">
        <f t="shared" si="52"/>
        <v>0</v>
      </c>
      <c r="AT130" s="168">
        <f t="shared" si="53"/>
        <v>0</v>
      </c>
      <c r="AU130" s="167">
        <f t="shared" si="54"/>
        <v>0</v>
      </c>
    </row>
    <row r="131" spans="1:47" ht="30" customHeight="1" x14ac:dyDescent="0.25">
      <c r="A131" s="76"/>
      <c r="B131" s="158" t="s">
        <v>2438</v>
      </c>
      <c r="C131" s="411" t="s">
        <v>1193</v>
      </c>
      <c r="D131" s="412"/>
      <c r="E131" s="408"/>
      <c r="F131" s="409"/>
      <c r="G131" s="397"/>
      <c r="H131" s="394"/>
      <c r="I131" s="162" t="s">
        <v>532</v>
      </c>
      <c r="J131" s="163"/>
      <c r="K131" s="164"/>
      <c r="L131" s="164"/>
      <c r="M131" s="164"/>
      <c r="N131" s="164"/>
      <c r="O131" s="164"/>
      <c r="P131" s="164"/>
      <c r="Q131" s="164"/>
      <c r="R131" s="164">
        <v>40</v>
      </c>
      <c r="S131" s="164">
        <v>15</v>
      </c>
      <c r="T131" s="164">
        <v>65</v>
      </c>
      <c r="U131" s="164"/>
      <c r="V131" s="164"/>
      <c r="W131" s="164"/>
      <c r="X131" s="164"/>
      <c r="Y131" s="164"/>
      <c r="Z131" s="164"/>
      <c r="AA131" s="164"/>
      <c r="AB131" s="164">
        <v>25</v>
      </c>
      <c r="AC131" s="164"/>
      <c r="AD131" s="164"/>
      <c r="AE131" s="164"/>
      <c r="AF131" s="164"/>
      <c r="AG131" s="164"/>
      <c r="AH131" s="164"/>
      <c r="AI131" s="164"/>
      <c r="AJ131" s="164"/>
      <c r="AK131" s="164"/>
      <c r="AL131" s="164"/>
      <c r="AM131" s="164"/>
      <c r="AN131" s="165"/>
      <c r="AO131" s="166">
        <f t="shared" si="38"/>
        <v>145</v>
      </c>
      <c r="AP131" s="12"/>
      <c r="AQ131" s="167">
        <f t="shared" si="51"/>
        <v>0</v>
      </c>
      <c r="AR131" s="12"/>
      <c r="AS131" s="167">
        <f t="shared" si="52"/>
        <v>0</v>
      </c>
      <c r="AT131" s="168">
        <f t="shared" si="53"/>
        <v>0</v>
      </c>
      <c r="AU131" s="167">
        <f t="shared" si="54"/>
        <v>0</v>
      </c>
    </row>
    <row r="132" spans="1:47" ht="30" customHeight="1" x14ac:dyDescent="0.25">
      <c r="A132" s="76"/>
      <c r="B132" s="158" t="s">
        <v>2439</v>
      </c>
      <c r="C132" s="411" t="s">
        <v>1194</v>
      </c>
      <c r="D132" s="412"/>
      <c r="E132" s="408"/>
      <c r="F132" s="409"/>
      <c r="G132" s="397"/>
      <c r="H132" s="394"/>
      <c r="I132" s="162" t="s">
        <v>532</v>
      </c>
      <c r="J132" s="163"/>
      <c r="K132" s="164"/>
      <c r="L132" s="164"/>
      <c r="M132" s="164"/>
      <c r="N132" s="164"/>
      <c r="O132" s="164">
        <v>60</v>
      </c>
      <c r="P132" s="164"/>
      <c r="Q132" s="164"/>
      <c r="R132" s="164"/>
      <c r="S132" s="164">
        <v>15</v>
      </c>
      <c r="T132" s="164">
        <v>15</v>
      </c>
      <c r="U132" s="164"/>
      <c r="V132" s="164"/>
      <c r="W132" s="164">
        <v>230</v>
      </c>
      <c r="X132" s="164">
        <v>495</v>
      </c>
      <c r="Y132" s="164"/>
      <c r="Z132" s="164"/>
      <c r="AA132" s="164">
        <v>25</v>
      </c>
      <c r="AB132" s="164"/>
      <c r="AC132" s="164">
        <v>10</v>
      </c>
      <c r="AD132" s="164"/>
      <c r="AE132" s="164"/>
      <c r="AF132" s="164">
        <v>20</v>
      </c>
      <c r="AG132" s="164">
        <v>450</v>
      </c>
      <c r="AH132" s="164"/>
      <c r="AI132" s="164"/>
      <c r="AJ132" s="164"/>
      <c r="AK132" s="164"/>
      <c r="AL132" s="164"/>
      <c r="AM132" s="164"/>
      <c r="AN132" s="165"/>
      <c r="AO132" s="166">
        <f t="shared" si="38"/>
        <v>1320</v>
      </c>
      <c r="AP132" s="12"/>
      <c r="AQ132" s="167">
        <f t="shared" si="51"/>
        <v>0</v>
      </c>
      <c r="AR132" s="12"/>
      <c r="AS132" s="167">
        <f t="shared" si="52"/>
        <v>0</v>
      </c>
      <c r="AT132" s="168">
        <f t="shared" si="53"/>
        <v>0</v>
      </c>
      <c r="AU132" s="167">
        <f t="shared" si="54"/>
        <v>0</v>
      </c>
    </row>
    <row r="133" spans="1:47" ht="30" customHeight="1" x14ac:dyDescent="0.25">
      <c r="A133" s="76"/>
      <c r="B133" s="158" t="s">
        <v>2440</v>
      </c>
      <c r="C133" s="411" t="s">
        <v>1195</v>
      </c>
      <c r="D133" s="412"/>
      <c r="E133" s="408"/>
      <c r="F133" s="409"/>
      <c r="G133" s="397"/>
      <c r="H133" s="394"/>
      <c r="I133" s="162" t="s">
        <v>532</v>
      </c>
      <c r="J133" s="163"/>
      <c r="K133" s="164"/>
      <c r="L133" s="164"/>
      <c r="M133" s="164"/>
      <c r="N133" s="164"/>
      <c r="O133" s="164">
        <v>315</v>
      </c>
      <c r="P133" s="164"/>
      <c r="Q133" s="164"/>
      <c r="R133" s="164"/>
      <c r="S133" s="164"/>
      <c r="T133" s="164"/>
      <c r="U133" s="164"/>
      <c r="V133" s="164"/>
      <c r="W133" s="164">
        <v>510</v>
      </c>
      <c r="X133" s="164">
        <v>340</v>
      </c>
      <c r="Y133" s="164"/>
      <c r="Z133" s="164"/>
      <c r="AA133" s="164"/>
      <c r="AB133" s="164"/>
      <c r="AC133" s="164"/>
      <c r="AD133" s="164"/>
      <c r="AE133" s="164"/>
      <c r="AF133" s="164"/>
      <c r="AG133" s="164"/>
      <c r="AH133" s="164"/>
      <c r="AI133" s="164"/>
      <c r="AJ133" s="164"/>
      <c r="AK133" s="164"/>
      <c r="AL133" s="164"/>
      <c r="AM133" s="164"/>
      <c r="AN133" s="165"/>
      <c r="AO133" s="166">
        <f t="shared" si="38"/>
        <v>1165</v>
      </c>
      <c r="AP133" s="12"/>
      <c r="AQ133" s="167">
        <f t="shared" si="51"/>
        <v>0</v>
      </c>
      <c r="AR133" s="12"/>
      <c r="AS133" s="167">
        <f t="shared" si="52"/>
        <v>0</v>
      </c>
      <c r="AT133" s="168">
        <f t="shared" si="53"/>
        <v>0</v>
      </c>
      <c r="AU133" s="167">
        <f t="shared" si="54"/>
        <v>0</v>
      </c>
    </row>
    <row r="134" spans="1:47" ht="30" customHeight="1" x14ac:dyDescent="0.25">
      <c r="A134" s="76"/>
      <c r="B134" s="158" t="s">
        <v>2441</v>
      </c>
      <c r="C134" s="411" t="s">
        <v>1257</v>
      </c>
      <c r="D134" s="412"/>
      <c r="E134" s="408"/>
      <c r="F134" s="409"/>
      <c r="G134" s="397"/>
      <c r="H134" s="394"/>
      <c r="I134" s="162" t="s">
        <v>532</v>
      </c>
      <c r="J134" s="163"/>
      <c r="K134" s="164"/>
      <c r="L134" s="164"/>
      <c r="M134" s="164"/>
      <c r="N134" s="164"/>
      <c r="O134" s="164"/>
      <c r="P134" s="164"/>
      <c r="Q134" s="164"/>
      <c r="R134" s="164"/>
      <c r="S134" s="164"/>
      <c r="T134" s="164"/>
      <c r="U134" s="164"/>
      <c r="V134" s="164"/>
      <c r="W134" s="164"/>
      <c r="X134" s="164"/>
      <c r="Y134" s="164"/>
      <c r="Z134" s="164"/>
      <c r="AA134" s="164"/>
      <c r="AB134" s="164"/>
      <c r="AC134" s="164"/>
      <c r="AD134" s="164"/>
      <c r="AE134" s="164"/>
      <c r="AF134" s="164"/>
      <c r="AG134" s="164"/>
      <c r="AH134" s="164"/>
      <c r="AI134" s="164"/>
      <c r="AJ134" s="164"/>
      <c r="AK134" s="164"/>
      <c r="AL134" s="164"/>
      <c r="AM134" s="164"/>
      <c r="AN134" s="165"/>
      <c r="AO134" s="166">
        <f t="shared" si="38"/>
        <v>0</v>
      </c>
      <c r="AP134" s="12"/>
      <c r="AQ134" s="167">
        <f t="shared" si="51"/>
        <v>0</v>
      </c>
      <c r="AR134" s="12"/>
      <c r="AS134" s="167">
        <f t="shared" si="52"/>
        <v>0</v>
      </c>
      <c r="AT134" s="168">
        <f t="shared" si="53"/>
        <v>0</v>
      </c>
      <c r="AU134" s="167">
        <f t="shared" si="54"/>
        <v>0</v>
      </c>
    </row>
    <row r="135" spans="1:47" ht="30" customHeight="1" x14ac:dyDescent="0.25">
      <c r="A135" s="76"/>
      <c r="B135" s="158" t="s">
        <v>2442</v>
      </c>
      <c r="C135" s="411" t="s">
        <v>1196</v>
      </c>
      <c r="D135" s="412"/>
      <c r="E135" s="408"/>
      <c r="F135" s="409"/>
      <c r="G135" s="397"/>
      <c r="H135" s="394"/>
      <c r="I135" s="162" t="s">
        <v>532</v>
      </c>
      <c r="J135" s="163"/>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c r="AH135" s="164"/>
      <c r="AI135" s="164"/>
      <c r="AJ135" s="164"/>
      <c r="AK135" s="164"/>
      <c r="AL135" s="164"/>
      <c r="AM135" s="164"/>
      <c r="AN135" s="165"/>
      <c r="AO135" s="166">
        <f t="shared" si="38"/>
        <v>0</v>
      </c>
      <c r="AP135" s="12"/>
      <c r="AQ135" s="167">
        <f t="shared" si="51"/>
        <v>0</v>
      </c>
      <c r="AR135" s="12"/>
      <c r="AS135" s="167">
        <f t="shared" si="52"/>
        <v>0</v>
      </c>
      <c r="AT135" s="168">
        <f t="shared" si="53"/>
        <v>0</v>
      </c>
      <c r="AU135" s="167">
        <f t="shared" si="54"/>
        <v>0</v>
      </c>
    </row>
    <row r="136" spans="1:47" ht="30" customHeight="1" x14ac:dyDescent="0.25">
      <c r="A136" s="76"/>
      <c r="B136" s="169" t="s">
        <v>2443</v>
      </c>
      <c r="C136" s="170" t="s">
        <v>1258</v>
      </c>
      <c r="D136" s="171"/>
      <c r="E136" s="400"/>
      <c r="F136" s="402"/>
      <c r="G136" s="398"/>
      <c r="H136" s="395"/>
      <c r="I136" s="173" t="s">
        <v>532</v>
      </c>
      <c r="J136" s="174"/>
      <c r="K136" s="175"/>
      <c r="L136" s="175"/>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N136" s="176"/>
      <c r="AO136" s="177">
        <f t="shared" si="38"/>
        <v>0</v>
      </c>
      <c r="AP136" s="14"/>
      <c r="AQ136" s="178">
        <f t="shared" si="51"/>
        <v>0</v>
      </c>
      <c r="AR136" s="14"/>
      <c r="AS136" s="178">
        <f t="shared" si="52"/>
        <v>0</v>
      </c>
      <c r="AT136" s="179">
        <f t="shared" si="53"/>
        <v>0</v>
      </c>
      <c r="AU136" s="178">
        <f t="shared" si="54"/>
        <v>0</v>
      </c>
    </row>
    <row r="137" spans="1:47" ht="30" customHeight="1" x14ac:dyDescent="0.25">
      <c r="A137" s="76"/>
      <c r="B137" s="148" t="s">
        <v>212</v>
      </c>
      <c r="C137" s="406" t="s">
        <v>1226</v>
      </c>
      <c r="D137" s="407"/>
      <c r="E137" s="399" t="s">
        <v>1273</v>
      </c>
      <c r="F137" s="401" t="s">
        <v>1214</v>
      </c>
      <c r="G137" s="424" t="s">
        <v>1079</v>
      </c>
      <c r="H137" s="403" t="s">
        <v>1079</v>
      </c>
      <c r="I137" s="151" t="s">
        <v>532</v>
      </c>
      <c r="J137" s="152"/>
      <c r="K137" s="153"/>
      <c r="L137" s="153"/>
      <c r="M137" s="153"/>
      <c r="N137" s="153"/>
      <c r="O137" s="153"/>
      <c r="P137" s="153"/>
      <c r="Q137" s="153"/>
      <c r="R137" s="153"/>
      <c r="S137" s="153"/>
      <c r="T137" s="153"/>
      <c r="U137" s="153"/>
      <c r="V137" s="153"/>
      <c r="W137" s="153"/>
      <c r="X137" s="153"/>
      <c r="Y137" s="153"/>
      <c r="Z137" s="153"/>
      <c r="AA137" s="153"/>
      <c r="AB137" s="153"/>
      <c r="AC137" s="153"/>
      <c r="AD137" s="153"/>
      <c r="AE137" s="153"/>
      <c r="AF137" s="153"/>
      <c r="AG137" s="153"/>
      <c r="AH137" s="153"/>
      <c r="AI137" s="153"/>
      <c r="AJ137" s="153"/>
      <c r="AK137" s="153"/>
      <c r="AL137" s="153"/>
      <c r="AM137" s="153"/>
      <c r="AN137" s="154"/>
      <c r="AO137" s="155">
        <f t="shared" si="38"/>
        <v>0</v>
      </c>
      <c r="AP137" s="13"/>
      <c r="AQ137" s="156">
        <f t="shared" si="51"/>
        <v>0</v>
      </c>
      <c r="AR137" s="13"/>
      <c r="AS137" s="156">
        <f t="shared" si="52"/>
        <v>0</v>
      </c>
      <c r="AT137" s="157">
        <f t="shared" si="53"/>
        <v>0</v>
      </c>
      <c r="AU137" s="156">
        <f t="shared" si="54"/>
        <v>0</v>
      </c>
    </row>
    <row r="138" spans="1:47" ht="30" customHeight="1" x14ac:dyDescent="0.25">
      <c r="A138" s="76"/>
      <c r="B138" s="158" t="s">
        <v>213</v>
      </c>
      <c r="C138" s="411" t="s">
        <v>1227</v>
      </c>
      <c r="D138" s="412"/>
      <c r="E138" s="408"/>
      <c r="F138" s="409"/>
      <c r="G138" s="397"/>
      <c r="H138" s="394"/>
      <c r="I138" s="162" t="s">
        <v>532</v>
      </c>
      <c r="J138" s="163"/>
      <c r="K138" s="164"/>
      <c r="L138" s="164"/>
      <c r="M138" s="164"/>
      <c r="N138" s="164"/>
      <c r="O138" s="164"/>
      <c r="P138" s="164"/>
      <c r="Q138" s="164"/>
      <c r="R138" s="164"/>
      <c r="S138" s="164"/>
      <c r="T138" s="164"/>
      <c r="U138" s="164"/>
      <c r="V138" s="164"/>
      <c r="W138" s="164"/>
      <c r="X138" s="164"/>
      <c r="Y138" s="164"/>
      <c r="Z138" s="164"/>
      <c r="AA138" s="164"/>
      <c r="AB138" s="164"/>
      <c r="AC138" s="164"/>
      <c r="AD138" s="164"/>
      <c r="AE138" s="164"/>
      <c r="AF138" s="164"/>
      <c r="AG138" s="164"/>
      <c r="AH138" s="164"/>
      <c r="AI138" s="164"/>
      <c r="AJ138" s="164"/>
      <c r="AK138" s="164"/>
      <c r="AL138" s="164"/>
      <c r="AM138" s="164"/>
      <c r="AN138" s="165"/>
      <c r="AO138" s="166">
        <f t="shared" si="38"/>
        <v>0</v>
      </c>
      <c r="AP138" s="12"/>
      <c r="AQ138" s="167">
        <f t="shared" si="51"/>
        <v>0</v>
      </c>
      <c r="AR138" s="12"/>
      <c r="AS138" s="167">
        <f t="shared" si="52"/>
        <v>0</v>
      </c>
      <c r="AT138" s="168">
        <f t="shared" si="53"/>
        <v>0</v>
      </c>
      <c r="AU138" s="167">
        <f t="shared" si="54"/>
        <v>0</v>
      </c>
    </row>
    <row r="139" spans="1:47" ht="30" customHeight="1" x14ac:dyDescent="0.25">
      <c r="A139" s="76"/>
      <c r="B139" s="158" t="s">
        <v>1260</v>
      </c>
      <c r="C139" s="411" t="s">
        <v>1228</v>
      </c>
      <c r="D139" s="412"/>
      <c r="E139" s="408"/>
      <c r="F139" s="409"/>
      <c r="G139" s="397"/>
      <c r="H139" s="394"/>
      <c r="I139" s="162" t="s">
        <v>532</v>
      </c>
      <c r="J139" s="163"/>
      <c r="K139" s="164"/>
      <c r="L139" s="164"/>
      <c r="M139" s="164"/>
      <c r="N139" s="164"/>
      <c r="O139" s="164"/>
      <c r="P139" s="164"/>
      <c r="Q139" s="164"/>
      <c r="R139" s="164"/>
      <c r="S139" s="164"/>
      <c r="T139" s="164"/>
      <c r="U139" s="164"/>
      <c r="V139" s="164"/>
      <c r="W139" s="164"/>
      <c r="X139" s="164"/>
      <c r="Y139" s="164"/>
      <c r="Z139" s="164"/>
      <c r="AA139" s="164"/>
      <c r="AB139" s="164"/>
      <c r="AC139" s="164"/>
      <c r="AD139" s="164"/>
      <c r="AE139" s="164"/>
      <c r="AF139" s="164"/>
      <c r="AG139" s="164"/>
      <c r="AH139" s="164"/>
      <c r="AI139" s="164"/>
      <c r="AJ139" s="164"/>
      <c r="AK139" s="164"/>
      <c r="AL139" s="164"/>
      <c r="AM139" s="164"/>
      <c r="AN139" s="165"/>
      <c r="AO139" s="166">
        <f t="shared" ref="AO139:AO200" si="55">SUM(J139:AN139)</f>
        <v>0</v>
      </c>
      <c r="AP139" s="12"/>
      <c r="AQ139" s="167">
        <f t="shared" ref="AQ139:AQ153" si="56">+AP139*AO139</f>
        <v>0</v>
      </c>
      <c r="AR139" s="12"/>
      <c r="AS139" s="167">
        <f t="shared" ref="AS139:AS153" si="57">+AR139*AO139</f>
        <v>0</v>
      </c>
      <c r="AT139" s="168">
        <f t="shared" ref="AT139:AT153" si="58">+AR139+AP139</f>
        <v>0</v>
      </c>
      <c r="AU139" s="167">
        <f t="shared" ref="AU139:AU153" si="59">+AT139*AO139</f>
        <v>0</v>
      </c>
    </row>
    <row r="140" spans="1:47" ht="30" customHeight="1" x14ac:dyDescent="0.25">
      <c r="A140" s="76"/>
      <c r="B140" s="158" t="s">
        <v>1261</v>
      </c>
      <c r="C140" s="411" t="s">
        <v>1229</v>
      </c>
      <c r="D140" s="412"/>
      <c r="E140" s="408"/>
      <c r="F140" s="409"/>
      <c r="G140" s="397"/>
      <c r="H140" s="394"/>
      <c r="I140" s="162" t="s">
        <v>532</v>
      </c>
      <c r="J140" s="163"/>
      <c r="K140" s="164"/>
      <c r="L140" s="164"/>
      <c r="M140" s="164"/>
      <c r="N140" s="164"/>
      <c r="O140" s="164"/>
      <c r="P140" s="164"/>
      <c r="Q140" s="164"/>
      <c r="R140" s="164"/>
      <c r="S140" s="164"/>
      <c r="T140" s="164"/>
      <c r="U140" s="164"/>
      <c r="V140" s="164"/>
      <c r="W140" s="164"/>
      <c r="X140" s="164"/>
      <c r="Y140" s="164"/>
      <c r="Z140" s="164"/>
      <c r="AA140" s="164"/>
      <c r="AB140" s="164"/>
      <c r="AC140" s="164"/>
      <c r="AD140" s="164"/>
      <c r="AE140" s="164"/>
      <c r="AF140" s="164"/>
      <c r="AG140" s="164"/>
      <c r="AH140" s="164"/>
      <c r="AI140" s="164"/>
      <c r="AJ140" s="164"/>
      <c r="AK140" s="164"/>
      <c r="AL140" s="164"/>
      <c r="AM140" s="164"/>
      <c r="AN140" s="165"/>
      <c r="AO140" s="166">
        <f t="shared" si="55"/>
        <v>0</v>
      </c>
      <c r="AP140" s="12"/>
      <c r="AQ140" s="167">
        <f t="shared" si="56"/>
        <v>0</v>
      </c>
      <c r="AR140" s="12"/>
      <c r="AS140" s="167">
        <f t="shared" si="57"/>
        <v>0</v>
      </c>
      <c r="AT140" s="168">
        <f t="shared" si="58"/>
        <v>0</v>
      </c>
      <c r="AU140" s="167">
        <f t="shared" si="59"/>
        <v>0</v>
      </c>
    </row>
    <row r="141" spans="1:47" ht="30" customHeight="1" x14ac:dyDescent="0.25">
      <c r="A141" s="76"/>
      <c r="B141" s="158" t="s">
        <v>1262</v>
      </c>
      <c r="C141" s="411" t="s">
        <v>1230</v>
      </c>
      <c r="D141" s="412"/>
      <c r="E141" s="408"/>
      <c r="F141" s="409"/>
      <c r="G141" s="397"/>
      <c r="H141" s="394"/>
      <c r="I141" s="162" t="s">
        <v>532</v>
      </c>
      <c r="J141" s="163"/>
      <c r="K141" s="164"/>
      <c r="L141" s="164"/>
      <c r="M141" s="164"/>
      <c r="N141" s="164"/>
      <c r="O141" s="164"/>
      <c r="P141" s="164"/>
      <c r="Q141" s="164"/>
      <c r="R141" s="164"/>
      <c r="S141" s="164"/>
      <c r="T141" s="164"/>
      <c r="U141" s="164"/>
      <c r="V141" s="164"/>
      <c r="W141" s="164"/>
      <c r="X141" s="164"/>
      <c r="Y141" s="164"/>
      <c r="Z141" s="164"/>
      <c r="AA141" s="164"/>
      <c r="AB141" s="164"/>
      <c r="AC141" s="164"/>
      <c r="AD141" s="164"/>
      <c r="AE141" s="164"/>
      <c r="AF141" s="164"/>
      <c r="AG141" s="164"/>
      <c r="AH141" s="164"/>
      <c r="AI141" s="164"/>
      <c r="AJ141" s="164"/>
      <c r="AK141" s="164"/>
      <c r="AL141" s="164"/>
      <c r="AM141" s="164"/>
      <c r="AN141" s="165"/>
      <c r="AO141" s="166">
        <f t="shared" si="55"/>
        <v>0</v>
      </c>
      <c r="AP141" s="12"/>
      <c r="AQ141" s="167">
        <f t="shared" si="56"/>
        <v>0</v>
      </c>
      <c r="AR141" s="12"/>
      <c r="AS141" s="167">
        <f t="shared" si="57"/>
        <v>0</v>
      </c>
      <c r="AT141" s="168">
        <f t="shared" si="58"/>
        <v>0</v>
      </c>
      <c r="AU141" s="167">
        <f t="shared" si="59"/>
        <v>0</v>
      </c>
    </row>
    <row r="142" spans="1:47" ht="30" customHeight="1" x14ac:dyDescent="0.25">
      <c r="A142" s="76"/>
      <c r="B142" s="158" t="s">
        <v>1263</v>
      </c>
      <c r="C142" s="411" t="s">
        <v>1231</v>
      </c>
      <c r="D142" s="412"/>
      <c r="E142" s="408"/>
      <c r="F142" s="409"/>
      <c r="G142" s="397"/>
      <c r="H142" s="394"/>
      <c r="I142" s="162" t="s">
        <v>532</v>
      </c>
      <c r="J142" s="163"/>
      <c r="K142" s="164"/>
      <c r="L142" s="164"/>
      <c r="M142" s="164"/>
      <c r="N142" s="164"/>
      <c r="O142" s="164">
        <v>275</v>
      </c>
      <c r="P142" s="164"/>
      <c r="Q142" s="164"/>
      <c r="R142" s="164"/>
      <c r="S142" s="164"/>
      <c r="T142" s="164"/>
      <c r="U142" s="164"/>
      <c r="V142" s="164"/>
      <c r="W142" s="164"/>
      <c r="X142" s="164">
        <v>120</v>
      </c>
      <c r="Y142" s="164"/>
      <c r="Z142" s="164"/>
      <c r="AA142" s="164"/>
      <c r="AB142" s="164"/>
      <c r="AC142" s="164"/>
      <c r="AD142" s="164"/>
      <c r="AE142" s="164"/>
      <c r="AF142" s="164"/>
      <c r="AG142" s="164"/>
      <c r="AH142" s="164"/>
      <c r="AI142" s="164"/>
      <c r="AJ142" s="164"/>
      <c r="AK142" s="164"/>
      <c r="AL142" s="164"/>
      <c r="AM142" s="164"/>
      <c r="AN142" s="165"/>
      <c r="AO142" s="166">
        <f t="shared" si="55"/>
        <v>395</v>
      </c>
      <c r="AP142" s="12"/>
      <c r="AQ142" s="167">
        <f t="shared" si="56"/>
        <v>0</v>
      </c>
      <c r="AR142" s="12"/>
      <c r="AS142" s="167">
        <f t="shared" si="57"/>
        <v>0</v>
      </c>
      <c r="AT142" s="168">
        <f t="shared" si="58"/>
        <v>0</v>
      </c>
      <c r="AU142" s="167">
        <f t="shared" si="59"/>
        <v>0</v>
      </c>
    </row>
    <row r="143" spans="1:47" ht="30" customHeight="1" x14ac:dyDescent="0.25">
      <c r="A143" s="76"/>
      <c r="B143" s="158" t="s">
        <v>1264</v>
      </c>
      <c r="C143" s="411" t="s">
        <v>1232</v>
      </c>
      <c r="D143" s="412"/>
      <c r="E143" s="408"/>
      <c r="F143" s="409"/>
      <c r="G143" s="397"/>
      <c r="H143" s="394"/>
      <c r="I143" s="162" t="s">
        <v>532</v>
      </c>
      <c r="J143" s="163"/>
      <c r="K143" s="164"/>
      <c r="L143" s="164"/>
      <c r="M143" s="164"/>
      <c r="N143" s="164"/>
      <c r="O143" s="164"/>
      <c r="P143" s="164"/>
      <c r="Q143" s="164"/>
      <c r="R143" s="164"/>
      <c r="S143" s="164"/>
      <c r="T143" s="164"/>
      <c r="U143" s="164"/>
      <c r="V143" s="164"/>
      <c r="W143" s="164"/>
      <c r="X143" s="164"/>
      <c r="Y143" s="164"/>
      <c r="Z143" s="164"/>
      <c r="AA143" s="164"/>
      <c r="AB143" s="164"/>
      <c r="AC143" s="164"/>
      <c r="AD143" s="164"/>
      <c r="AE143" s="164"/>
      <c r="AF143" s="164"/>
      <c r="AG143" s="164"/>
      <c r="AH143" s="164"/>
      <c r="AI143" s="164"/>
      <c r="AJ143" s="164"/>
      <c r="AK143" s="164"/>
      <c r="AL143" s="164"/>
      <c r="AM143" s="164"/>
      <c r="AN143" s="165"/>
      <c r="AO143" s="166">
        <f t="shared" si="55"/>
        <v>0</v>
      </c>
      <c r="AP143" s="12"/>
      <c r="AQ143" s="167">
        <f t="shared" si="56"/>
        <v>0</v>
      </c>
      <c r="AR143" s="12"/>
      <c r="AS143" s="167">
        <f t="shared" si="57"/>
        <v>0</v>
      </c>
      <c r="AT143" s="168">
        <f t="shared" si="58"/>
        <v>0</v>
      </c>
      <c r="AU143" s="167">
        <f t="shared" si="59"/>
        <v>0</v>
      </c>
    </row>
    <row r="144" spans="1:47" ht="30" customHeight="1" x14ac:dyDescent="0.25">
      <c r="A144" s="76"/>
      <c r="B144" s="158" t="s">
        <v>1265</v>
      </c>
      <c r="C144" s="411" t="s">
        <v>1233</v>
      </c>
      <c r="D144" s="412"/>
      <c r="E144" s="408"/>
      <c r="F144" s="409"/>
      <c r="G144" s="397"/>
      <c r="H144" s="394"/>
      <c r="I144" s="162" t="s">
        <v>532</v>
      </c>
      <c r="J144" s="163"/>
      <c r="K144" s="164"/>
      <c r="L144" s="164"/>
      <c r="M144" s="164"/>
      <c r="N144" s="164"/>
      <c r="O144" s="164"/>
      <c r="P144" s="164"/>
      <c r="Q144" s="164"/>
      <c r="R144" s="164"/>
      <c r="S144" s="164"/>
      <c r="T144" s="164"/>
      <c r="U144" s="164"/>
      <c r="V144" s="164"/>
      <c r="W144" s="164"/>
      <c r="X144" s="164"/>
      <c r="Y144" s="164"/>
      <c r="Z144" s="164"/>
      <c r="AA144" s="164"/>
      <c r="AB144" s="164"/>
      <c r="AC144" s="164"/>
      <c r="AD144" s="164"/>
      <c r="AE144" s="164"/>
      <c r="AF144" s="164"/>
      <c r="AG144" s="164"/>
      <c r="AH144" s="164"/>
      <c r="AI144" s="164"/>
      <c r="AJ144" s="164"/>
      <c r="AK144" s="164"/>
      <c r="AL144" s="164"/>
      <c r="AM144" s="164"/>
      <c r="AN144" s="165"/>
      <c r="AO144" s="166">
        <f t="shared" si="55"/>
        <v>0</v>
      </c>
      <c r="AP144" s="12"/>
      <c r="AQ144" s="167">
        <f t="shared" si="56"/>
        <v>0</v>
      </c>
      <c r="AR144" s="12"/>
      <c r="AS144" s="167">
        <f t="shared" si="57"/>
        <v>0</v>
      </c>
      <c r="AT144" s="168">
        <f t="shared" si="58"/>
        <v>0</v>
      </c>
      <c r="AU144" s="167">
        <f t="shared" si="59"/>
        <v>0</v>
      </c>
    </row>
    <row r="145" spans="1:47" ht="30" customHeight="1" x14ac:dyDescent="0.25">
      <c r="A145" s="76"/>
      <c r="B145" s="158" t="s">
        <v>1266</v>
      </c>
      <c r="C145" s="411" t="s">
        <v>1234</v>
      </c>
      <c r="D145" s="412"/>
      <c r="E145" s="408"/>
      <c r="F145" s="409"/>
      <c r="G145" s="397"/>
      <c r="H145" s="394"/>
      <c r="I145" s="162" t="s">
        <v>532</v>
      </c>
      <c r="J145" s="163"/>
      <c r="K145" s="164"/>
      <c r="L145" s="164"/>
      <c r="M145" s="164"/>
      <c r="N145" s="164"/>
      <c r="O145" s="164"/>
      <c r="P145" s="164"/>
      <c r="Q145" s="164"/>
      <c r="R145" s="164"/>
      <c r="S145" s="164"/>
      <c r="T145" s="164"/>
      <c r="U145" s="164"/>
      <c r="V145" s="164"/>
      <c r="W145" s="164"/>
      <c r="X145" s="164"/>
      <c r="Y145" s="164"/>
      <c r="Z145" s="164"/>
      <c r="AA145" s="164"/>
      <c r="AB145" s="164"/>
      <c r="AC145" s="164"/>
      <c r="AD145" s="164"/>
      <c r="AE145" s="164"/>
      <c r="AF145" s="164"/>
      <c r="AG145" s="164"/>
      <c r="AH145" s="164"/>
      <c r="AI145" s="164"/>
      <c r="AJ145" s="164"/>
      <c r="AK145" s="164"/>
      <c r="AL145" s="164"/>
      <c r="AM145" s="164"/>
      <c r="AN145" s="165"/>
      <c r="AO145" s="166">
        <f t="shared" si="55"/>
        <v>0</v>
      </c>
      <c r="AP145" s="12"/>
      <c r="AQ145" s="167">
        <f t="shared" si="56"/>
        <v>0</v>
      </c>
      <c r="AR145" s="12"/>
      <c r="AS145" s="167">
        <f t="shared" si="57"/>
        <v>0</v>
      </c>
      <c r="AT145" s="168">
        <f t="shared" si="58"/>
        <v>0</v>
      </c>
      <c r="AU145" s="167">
        <f t="shared" si="59"/>
        <v>0</v>
      </c>
    </row>
    <row r="146" spans="1:47" ht="30" customHeight="1" x14ac:dyDescent="0.25">
      <c r="A146" s="76"/>
      <c r="B146" s="158" t="s">
        <v>1267</v>
      </c>
      <c r="C146" s="411" t="s">
        <v>1235</v>
      </c>
      <c r="D146" s="412"/>
      <c r="E146" s="408"/>
      <c r="F146" s="409"/>
      <c r="G146" s="397"/>
      <c r="H146" s="394"/>
      <c r="I146" s="162" t="s">
        <v>532</v>
      </c>
      <c r="J146" s="163"/>
      <c r="K146" s="164"/>
      <c r="L146" s="164"/>
      <c r="M146" s="164"/>
      <c r="N146" s="164"/>
      <c r="O146" s="164">
        <v>50</v>
      </c>
      <c r="P146" s="164"/>
      <c r="Q146" s="164"/>
      <c r="R146" s="164"/>
      <c r="S146" s="164"/>
      <c r="T146" s="164"/>
      <c r="U146" s="164"/>
      <c r="V146" s="164"/>
      <c r="W146" s="164"/>
      <c r="X146" s="164"/>
      <c r="Y146" s="164"/>
      <c r="Z146" s="164"/>
      <c r="AA146" s="164"/>
      <c r="AB146" s="164"/>
      <c r="AC146" s="164"/>
      <c r="AD146" s="164"/>
      <c r="AE146" s="164">
        <v>6</v>
      </c>
      <c r="AF146" s="164"/>
      <c r="AG146" s="164"/>
      <c r="AH146" s="164"/>
      <c r="AI146" s="164"/>
      <c r="AJ146" s="164"/>
      <c r="AK146" s="164"/>
      <c r="AL146" s="164"/>
      <c r="AM146" s="164"/>
      <c r="AN146" s="165"/>
      <c r="AO146" s="166">
        <f t="shared" si="55"/>
        <v>56</v>
      </c>
      <c r="AP146" s="12"/>
      <c r="AQ146" s="167">
        <f t="shared" si="56"/>
        <v>0</v>
      </c>
      <c r="AR146" s="12"/>
      <c r="AS146" s="167">
        <f t="shared" si="57"/>
        <v>0</v>
      </c>
      <c r="AT146" s="168">
        <f t="shared" si="58"/>
        <v>0</v>
      </c>
      <c r="AU146" s="167">
        <f t="shared" si="59"/>
        <v>0</v>
      </c>
    </row>
    <row r="147" spans="1:47" ht="30" customHeight="1" x14ac:dyDescent="0.25">
      <c r="A147" s="76"/>
      <c r="B147" s="158" t="s">
        <v>1268</v>
      </c>
      <c r="C147" s="411" t="s">
        <v>1236</v>
      </c>
      <c r="D147" s="412"/>
      <c r="E147" s="408"/>
      <c r="F147" s="409"/>
      <c r="G147" s="397"/>
      <c r="H147" s="394"/>
      <c r="I147" s="162" t="s">
        <v>532</v>
      </c>
      <c r="J147" s="163"/>
      <c r="K147" s="164"/>
      <c r="L147" s="164"/>
      <c r="M147" s="164"/>
      <c r="N147" s="164"/>
      <c r="O147" s="164">
        <v>65</v>
      </c>
      <c r="P147" s="164"/>
      <c r="Q147" s="164">
        <v>0</v>
      </c>
      <c r="R147" s="164"/>
      <c r="S147" s="164"/>
      <c r="T147" s="164"/>
      <c r="U147" s="164"/>
      <c r="V147" s="164"/>
      <c r="W147" s="164"/>
      <c r="X147" s="164"/>
      <c r="Y147" s="164"/>
      <c r="Z147" s="164"/>
      <c r="AA147" s="164"/>
      <c r="AB147" s="164"/>
      <c r="AC147" s="164"/>
      <c r="AD147" s="164"/>
      <c r="AE147" s="164"/>
      <c r="AF147" s="164"/>
      <c r="AG147" s="164"/>
      <c r="AH147" s="164"/>
      <c r="AI147" s="164"/>
      <c r="AJ147" s="164"/>
      <c r="AK147" s="164"/>
      <c r="AL147" s="164"/>
      <c r="AM147" s="164"/>
      <c r="AN147" s="165"/>
      <c r="AO147" s="166">
        <f t="shared" si="55"/>
        <v>65</v>
      </c>
      <c r="AP147" s="12"/>
      <c r="AQ147" s="167">
        <f t="shared" si="56"/>
        <v>0</v>
      </c>
      <c r="AR147" s="12"/>
      <c r="AS147" s="167">
        <f t="shared" si="57"/>
        <v>0</v>
      </c>
      <c r="AT147" s="168">
        <f t="shared" si="58"/>
        <v>0</v>
      </c>
      <c r="AU147" s="167">
        <f t="shared" si="59"/>
        <v>0</v>
      </c>
    </row>
    <row r="148" spans="1:47" ht="30" customHeight="1" x14ac:dyDescent="0.25">
      <c r="A148" s="76"/>
      <c r="B148" s="158" t="s">
        <v>1269</v>
      </c>
      <c r="C148" s="411" t="s">
        <v>1237</v>
      </c>
      <c r="D148" s="412"/>
      <c r="E148" s="408"/>
      <c r="F148" s="409"/>
      <c r="G148" s="397"/>
      <c r="H148" s="394"/>
      <c r="I148" s="162" t="s">
        <v>532</v>
      </c>
      <c r="J148" s="163"/>
      <c r="K148" s="164"/>
      <c r="L148" s="164"/>
      <c r="M148" s="164"/>
      <c r="N148" s="164"/>
      <c r="O148" s="164">
        <v>0</v>
      </c>
      <c r="P148" s="164"/>
      <c r="Q148" s="164">
        <v>0</v>
      </c>
      <c r="R148" s="164"/>
      <c r="S148" s="164"/>
      <c r="T148" s="164"/>
      <c r="U148" s="164"/>
      <c r="V148" s="164"/>
      <c r="W148" s="164"/>
      <c r="X148" s="164"/>
      <c r="Y148" s="164"/>
      <c r="Z148" s="164"/>
      <c r="AA148" s="164"/>
      <c r="AB148" s="164"/>
      <c r="AC148" s="164"/>
      <c r="AD148" s="164"/>
      <c r="AE148" s="164"/>
      <c r="AF148" s="164"/>
      <c r="AG148" s="164"/>
      <c r="AH148" s="164"/>
      <c r="AI148" s="164"/>
      <c r="AJ148" s="164"/>
      <c r="AK148" s="164"/>
      <c r="AL148" s="164"/>
      <c r="AM148" s="164"/>
      <c r="AN148" s="165"/>
      <c r="AO148" s="166">
        <f t="shared" si="55"/>
        <v>0</v>
      </c>
      <c r="AP148" s="12"/>
      <c r="AQ148" s="167">
        <f t="shared" si="56"/>
        <v>0</v>
      </c>
      <c r="AR148" s="12"/>
      <c r="AS148" s="167">
        <f t="shared" si="57"/>
        <v>0</v>
      </c>
      <c r="AT148" s="168">
        <f t="shared" si="58"/>
        <v>0</v>
      </c>
      <c r="AU148" s="167">
        <f t="shared" si="59"/>
        <v>0</v>
      </c>
    </row>
    <row r="149" spans="1:47" ht="30" customHeight="1" x14ac:dyDescent="0.25">
      <c r="A149" s="76"/>
      <c r="B149" s="158" t="s">
        <v>1270</v>
      </c>
      <c r="C149" s="411" t="s">
        <v>1238</v>
      </c>
      <c r="D149" s="412"/>
      <c r="E149" s="408"/>
      <c r="F149" s="409"/>
      <c r="G149" s="397"/>
      <c r="H149" s="394"/>
      <c r="I149" s="162" t="s">
        <v>532</v>
      </c>
      <c r="J149" s="163"/>
      <c r="K149" s="164"/>
      <c r="L149" s="164"/>
      <c r="M149" s="164"/>
      <c r="N149" s="164"/>
      <c r="O149" s="164">
        <v>25</v>
      </c>
      <c r="P149" s="164">
        <v>10</v>
      </c>
      <c r="Q149" s="164"/>
      <c r="R149" s="164"/>
      <c r="S149" s="164"/>
      <c r="T149" s="164"/>
      <c r="U149" s="164"/>
      <c r="V149" s="164"/>
      <c r="W149" s="164"/>
      <c r="X149" s="164"/>
      <c r="Y149" s="164"/>
      <c r="Z149" s="164"/>
      <c r="AA149" s="164"/>
      <c r="AB149" s="164"/>
      <c r="AC149" s="164"/>
      <c r="AD149" s="164"/>
      <c r="AE149" s="164"/>
      <c r="AF149" s="164"/>
      <c r="AG149" s="164"/>
      <c r="AH149" s="164"/>
      <c r="AI149" s="164"/>
      <c r="AJ149" s="164"/>
      <c r="AK149" s="164"/>
      <c r="AL149" s="164"/>
      <c r="AM149" s="164"/>
      <c r="AN149" s="165"/>
      <c r="AO149" s="166">
        <f t="shared" si="55"/>
        <v>35</v>
      </c>
      <c r="AP149" s="12"/>
      <c r="AQ149" s="167">
        <f t="shared" si="56"/>
        <v>0</v>
      </c>
      <c r="AR149" s="12"/>
      <c r="AS149" s="167">
        <f t="shared" si="57"/>
        <v>0</v>
      </c>
      <c r="AT149" s="168">
        <f t="shared" si="58"/>
        <v>0</v>
      </c>
      <c r="AU149" s="167">
        <f t="shared" si="59"/>
        <v>0</v>
      </c>
    </row>
    <row r="150" spans="1:47" ht="30" customHeight="1" x14ac:dyDescent="0.25">
      <c r="A150" s="76"/>
      <c r="B150" s="158" t="s">
        <v>1271</v>
      </c>
      <c r="C150" s="411" t="s">
        <v>1179</v>
      </c>
      <c r="D150" s="412"/>
      <c r="E150" s="408"/>
      <c r="F150" s="409"/>
      <c r="G150" s="397"/>
      <c r="H150" s="394"/>
      <c r="I150" s="162" t="s">
        <v>532</v>
      </c>
      <c r="J150" s="163"/>
      <c r="K150" s="164"/>
      <c r="L150" s="164"/>
      <c r="M150" s="164"/>
      <c r="N150" s="164"/>
      <c r="O150" s="164"/>
      <c r="P150" s="164"/>
      <c r="Q150" s="164">
        <v>210</v>
      </c>
      <c r="R150" s="164"/>
      <c r="S150" s="164"/>
      <c r="T150" s="164"/>
      <c r="U150" s="164"/>
      <c r="V150" s="164"/>
      <c r="W150" s="164"/>
      <c r="X150" s="164"/>
      <c r="Y150" s="164"/>
      <c r="Z150" s="164"/>
      <c r="AA150" s="164"/>
      <c r="AB150" s="164"/>
      <c r="AC150" s="164"/>
      <c r="AD150" s="164"/>
      <c r="AE150" s="164"/>
      <c r="AF150" s="164"/>
      <c r="AG150" s="164"/>
      <c r="AH150" s="164"/>
      <c r="AI150" s="164"/>
      <c r="AJ150" s="164"/>
      <c r="AK150" s="164"/>
      <c r="AL150" s="164"/>
      <c r="AM150" s="164"/>
      <c r="AN150" s="165"/>
      <c r="AO150" s="166">
        <f t="shared" si="55"/>
        <v>210</v>
      </c>
      <c r="AP150" s="12"/>
      <c r="AQ150" s="167">
        <f t="shared" si="56"/>
        <v>0</v>
      </c>
      <c r="AR150" s="12"/>
      <c r="AS150" s="167">
        <f t="shared" si="57"/>
        <v>0</v>
      </c>
      <c r="AT150" s="168">
        <f t="shared" si="58"/>
        <v>0</v>
      </c>
      <c r="AU150" s="167">
        <f t="shared" si="59"/>
        <v>0</v>
      </c>
    </row>
    <row r="151" spans="1:47" ht="30" customHeight="1" x14ac:dyDescent="0.25">
      <c r="A151" s="76"/>
      <c r="B151" s="169" t="s">
        <v>1272</v>
      </c>
      <c r="C151" s="404" t="s">
        <v>1180</v>
      </c>
      <c r="D151" s="405"/>
      <c r="E151" s="400"/>
      <c r="F151" s="402"/>
      <c r="G151" s="398"/>
      <c r="H151" s="395"/>
      <c r="I151" s="173" t="s">
        <v>532</v>
      </c>
      <c r="J151" s="174"/>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75"/>
      <c r="AN151" s="176"/>
      <c r="AO151" s="177">
        <f t="shared" si="55"/>
        <v>0</v>
      </c>
      <c r="AP151" s="14"/>
      <c r="AQ151" s="178">
        <f t="shared" si="56"/>
        <v>0</v>
      </c>
      <c r="AR151" s="14"/>
      <c r="AS151" s="178">
        <f t="shared" si="57"/>
        <v>0</v>
      </c>
      <c r="AT151" s="179">
        <f t="shared" si="58"/>
        <v>0</v>
      </c>
      <c r="AU151" s="178">
        <f t="shared" si="59"/>
        <v>0</v>
      </c>
    </row>
    <row r="152" spans="1:47" ht="30" customHeight="1" x14ac:dyDescent="0.25">
      <c r="A152" s="76"/>
      <c r="B152" s="148" t="s">
        <v>219</v>
      </c>
      <c r="C152" s="406" t="s">
        <v>1230</v>
      </c>
      <c r="D152" s="407"/>
      <c r="E152" s="399" t="s">
        <v>1274</v>
      </c>
      <c r="F152" s="401" t="s">
        <v>1214</v>
      </c>
      <c r="G152" s="424" t="s">
        <v>1079</v>
      </c>
      <c r="H152" s="403" t="s">
        <v>1079</v>
      </c>
      <c r="I152" s="151" t="s">
        <v>532</v>
      </c>
      <c r="J152" s="152"/>
      <c r="K152" s="153"/>
      <c r="L152" s="153"/>
      <c r="M152" s="153"/>
      <c r="N152" s="153"/>
      <c r="O152" s="153"/>
      <c r="P152" s="153"/>
      <c r="Q152" s="153"/>
      <c r="R152" s="153"/>
      <c r="S152" s="153"/>
      <c r="T152" s="153"/>
      <c r="U152" s="153"/>
      <c r="V152" s="153"/>
      <c r="W152" s="153"/>
      <c r="X152" s="153"/>
      <c r="Y152" s="153"/>
      <c r="Z152" s="153"/>
      <c r="AA152" s="153"/>
      <c r="AB152" s="153"/>
      <c r="AC152" s="153"/>
      <c r="AD152" s="153"/>
      <c r="AE152" s="153"/>
      <c r="AF152" s="153"/>
      <c r="AG152" s="153"/>
      <c r="AH152" s="153"/>
      <c r="AI152" s="153"/>
      <c r="AJ152" s="153"/>
      <c r="AK152" s="153"/>
      <c r="AL152" s="153"/>
      <c r="AM152" s="153"/>
      <c r="AN152" s="154"/>
      <c r="AO152" s="155">
        <f t="shared" si="55"/>
        <v>0</v>
      </c>
      <c r="AP152" s="13"/>
      <c r="AQ152" s="156">
        <f t="shared" si="56"/>
        <v>0</v>
      </c>
      <c r="AR152" s="13"/>
      <c r="AS152" s="156">
        <f t="shared" si="57"/>
        <v>0</v>
      </c>
      <c r="AT152" s="157">
        <f t="shared" si="58"/>
        <v>0</v>
      </c>
      <c r="AU152" s="156">
        <f t="shared" si="59"/>
        <v>0</v>
      </c>
    </row>
    <row r="153" spans="1:47" ht="30" customHeight="1" x14ac:dyDescent="0.25">
      <c r="A153" s="76"/>
      <c r="B153" s="158" t="s">
        <v>1284</v>
      </c>
      <c r="C153" s="411" t="s">
        <v>1231</v>
      </c>
      <c r="D153" s="412"/>
      <c r="E153" s="408"/>
      <c r="F153" s="409"/>
      <c r="G153" s="397"/>
      <c r="H153" s="394"/>
      <c r="I153" s="162" t="s">
        <v>532</v>
      </c>
      <c r="J153" s="163"/>
      <c r="K153" s="164"/>
      <c r="L153" s="164"/>
      <c r="M153" s="164"/>
      <c r="N153" s="164"/>
      <c r="O153" s="164"/>
      <c r="P153" s="164"/>
      <c r="Q153" s="164"/>
      <c r="R153" s="164"/>
      <c r="S153" s="164"/>
      <c r="T153" s="164"/>
      <c r="U153" s="164"/>
      <c r="V153" s="164"/>
      <c r="W153" s="164"/>
      <c r="X153" s="164"/>
      <c r="Y153" s="164"/>
      <c r="Z153" s="164"/>
      <c r="AA153" s="164"/>
      <c r="AB153" s="164"/>
      <c r="AC153" s="164"/>
      <c r="AD153" s="164"/>
      <c r="AE153" s="164"/>
      <c r="AF153" s="164"/>
      <c r="AG153" s="164"/>
      <c r="AH153" s="164"/>
      <c r="AI153" s="164"/>
      <c r="AJ153" s="164"/>
      <c r="AK153" s="164"/>
      <c r="AL153" s="164"/>
      <c r="AM153" s="164"/>
      <c r="AN153" s="165"/>
      <c r="AO153" s="166">
        <f t="shared" si="55"/>
        <v>0</v>
      </c>
      <c r="AP153" s="12"/>
      <c r="AQ153" s="167">
        <f t="shared" si="56"/>
        <v>0</v>
      </c>
      <c r="AR153" s="12"/>
      <c r="AS153" s="167">
        <f t="shared" si="57"/>
        <v>0</v>
      </c>
      <c r="AT153" s="168">
        <f t="shared" si="58"/>
        <v>0</v>
      </c>
      <c r="AU153" s="167">
        <f t="shared" si="59"/>
        <v>0</v>
      </c>
    </row>
    <row r="154" spans="1:47" ht="30" customHeight="1" x14ac:dyDescent="0.25">
      <c r="A154" s="76"/>
      <c r="B154" s="158" t="s">
        <v>1285</v>
      </c>
      <c r="C154" s="411" t="s">
        <v>1232</v>
      </c>
      <c r="D154" s="412"/>
      <c r="E154" s="408"/>
      <c r="F154" s="409"/>
      <c r="G154" s="397"/>
      <c r="H154" s="394"/>
      <c r="I154" s="162" t="s">
        <v>532</v>
      </c>
      <c r="J154" s="163"/>
      <c r="K154" s="164"/>
      <c r="L154" s="164"/>
      <c r="M154" s="164"/>
      <c r="N154" s="164"/>
      <c r="O154" s="164"/>
      <c r="P154" s="164"/>
      <c r="Q154" s="164"/>
      <c r="R154" s="164"/>
      <c r="S154" s="164"/>
      <c r="T154" s="164"/>
      <c r="U154" s="164"/>
      <c r="V154" s="164"/>
      <c r="W154" s="164"/>
      <c r="X154" s="164"/>
      <c r="Y154" s="164"/>
      <c r="Z154" s="164"/>
      <c r="AA154" s="164"/>
      <c r="AB154" s="164"/>
      <c r="AC154" s="164"/>
      <c r="AD154" s="164"/>
      <c r="AE154" s="164"/>
      <c r="AF154" s="164"/>
      <c r="AG154" s="164"/>
      <c r="AH154" s="164"/>
      <c r="AI154" s="164"/>
      <c r="AJ154" s="164"/>
      <c r="AK154" s="164"/>
      <c r="AL154" s="164"/>
      <c r="AM154" s="164"/>
      <c r="AN154" s="165"/>
      <c r="AO154" s="166">
        <f t="shared" si="55"/>
        <v>0</v>
      </c>
      <c r="AP154" s="12"/>
      <c r="AQ154" s="167">
        <f t="shared" ref="AQ154:AQ200" si="60">+AP154*AO154</f>
        <v>0</v>
      </c>
      <c r="AR154" s="12"/>
      <c r="AS154" s="167">
        <f t="shared" ref="AS154:AS200" si="61">+AR154*AO154</f>
        <v>0</v>
      </c>
      <c r="AT154" s="168">
        <f t="shared" ref="AT154:AT200" si="62">+AR154+AP154</f>
        <v>0</v>
      </c>
      <c r="AU154" s="167">
        <f t="shared" ref="AU154:AU200" si="63">+AT154*AO154</f>
        <v>0</v>
      </c>
    </row>
    <row r="155" spans="1:47" ht="30" customHeight="1" x14ac:dyDescent="0.25">
      <c r="A155" s="76"/>
      <c r="B155" s="158" t="s">
        <v>1286</v>
      </c>
      <c r="C155" s="411" t="s">
        <v>1233</v>
      </c>
      <c r="D155" s="412"/>
      <c r="E155" s="408"/>
      <c r="F155" s="409"/>
      <c r="G155" s="397"/>
      <c r="H155" s="394"/>
      <c r="I155" s="162" t="s">
        <v>532</v>
      </c>
      <c r="J155" s="163"/>
      <c r="K155" s="164"/>
      <c r="L155" s="164"/>
      <c r="M155" s="164"/>
      <c r="N155" s="164"/>
      <c r="O155" s="164"/>
      <c r="P155" s="164"/>
      <c r="Q155" s="164"/>
      <c r="R155" s="164"/>
      <c r="S155" s="164"/>
      <c r="T155" s="164"/>
      <c r="U155" s="164"/>
      <c r="V155" s="164"/>
      <c r="W155" s="164"/>
      <c r="X155" s="164"/>
      <c r="Y155" s="164"/>
      <c r="Z155" s="164"/>
      <c r="AA155" s="164"/>
      <c r="AB155" s="164"/>
      <c r="AC155" s="164"/>
      <c r="AD155" s="164"/>
      <c r="AE155" s="164"/>
      <c r="AF155" s="164"/>
      <c r="AG155" s="164"/>
      <c r="AH155" s="164"/>
      <c r="AI155" s="164"/>
      <c r="AJ155" s="164"/>
      <c r="AK155" s="164"/>
      <c r="AL155" s="164"/>
      <c r="AM155" s="164"/>
      <c r="AN155" s="165"/>
      <c r="AO155" s="166">
        <f t="shared" si="55"/>
        <v>0</v>
      </c>
      <c r="AP155" s="12"/>
      <c r="AQ155" s="167">
        <f t="shared" si="60"/>
        <v>0</v>
      </c>
      <c r="AR155" s="12"/>
      <c r="AS155" s="167">
        <f t="shared" si="61"/>
        <v>0</v>
      </c>
      <c r="AT155" s="168">
        <f t="shared" si="62"/>
        <v>0</v>
      </c>
      <c r="AU155" s="167">
        <f t="shared" si="63"/>
        <v>0</v>
      </c>
    </row>
    <row r="156" spans="1:47" ht="30" customHeight="1" x14ac:dyDescent="0.25">
      <c r="A156" s="76"/>
      <c r="B156" s="158" t="s">
        <v>1287</v>
      </c>
      <c r="C156" s="411" t="s">
        <v>1234</v>
      </c>
      <c r="D156" s="412"/>
      <c r="E156" s="408"/>
      <c r="F156" s="409"/>
      <c r="G156" s="397"/>
      <c r="H156" s="394"/>
      <c r="I156" s="162" t="s">
        <v>532</v>
      </c>
      <c r="J156" s="163"/>
      <c r="K156" s="164"/>
      <c r="L156" s="164"/>
      <c r="M156" s="164"/>
      <c r="N156" s="164"/>
      <c r="O156" s="164"/>
      <c r="P156" s="164"/>
      <c r="Q156" s="164"/>
      <c r="R156" s="164"/>
      <c r="S156" s="164"/>
      <c r="T156" s="164"/>
      <c r="U156" s="164"/>
      <c r="V156" s="164"/>
      <c r="W156" s="164"/>
      <c r="X156" s="164"/>
      <c r="Y156" s="164"/>
      <c r="Z156" s="164"/>
      <c r="AA156" s="164"/>
      <c r="AB156" s="164"/>
      <c r="AC156" s="164"/>
      <c r="AD156" s="164"/>
      <c r="AE156" s="164"/>
      <c r="AF156" s="164"/>
      <c r="AG156" s="164"/>
      <c r="AH156" s="164"/>
      <c r="AI156" s="164"/>
      <c r="AJ156" s="164"/>
      <c r="AK156" s="164"/>
      <c r="AL156" s="164"/>
      <c r="AM156" s="164"/>
      <c r="AN156" s="165"/>
      <c r="AO156" s="166">
        <f t="shared" si="55"/>
        <v>0</v>
      </c>
      <c r="AP156" s="12"/>
      <c r="AQ156" s="167">
        <f t="shared" si="60"/>
        <v>0</v>
      </c>
      <c r="AR156" s="12"/>
      <c r="AS156" s="167">
        <f t="shared" si="61"/>
        <v>0</v>
      </c>
      <c r="AT156" s="168">
        <f t="shared" si="62"/>
        <v>0</v>
      </c>
      <c r="AU156" s="167">
        <f t="shared" si="63"/>
        <v>0</v>
      </c>
    </row>
    <row r="157" spans="1:47" ht="30" customHeight="1" x14ac:dyDescent="0.25">
      <c r="A157" s="76"/>
      <c r="B157" s="158" t="s">
        <v>1288</v>
      </c>
      <c r="C157" s="411" t="s">
        <v>1235</v>
      </c>
      <c r="D157" s="412"/>
      <c r="E157" s="408"/>
      <c r="F157" s="409"/>
      <c r="G157" s="397"/>
      <c r="H157" s="394"/>
      <c r="I157" s="162" t="s">
        <v>532</v>
      </c>
      <c r="J157" s="163"/>
      <c r="K157" s="164"/>
      <c r="L157" s="164"/>
      <c r="M157" s="164"/>
      <c r="N157" s="164"/>
      <c r="O157" s="164"/>
      <c r="P157" s="164"/>
      <c r="Q157" s="164"/>
      <c r="R157" s="164"/>
      <c r="S157" s="164"/>
      <c r="T157" s="164"/>
      <c r="U157" s="164"/>
      <c r="V157" s="164"/>
      <c r="W157" s="164"/>
      <c r="X157" s="164"/>
      <c r="Y157" s="164"/>
      <c r="Z157" s="164"/>
      <c r="AA157" s="164"/>
      <c r="AB157" s="164"/>
      <c r="AC157" s="164"/>
      <c r="AD157" s="164"/>
      <c r="AE157" s="164"/>
      <c r="AF157" s="164"/>
      <c r="AG157" s="164"/>
      <c r="AH157" s="164"/>
      <c r="AI157" s="164"/>
      <c r="AJ157" s="164"/>
      <c r="AK157" s="164"/>
      <c r="AL157" s="164"/>
      <c r="AM157" s="164"/>
      <c r="AN157" s="165"/>
      <c r="AO157" s="166">
        <f t="shared" si="55"/>
        <v>0</v>
      </c>
      <c r="AP157" s="12"/>
      <c r="AQ157" s="167">
        <f t="shared" si="60"/>
        <v>0</v>
      </c>
      <c r="AR157" s="12"/>
      <c r="AS157" s="167">
        <f t="shared" si="61"/>
        <v>0</v>
      </c>
      <c r="AT157" s="168">
        <f t="shared" si="62"/>
        <v>0</v>
      </c>
      <c r="AU157" s="167">
        <f t="shared" si="63"/>
        <v>0</v>
      </c>
    </row>
    <row r="158" spans="1:47" ht="30" customHeight="1" x14ac:dyDescent="0.25">
      <c r="A158" s="76"/>
      <c r="B158" s="158" t="s">
        <v>1289</v>
      </c>
      <c r="C158" s="411" t="s">
        <v>1236</v>
      </c>
      <c r="D158" s="412"/>
      <c r="E158" s="408"/>
      <c r="F158" s="409"/>
      <c r="G158" s="397"/>
      <c r="H158" s="394"/>
      <c r="I158" s="162" t="s">
        <v>532</v>
      </c>
      <c r="J158" s="163"/>
      <c r="K158" s="164"/>
      <c r="L158" s="164"/>
      <c r="M158" s="164"/>
      <c r="N158" s="164"/>
      <c r="O158" s="164"/>
      <c r="P158" s="164"/>
      <c r="Q158" s="164"/>
      <c r="R158" s="164"/>
      <c r="S158" s="164"/>
      <c r="T158" s="164"/>
      <c r="U158" s="164"/>
      <c r="V158" s="164"/>
      <c r="W158" s="164"/>
      <c r="X158" s="164"/>
      <c r="Y158" s="164"/>
      <c r="Z158" s="164"/>
      <c r="AA158" s="164"/>
      <c r="AB158" s="164"/>
      <c r="AC158" s="164"/>
      <c r="AD158" s="164"/>
      <c r="AE158" s="164"/>
      <c r="AF158" s="164"/>
      <c r="AG158" s="164"/>
      <c r="AH158" s="164"/>
      <c r="AI158" s="164"/>
      <c r="AJ158" s="164"/>
      <c r="AK158" s="164"/>
      <c r="AL158" s="164"/>
      <c r="AM158" s="164"/>
      <c r="AN158" s="165"/>
      <c r="AO158" s="166">
        <f t="shared" si="55"/>
        <v>0</v>
      </c>
      <c r="AP158" s="12"/>
      <c r="AQ158" s="167">
        <f t="shared" ref="AQ158:AQ190" si="64">+AP158*AO158</f>
        <v>0</v>
      </c>
      <c r="AR158" s="12"/>
      <c r="AS158" s="167">
        <f t="shared" ref="AS158:AS190" si="65">+AR158*AO158</f>
        <v>0</v>
      </c>
      <c r="AT158" s="168">
        <f t="shared" ref="AT158:AT190" si="66">+AR158+AP158</f>
        <v>0</v>
      </c>
      <c r="AU158" s="167">
        <f t="shared" ref="AU158:AU190" si="67">+AT158*AO158</f>
        <v>0</v>
      </c>
    </row>
    <row r="159" spans="1:47" ht="30" customHeight="1" x14ac:dyDescent="0.25">
      <c r="A159" s="76"/>
      <c r="B159" s="158" t="s">
        <v>1290</v>
      </c>
      <c r="C159" s="411" t="s">
        <v>1237</v>
      </c>
      <c r="D159" s="412"/>
      <c r="E159" s="408"/>
      <c r="F159" s="409"/>
      <c r="G159" s="397"/>
      <c r="H159" s="394"/>
      <c r="I159" s="162" t="s">
        <v>532</v>
      </c>
      <c r="J159" s="163"/>
      <c r="K159" s="164"/>
      <c r="L159" s="164"/>
      <c r="M159" s="164"/>
      <c r="N159" s="164"/>
      <c r="O159" s="164"/>
      <c r="P159" s="164"/>
      <c r="Q159" s="164"/>
      <c r="R159" s="164"/>
      <c r="S159" s="164"/>
      <c r="T159" s="164"/>
      <c r="U159" s="164"/>
      <c r="V159" s="164"/>
      <c r="W159" s="164"/>
      <c r="X159" s="164"/>
      <c r="Y159" s="164"/>
      <c r="Z159" s="164"/>
      <c r="AA159" s="164"/>
      <c r="AB159" s="164"/>
      <c r="AC159" s="164"/>
      <c r="AD159" s="164"/>
      <c r="AE159" s="164"/>
      <c r="AF159" s="164"/>
      <c r="AG159" s="164"/>
      <c r="AH159" s="164"/>
      <c r="AI159" s="164"/>
      <c r="AJ159" s="164"/>
      <c r="AK159" s="164"/>
      <c r="AL159" s="164"/>
      <c r="AM159" s="164"/>
      <c r="AN159" s="165"/>
      <c r="AO159" s="166">
        <f t="shared" si="55"/>
        <v>0</v>
      </c>
      <c r="AP159" s="12"/>
      <c r="AQ159" s="167">
        <f t="shared" si="64"/>
        <v>0</v>
      </c>
      <c r="AR159" s="12"/>
      <c r="AS159" s="167">
        <f t="shared" si="65"/>
        <v>0</v>
      </c>
      <c r="AT159" s="168">
        <f t="shared" si="66"/>
        <v>0</v>
      </c>
      <c r="AU159" s="167">
        <f t="shared" si="67"/>
        <v>0</v>
      </c>
    </row>
    <row r="160" spans="1:47" ht="30" customHeight="1" x14ac:dyDescent="0.25">
      <c r="A160" s="76"/>
      <c r="B160" s="158" t="s">
        <v>1291</v>
      </c>
      <c r="C160" s="411" t="s">
        <v>1238</v>
      </c>
      <c r="D160" s="412"/>
      <c r="E160" s="408"/>
      <c r="F160" s="409"/>
      <c r="G160" s="397"/>
      <c r="H160" s="394"/>
      <c r="I160" s="162" t="s">
        <v>532</v>
      </c>
      <c r="J160" s="163"/>
      <c r="K160" s="164"/>
      <c r="L160" s="164"/>
      <c r="M160" s="164"/>
      <c r="N160" s="164"/>
      <c r="O160" s="164"/>
      <c r="P160" s="164"/>
      <c r="Q160" s="164"/>
      <c r="R160" s="164"/>
      <c r="S160" s="164"/>
      <c r="T160" s="164"/>
      <c r="U160" s="164"/>
      <c r="V160" s="164"/>
      <c r="W160" s="164"/>
      <c r="X160" s="164"/>
      <c r="Y160" s="164"/>
      <c r="Z160" s="164"/>
      <c r="AA160" s="164"/>
      <c r="AB160" s="164"/>
      <c r="AC160" s="164"/>
      <c r="AD160" s="164"/>
      <c r="AE160" s="164"/>
      <c r="AF160" s="164"/>
      <c r="AG160" s="164"/>
      <c r="AH160" s="164"/>
      <c r="AI160" s="164"/>
      <c r="AJ160" s="164"/>
      <c r="AK160" s="164"/>
      <c r="AL160" s="164"/>
      <c r="AM160" s="164"/>
      <c r="AN160" s="165"/>
      <c r="AO160" s="166">
        <f t="shared" si="55"/>
        <v>0</v>
      </c>
      <c r="AP160" s="12"/>
      <c r="AQ160" s="167">
        <f t="shared" si="64"/>
        <v>0</v>
      </c>
      <c r="AR160" s="12"/>
      <c r="AS160" s="167">
        <f t="shared" si="65"/>
        <v>0</v>
      </c>
      <c r="AT160" s="168">
        <f t="shared" si="66"/>
        <v>0</v>
      </c>
      <c r="AU160" s="167">
        <f t="shared" si="67"/>
        <v>0</v>
      </c>
    </row>
    <row r="161" spans="1:47" ht="30" customHeight="1" x14ac:dyDescent="0.25">
      <c r="A161" s="76"/>
      <c r="B161" s="158" t="s">
        <v>1292</v>
      </c>
      <c r="C161" s="411" t="s">
        <v>1181</v>
      </c>
      <c r="D161" s="412"/>
      <c r="E161" s="408"/>
      <c r="F161" s="409"/>
      <c r="G161" s="397"/>
      <c r="H161" s="394"/>
      <c r="I161" s="162" t="s">
        <v>532</v>
      </c>
      <c r="J161" s="163"/>
      <c r="K161" s="164"/>
      <c r="L161" s="164"/>
      <c r="M161" s="164"/>
      <c r="N161" s="164"/>
      <c r="O161" s="164"/>
      <c r="P161" s="164"/>
      <c r="Q161" s="164"/>
      <c r="R161" s="164"/>
      <c r="S161" s="164"/>
      <c r="T161" s="164"/>
      <c r="U161" s="164"/>
      <c r="V161" s="164"/>
      <c r="W161" s="164"/>
      <c r="X161" s="164"/>
      <c r="Y161" s="164"/>
      <c r="Z161" s="164"/>
      <c r="AA161" s="164"/>
      <c r="AB161" s="164"/>
      <c r="AC161" s="164"/>
      <c r="AD161" s="164"/>
      <c r="AE161" s="164"/>
      <c r="AF161" s="164"/>
      <c r="AG161" s="164"/>
      <c r="AH161" s="164"/>
      <c r="AI161" s="164"/>
      <c r="AJ161" s="164"/>
      <c r="AK161" s="164"/>
      <c r="AL161" s="164"/>
      <c r="AM161" s="164"/>
      <c r="AN161" s="165"/>
      <c r="AO161" s="166">
        <f t="shared" si="55"/>
        <v>0</v>
      </c>
      <c r="AP161" s="12"/>
      <c r="AQ161" s="167">
        <f t="shared" si="64"/>
        <v>0</v>
      </c>
      <c r="AR161" s="12"/>
      <c r="AS161" s="167">
        <f t="shared" si="65"/>
        <v>0</v>
      </c>
      <c r="AT161" s="168">
        <f t="shared" si="66"/>
        <v>0</v>
      </c>
      <c r="AU161" s="167">
        <f t="shared" si="67"/>
        <v>0</v>
      </c>
    </row>
    <row r="162" spans="1:47" ht="30" customHeight="1" x14ac:dyDescent="0.25">
      <c r="A162" s="76"/>
      <c r="B162" s="158" t="s">
        <v>1293</v>
      </c>
      <c r="C162" s="411" t="s">
        <v>1182</v>
      </c>
      <c r="D162" s="412"/>
      <c r="E162" s="408"/>
      <c r="F162" s="409"/>
      <c r="G162" s="397"/>
      <c r="H162" s="394"/>
      <c r="I162" s="162" t="s">
        <v>532</v>
      </c>
      <c r="J162" s="163"/>
      <c r="K162" s="164"/>
      <c r="L162" s="164"/>
      <c r="M162" s="164"/>
      <c r="N162" s="164"/>
      <c r="O162" s="164"/>
      <c r="P162" s="164"/>
      <c r="Q162" s="164"/>
      <c r="R162" s="164"/>
      <c r="S162" s="164"/>
      <c r="T162" s="164"/>
      <c r="U162" s="164"/>
      <c r="V162" s="164"/>
      <c r="W162" s="164"/>
      <c r="X162" s="164"/>
      <c r="Y162" s="164"/>
      <c r="Z162" s="164"/>
      <c r="AA162" s="164"/>
      <c r="AB162" s="164"/>
      <c r="AC162" s="164"/>
      <c r="AD162" s="164"/>
      <c r="AE162" s="164"/>
      <c r="AF162" s="164"/>
      <c r="AG162" s="164"/>
      <c r="AH162" s="164">
        <v>40</v>
      </c>
      <c r="AI162" s="164"/>
      <c r="AJ162" s="164"/>
      <c r="AK162" s="164"/>
      <c r="AL162" s="164">
        <v>485</v>
      </c>
      <c r="AM162" s="164">
        <v>10</v>
      </c>
      <c r="AN162" s="165"/>
      <c r="AO162" s="166">
        <f t="shared" si="55"/>
        <v>535</v>
      </c>
      <c r="AP162" s="12"/>
      <c r="AQ162" s="167">
        <f t="shared" si="64"/>
        <v>0</v>
      </c>
      <c r="AR162" s="12"/>
      <c r="AS162" s="167">
        <f t="shared" si="65"/>
        <v>0</v>
      </c>
      <c r="AT162" s="168">
        <f t="shared" si="66"/>
        <v>0</v>
      </c>
      <c r="AU162" s="167">
        <f t="shared" si="67"/>
        <v>0</v>
      </c>
    </row>
    <row r="163" spans="1:47" ht="30" customHeight="1" x14ac:dyDescent="0.25">
      <c r="A163" s="76"/>
      <c r="B163" s="158" t="s">
        <v>1294</v>
      </c>
      <c r="C163" s="411" t="s">
        <v>1183</v>
      </c>
      <c r="D163" s="412"/>
      <c r="E163" s="408"/>
      <c r="F163" s="409"/>
      <c r="G163" s="397"/>
      <c r="H163" s="394"/>
      <c r="I163" s="162" t="s">
        <v>532</v>
      </c>
      <c r="J163" s="163"/>
      <c r="K163" s="164"/>
      <c r="L163" s="164"/>
      <c r="M163" s="164"/>
      <c r="N163" s="164"/>
      <c r="O163" s="164"/>
      <c r="P163" s="164"/>
      <c r="Q163" s="164"/>
      <c r="R163" s="164"/>
      <c r="S163" s="164"/>
      <c r="T163" s="164"/>
      <c r="U163" s="164"/>
      <c r="V163" s="164"/>
      <c r="W163" s="164"/>
      <c r="X163" s="164"/>
      <c r="Y163" s="164"/>
      <c r="Z163" s="164"/>
      <c r="AA163" s="164"/>
      <c r="AB163" s="164"/>
      <c r="AC163" s="164"/>
      <c r="AD163" s="164"/>
      <c r="AE163" s="164"/>
      <c r="AF163" s="164"/>
      <c r="AG163" s="164"/>
      <c r="AH163" s="164"/>
      <c r="AI163" s="164"/>
      <c r="AJ163" s="164"/>
      <c r="AK163" s="164"/>
      <c r="AL163" s="164"/>
      <c r="AM163" s="164"/>
      <c r="AN163" s="165"/>
      <c r="AO163" s="166">
        <f t="shared" si="55"/>
        <v>0</v>
      </c>
      <c r="AP163" s="12"/>
      <c r="AQ163" s="167">
        <f t="shared" si="64"/>
        <v>0</v>
      </c>
      <c r="AR163" s="12"/>
      <c r="AS163" s="167">
        <f t="shared" si="65"/>
        <v>0</v>
      </c>
      <c r="AT163" s="168">
        <f t="shared" si="66"/>
        <v>0</v>
      </c>
      <c r="AU163" s="167">
        <f t="shared" si="67"/>
        <v>0</v>
      </c>
    </row>
    <row r="164" spans="1:47" ht="30" customHeight="1" x14ac:dyDescent="0.25">
      <c r="A164" s="76"/>
      <c r="B164" s="158" t="s">
        <v>1295</v>
      </c>
      <c r="C164" s="411" t="s">
        <v>1184</v>
      </c>
      <c r="D164" s="412"/>
      <c r="E164" s="408"/>
      <c r="F164" s="409"/>
      <c r="G164" s="397"/>
      <c r="H164" s="394"/>
      <c r="I164" s="162" t="s">
        <v>532</v>
      </c>
      <c r="J164" s="163"/>
      <c r="K164" s="164"/>
      <c r="L164" s="164"/>
      <c r="M164" s="164"/>
      <c r="N164" s="164"/>
      <c r="O164" s="164"/>
      <c r="P164" s="164"/>
      <c r="Q164" s="164"/>
      <c r="R164" s="164"/>
      <c r="S164" s="164"/>
      <c r="T164" s="164"/>
      <c r="U164" s="164"/>
      <c r="V164" s="164"/>
      <c r="W164" s="164"/>
      <c r="X164" s="164"/>
      <c r="Y164" s="164"/>
      <c r="Z164" s="164"/>
      <c r="AA164" s="164"/>
      <c r="AB164" s="164"/>
      <c r="AC164" s="164"/>
      <c r="AD164" s="164"/>
      <c r="AE164" s="164"/>
      <c r="AF164" s="164"/>
      <c r="AG164" s="164"/>
      <c r="AH164" s="164"/>
      <c r="AI164" s="164"/>
      <c r="AJ164" s="164"/>
      <c r="AK164" s="164"/>
      <c r="AL164" s="164"/>
      <c r="AM164" s="164"/>
      <c r="AN164" s="165"/>
      <c r="AO164" s="166">
        <f t="shared" si="55"/>
        <v>0</v>
      </c>
      <c r="AP164" s="12"/>
      <c r="AQ164" s="167">
        <f t="shared" si="64"/>
        <v>0</v>
      </c>
      <c r="AR164" s="12"/>
      <c r="AS164" s="167">
        <f t="shared" si="65"/>
        <v>0</v>
      </c>
      <c r="AT164" s="168">
        <f t="shared" si="66"/>
        <v>0</v>
      </c>
      <c r="AU164" s="167">
        <f t="shared" si="67"/>
        <v>0</v>
      </c>
    </row>
    <row r="165" spans="1:47" ht="30" customHeight="1" x14ac:dyDescent="0.25">
      <c r="A165" s="76"/>
      <c r="B165" s="158" t="s">
        <v>1296</v>
      </c>
      <c r="C165" s="411" t="s">
        <v>1185</v>
      </c>
      <c r="D165" s="412"/>
      <c r="E165" s="408"/>
      <c r="F165" s="409"/>
      <c r="G165" s="397"/>
      <c r="H165" s="394"/>
      <c r="I165" s="162" t="s">
        <v>532</v>
      </c>
      <c r="J165" s="163"/>
      <c r="K165" s="164"/>
      <c r="L165" s="164"/>
      <c r="M165" s="164"/>
      <c r="N165" s="164"/>
      <c r="O165" s="164"/>
      <c r="P165" s="164"/>
      <c r="Q165" s="164"/>
      <c r="R165" s="164"/>
      <c r="S165" s="164"/>
      <c r="T165" s="164"/>
      <c r="U165" s="164"/>
      <c r="V165" s="164"/>
      <c r="W165" s="164"/>
      <c r="X165" s="164"/>
      <c r="Y165" s="164"/>
      <c r="Z165" s="164"/>
      <c r="AA165" s="164"/>
      <c r="AB165" s="164"/>
      <c r="AC165" s="164"/>
      <c r="AD165" s="164"/>
      <c r="AE165" s="164"/>
      <c r="AF165" s="164"/>
      <c r="AG165" s="164"/>
      <c r="AH165" s="164"/>
      <c r="AI165" s="164"/>
      <c r="AJ165" s="164"/>
      <c r="AK165" s="164"/>
      <c r="AL165" s="164"/>
      <c r="AM165" s="164"/>
      <c r="AN165" s="165"/>
      <c r="AO165" s="166">
        <f t="shared" si="55"/>
        <v>0</v>
      </c>
      <c r="AP165" s="12"/>
      <c r="AQ165" s="167">
        <f t="shared" si="64"/>
        <v>0</v>
      </c>
      <c r="AR165" s="12"/>
      <c r="AS165" s="167">
        <f t="shared" si="65"/>
        <v>0</v>
      </c>
      <c r="AT165" s="168">
        <f t="shared" si="66"/>
        <v>0</v>
      </c>
      <c r="AU165" s="167">
        <f t="shared" si="67"/>
        <v>0</v>
      </c>
    </row>
    <row r="166" spans="1:47" ht="30" customHeight="1" x14ac:dyDescent="0.25">
      <c r="A166" s="76"/>
      <c r="B166" s="158" t="s">
        <v>1297</v>
      </c>
      <c r="C166" s="411" t="s">
        <v>1241</v>
      </c>
      <c r="D166" s="412"/>
      <c r="E166" s="408"/>
      <c r="F166" s="409"/>
      <c r="G166" s="397"/>
      <c r="H166" s="394"/>
      <c r="I166" s="162" t="s">
        <v>532</v>
      </c>
      <c r="J166" s="163"/>
      <c r="K166" s="164"/>
      <c r="L166" s="164"/>
      <c r="M166" s="164"/>
      <c r="N166" s="164"/>
      <c r="O166" s="164"/>
      <c r="P166" s="164"/>
      <c r="Q166" s="164"/>
      <c r="R166" s="164"/>
      <c r="S166" s="164"/>
      <c r="T166" s="164"/>
      <c r="U166" s="164"/>
      <c r="V166" s="164"/>
      <c r="W166" s="164"/>
      <c r="X166" s="164"/>
      <c r="Y166" s="164"/>
      <c r="Z166" s="164"/>
      <c r="AA166" s="164"/>
      <c r="AB166" s="164"/>
      <c r="AC166" s="164"/>
      <c r="AD166" s="164"/>
      <c r="AE166" s="164"/>
      <c r="AF166" s="164"/>
      <c r="AG166" s="164"/>
      <c r="AH166" s="164"/>
      <c r="AI166" s="164"/>
      <c r="AJ166" s="164"/>
      <c r="AK166" s="164"/>
      <c r="AL166" s="164"/>
      <c r="AM166" s="164"/>
      <c r="AN166" s="165"/>
      <c r="AO166" s="166">
        <f t="shared" si="55"/>
        <v>0</v>
      </c>
      <c r="AP166" s="12"/>
      <c r="AQ166" s="167">
        <f t="shared" si="64"/>
        <v>0</v>
      </c>
      <c r="AR166" s="12"/>
      <c r="AS166" s="167">
        <f t="shared" si="65"/>
        <v>0</v>
      </c>
      <c r="AT166" s="168">
        <f t="shared" si="66"/>
        <v>0</v>
      </c>
      <c r="AU166" s="167">
        <f t="shared" si="67"/>
        <v>0</v>
      </c>
    </row>
    <row r="167" spans="1:47" ht="30" customHeight="1" x14ac:dyDescent="0.25">
      <c r="A167" s="76"/>
      <c r="B167" s="158" t="s">
        <v>1298</v>
      </c>
      <c r="C167" s="411" t="s">
        <v>1275</v>
      </c>
      <c r="D167" s="412"/>
      <c r="E167" s="408"/>
      <c r="F167" s="409"/>
      <c r="G167" s="397"/>
      <c r="H167" s="394"/>
      <c r="I167" s="162" t="s">
        <v>532</v>
      </c>
      <c r="J167" s="163"/>
      <c r="K167" s="164"/>
      <c r="L167" s="164"/>
      <c r="M167" s="164"/>
      <c r="N167" s="164"/>
      <c r="O167" s="164"/>
      <c r="P167" s="164"/>
      <c r="Q167" s="164"/>
      <c r="R167" s="164"/>
      <c r="S167" s="164"/>
      <c r="T167" s="164"/>
      <c r="U167" s="164"/>
      <c r="V167" s="164"/>
      <c r="W167" s="164"/>
      <c r="X167" s="164"/>
      <c r="Y167" s="164"/>
      <c r="Z167" s="164"/>
      <c r="AA167" s="164"/>
      <c r="AB167" s="164"/>
      <c r="AC167" s="164"/>
      <c r="AD167" s="164"/>
      <c r="AE167" s="164"/>
      <c r="AF167" s="164"/>
      <c r="AG167" s="164"/>
      <c r="AH167" s="164"/>
      <c r="AI167" s="164"/>
      <c r="AJ167" s="164"/>
      <c r="AK167" s="164"/>
      <c r="AL167" s="164"/>
      <c r="AM167" s="164"/>
      <c r="AN167" s="165"/>
      <c r="AO167" s="166">
        <f t="shared" si="55"/>
        <v>0</v>
      </c>
      <c r="AP167" s="12"/>
      <c r="AQ167" s="167">
        <f t="shared" si="64"/>
        <v>0</v>
      </c>
      <c r="AR167" s="12"/>
      <c r="AS167" s="167">
        <f t="shared" si="65"/>
        <v>0</v>
      </c>
      <c r="AT167" s="168">
        <f t="shared" si="66"/>
        <v>0</v>
      </c>
      <c r="AU167" s="167">
        <f t="shared" si="67"/>
        <v>0</v>
      </c>
    </row>
    <row r="168" spans="1:47" ht="30" customHeight="1" x14ac:dyDescent="0.25">
      <c r="A168" s="76"/>
      <c r="B168" s="158" t="s">
        <v>1299</v>
      </c>
      <c r="C168" s="411" t="s">
        <v>1276</v>
      </c>
      <c r="D168" s="412"/>
      <c r="E168" s="408"/>
      <c r="F168" s="409"/>
      <c r="G168" s="397"/>
      <c r="H168" s="394"/>
      <c r="I168" s="162" t="s">
        <v>532</v>
      </c>
      <c r="J168" s="163"/>
      <c r="K168" s="164"/>
      <c r="L168" s="164"/>
      <c r="M168" s="164"/>
      <c r="N168" s="164"/>
      <c r="O168" s="164"/>
      <c r="P168" s="164"/>
      <c r="Q168" s="164"/>
      <c r="R168" s="164"/>
      <c r="S168" s="164"/>
      <c r="T168" s="164"/>
      <c r="U168" s="164"/>
      <c r="V168" s="164"/>
      <c r="W168" s="164"/>
      <c r="X168" s="164"/>
      <c r="Y168" s="164"/>
      <c r="Z168" s="164"/>
      <c r="AA168" s="164"/>
      <c r="AB168" s="164"/>
      <c r="AC168" s="164"/>
      <c r="AD168" s="164"/>
      <c r="AE168" s="164"/>
      <c r="AF168" s="164"/>
      <c r="AG168" s="164"/>
      <c r="AH168" s="164"/>
      <c r="AI168" s="164"/>
      <c r="AJ168" s="164"/>
      <c r="AK168" s="164"/>
      <c r="AL168" s="164"/>
      <c r="AM168" s="164"/>
      <c r="AN168" s="165"/>
      <c r="AO168" s="166">
        <f t="shared" si="55"/>
        <v>0</v>
      </c>
      <c r="AP168" s="12"/>
      <c r="AQ168" s="167">
        <f t="shared" si="64"/>
        <v>0</v>
      </c>
      <c r="AR168" s="12"/>
      <c r="AS168" s="167">
        <f t="shared" si="65"/>
        <v>0</v>
      </c>
      <c r="AT168" s="168">
        <f t="shared" si="66"/>
        <v>0</v>
      </c>
      <c r="AU168" s="167">
        <f t="shared" si="67"/>
        <v>0</v>
      </c>
    </row>
    <row r="169" spans="1:47" ht="30" customHeight="1" x14ac:dyDescent="0.25">
      <c r="A169" s="76"/>
      <c r="B169" s="158" t="s">
        <v>1300</v>
      </c>
      <c r="C169" s="411" t="s">
        <v>1277</v>
      </c>
      <c r="D169" s="412"/>
      <c r="E169" s="408"/>
      <c r="F169" s="409"/>
      <c r="G169" s="397"/>
      <c r="H169" s="394"/>
      <c r="I169" s="162" t="s">
        <v>532</v>
      </c>
      <c r="J169" s="163"/>
      <c r="K169" s="164"/>
      <c r="L169" s="164"/>
      <c r="M169" s="164"/>
      <c r="N169" s="164"/>
      <c r="O169" s="164"/>
      <c r="P169" s="164"/>
      <c r="Q169" s="164"/>
      <c r="R169" s="164"/>
      <c r="S169" s="164"/>
      <c r="T169" s="164"/>
      <c r="U169" s="164"/>
      <c r="V169" s="164"/>
      <c r="W169" s="164"/>
      <c r="X169" s="164"/>
      <c r="Y169" s="164"/>
      <c r="Z169" s="164"/>
      <c r="AA169" s="164"/>
      <c r="AB169" s="164"/>
      <c r="AC169" s="164"/>
      <c r="AD169" s="164"/>
      <c r="AE169" s="164"/>
      <c r="AF169" s="164"/>
      <c r="AG169" s="164"/>
      <c r="AH169" s="164"/>
      <c r="AI169" s="164"/>
      <c r="AJ169" s="164"/>
      <c r="AK169" s="164"/>
      <c r="AL169" s="164"/>
      <c r="AM169" s="164"/>
      <c r="AN169" s="165"/>
      <c r="AO169" s="166">
        <f t="shared" si="55"/>
        <v>0</v>
      </c>
      <c r="AP169" s="12"/>
      <c r="AQ169" s="167">
        <f t="shared" si="64"/>
        <v>0</v>
      </c>
      <c r="AR169" s="12"/>
      <c r="AS169" s="167">
        <f t="shared" si="65"/>
        <v>0</v>
      </c>
      <c r="AT169" s="168">
        <f t="shared" si="66"/>
        <v>0</v>
      </c>
      <c r="AU169" s="167">
        <f t="shared" si="67"/>
        <v>0</v>
      </c>
    </row>
    <row r="170" spans="1:47" ht="30" customHeight="1" x14ac:dyDescent="0.25">
      <c r="A170" s="76"/>
      <c r="B170" s="158" t="s">
        <v>1301</v>
      </c>
      <c r="C170" s="411" t="s">
        <v>1278</v>
      </c>
      <c r="D170" s="412"/>
      <c r="E170" s="408"/>
      <c r="F170" s="409"/>
      <c r="G170" s="397"/>
      <c r="H170" s="394"/>
      <c r="I170" s="162" t="s">
        <v>532</v>
      </c>
      <c r="J170" s="163"/>
      <c r="K170" s="164"/>
      <c r="L170" s="164"/>
      <c r="M170" s="164"/>
      <c r="N170" s="164"/>
      <c r="O170" s="164"/>
      <c r="P170" s="164"/>
      <c r="Q170" s="164"/>
      <c r="R170" s="164"/>
      <c r="S170" s="164"/>
      <c r="T170" s="164"/>
      <c r="U170" s="164"/>
      <c r="V170" s="164"/>
      <c r="W170" s="164"/>
      <c r="X170" s="164"/>
      <c r="Y170" s="164"/>
      <c r="Z170" s="164"/>
      <c r="AA170" s="164"/>
      <c r="AB170" s="164"/>
      <c r="AC170" s="164"/>
      <c r="AD170" s="164"/>
      <c r="AE170" s="164"/>
      <c r="AF170" s="164"/>
      <c r="AG170" s="164"/>
      <c r="AH170" s="164"/>
      <c r="AI170" s="164"/>
      <c r="AJ170" s="164"/>
      <c r="AK170" s="164"/>
      <c r="AL170" s="164"/>
      <c r="AM170" s="164"/>
      <c r="AN170" s="165"/>
      <c r="AO170" s="166">
        <f t="shared" si="55"/>
        <v>0</v>
      </c>
      <c r="AP170" s="12"/>
      <c r="AQ170" s="167">
        <f t="shared" si="64"/>
        <v>0</v>
      </c>
      <c r="AR170" s="12"/>
      <c r="AS170" s="167">
        <f t="shared" si="65"/>
        <v>0</v>
      </c>
      <c r="AT170" s="168">
        <f t="shared" si="66"/>
        <v>0</v>
      </c>
      <c r="AU170" s="167">
        <f t="shared" si="67"/>
        <v>0</v>
      </c>
    </row>
    <row r="171" spans="1:47" ht="30" customHeight="1" x14ac:dyDescent="0.25">
      <c r="A171" s="76"/>
      <c r="B171" s="158" t="s">
        <v>1302</v>
      </c>
      <c r="C171" s="411" t="s">
        <v>1279</v>
      </c>
      <c r="D171" s="412"/>
      <c r="E171" s="408"/>
      <c r="F171" s="409"/>
      <c r="G171" s="397"/>
      <c r="H171" s="394"/>
      <c r="I171" s="162" t="s">
        <v>532</v>
      </c>
      <c r="J171" s="163"/>
      <c r="K171" s="164"/>
      <c r="L171" s="164"/>
      <c r="M171" s="164"/>
      <c r="N171" s="164"/>
      <c r="O171" s="164"/>
      <c r="P171" s="164"/>
      <c r="Q171" s="164"/>
      <c r="R171" s="164"/>
      <c r="S171" s="164"/>
      <c r="T171" s="164"/>
      <c r="U171" s="164"/>
      <c r="V171" s="164"/>
      <c r="W171" s="164"/>
      <c r="X171" s="164"/>
      <c r="Y171" s="164"/>
      <c r="Z171" s="164"/>
      <c r="AA171" s="164"/>
      <c r="AB171" s="164"/>
      <c r="AC171" s="164"/>
      <c r="AD171" s="164"/>
      <c r="AE171" s="164"/>
      <c r="AF171" s="164"/>
      <c r="AG171" s="164"/>
      <c r="AH171" s="164"/>
      <c r="AI171" s="164"/>
      <c r="AJ171" s="164"/>
      <c r="AK171" s="164"/>
      <c r="AL171" s="164"/>
      <c r="AM171" s="164"/>
      <c r="AN171" s="165"/>
      <c r="AO171" s="166">
        <f t="shared" si="55"/>
        <v>0</v>
      </c>
      <c r="AP171" s="12"/>
      <c r="AQ171" s="167">
        <f t="shared" si="64"/>
        <v>0</v>
      </c>
      <c r="AR171" s="12"/>
      <c r="AS171" s="167">
        <f t="shared" si="65"/>
        <v>0</v>
      </c>
      <c r="AT171" s="168">
        <f t="shared" si="66"/>
        <v>0</v>
      </c>
      <c r="AU171" s="167">
        <f t="shared" si="67"/>
        <v>0</v>
      </c>
    </row>
    <row r="172" spans="1:47" ht="30" customHeight="1" x14ac:dyDescent="0.25">
      <c r="A172" s="76"/>
      <c r="B172" s="158" t="s">
        <v>1303</v>
      </c>
      <c r="C172" s="411" t="s">
        <v>1280</v>
      </c>
      <c r="D172" s="412"/>
      <c r="E172" s="408"/>
      <c r="F172" s="409"/>
      <c r="G172" s="397"/>
      <c r="H172" s="394"/>
      <c r="I172" s="162" t="s">
        <v>532</v>
      </c>
      <c r="J172" s="163"/>
      <c r="K172" s="164"/>
      <c r="L172" s="164"/>
      <c r="M172" s="164"/>
      <c r="N172" s="164"/>
      <c r="O172" s="164">
        <v>0</v>
      </c>
      <c r="P172" s="164"/>
      <c r="Q172" s="164"/>
      <c r="R172" s="164"/>
      <c r="S172" s="164"/>
      <c r="T172" s="164"/>
      <c r="U172" s="164"/>
      <c r="V172" s="164"/>
      <c r="W172" s="164"/>
      <c r="X172" s="164"/>
      <c r="Y172" s="164"/>
      <c r="Z172" s="164"/>
      <c r="AA172" s="164"/>
      <c r="AB172" s="164"/>
      <c r="AC172" s="164"/>
      <c r="AD172" s="164"/>
      <c r="AE172" s="164"/>
      <c r="AF172" s="164"/>
      <c r="AG172" s="164"/>
      <c r="AH172" s="164"/>
      <c r="AI172" s="164"/>
      <c r="AJ172" s="164"/>
      <c r="AK172" s="164"/>
      <c r="AL172" s="164"/>
      <c r="AM172" s="164"/>
      <c r="AN172" s="165"/>
      <c r="AO172" s="166">
        <f t="shared" si="55"/>
        <v>0</v>
      </c>
      <c r="AP172" s="12"/>
      <c r="AQ172" s="167">
        <f t="shared" si="64"/>
        <v>0</v>
      </c>
      <c r="AR172" s="12"/>
      <c r="AS172" s="167">
        <f t="shared" si="65"/>
        <v>0</v>
      </c>
      <c r="AT172" s="168">
        <f t="shared" si="66"/>
        <v>0</v>
      </c>
      <c r="AU172" s="167">
        <f t="shared" si="67"/>
        <v>0</v>
      </c>
    </row>
    <row r="173" spans="1:47" ht="30" customHeight="1" x14ac:dyDescent="0.25">
      <c r="A173" s="76"/>
      <c r="B173" s="158" t="s">
        <v>1304</v>
      </c>
      <c r="C173" s="411" t="s">
        <v>1281</v>
      </c>
      <c r="D173" s="412"/>
      <c r="E173" s="408"/>
      <c r="F173" s="409"/>
      <c r="G173" s="397"/>
      <c r="H173" s="394"/>
      <c r="I173" s="162" t="s">
        <v>532</v>
      </c>
      <c r="J173" s="163"/>
      <c r="K173" s="164"/>
      <c r="L173" s="164"/>
      <c r="M173" s="164"/>
      <c r="N173" s="164"/>
      <c r="O173" s="164"/>
      <c r="P173" s="164"/>
      <c r="Q173" s="164"/>
      <c r="R173" s="164"/>
      <c r="S173" s="164"/>
      <c r="T173" s="164"/>
      <c r="U173" s="164"/>
      <c r="V173" s="164"/>
      <c r="W173" s="164"/>
      <c r="X173" s="164"/>
      <c r="Y173" s="164"/>
      <c r="Z173" s="164"/>
      <c r="AA173" s="164"/>
      <c r="AB173" s="164"/>
      <c r="AC173" s="164"/>
      <c r="AD173" s="164"/>
      <c r="AE173" s="164"/>
      <c r="AF173" s="164"/>
      <c r="AG173" s="164"/>
      <c r="AH173" s="164"/>
      <c r="AI173" s="164"/>
      <c r="AJ173" s="164"/>
      <c r="AK173" s="164"/>
      <c r="AL173" s="164"/>
      <c r="AM173" s="164"/>
      <c r="AN173" s="165"/>
      <c r="AO173" s="166">
        <f t="shared" si="55"/>
        <v>0</v>
      </c>
      <c r="AP173" s="12"/>
      <c r="AQ173" s="167">
        <f t="shared" si="64"/>
        <v>0</v>
      </c>
      <c r="AR173" s="12"/>
      <c r="AS173" s="167">
        <f t="shared" si="65"/>
        <v>0</v>
      </c>
      <c r="AT173" s="168">
        <f t="shared" si="66"/>
        <v>0</v>
      </c>
      <c r="AU173" s="167">
        <f t="shared" si="67"/>
        <v>0</v>
      </c>
    </row>
    <row r="174" spans="1:47" ht="30" customHeight="1" x14ac:dyDescent="0.25">
      <c r="A174" s="76"/>
      <c r="B174" s="158" t="s">
        <v>1305</v>
      </c>
      <c r="C174" s="411" t="s">
        <v>1186</v>
      </c>
      <c r="D174" s="412"/>
      <c r="E174" s="408"/>
      <c r="F174" s="409"/>
      <c r="G174" s="397"/>
      <c r="H174" s="394"/>
      <c r="I174" s="162" t="s">
        <v>532</v>
      </c>
      <c r="J174" s="163"/>
      <c r="K174" s="164"/>
      <c r="L174" s="164"/>
      <c r="M174" s="164"/>
      <c r="N174" s="164"/>
      <c r="O174" s="164"/>
      <c r="P174" s="164"/>
      <c r="Q174" s="164"/>
      <c r="R174" s="164"/>
      <c r="S174" s="164"/>
      <c r="T174" s="164"/>
      <c r="U174" s="164"/>
      <c r="V174" s="164"/>
      <c r="W174" s="164"/>
      <c r="X174" s="164"/>
      <c r="Y174" s="164"/>
      <c r="Z174" s="164"/>
      <c r="AA174" s="164"/>
      <c r="AB174" s="164"/>
      <c r="AC174" s="164"/>
      <c r="AD174" s="164"/>
      <c r="AE174" s="164"/>
      <c r="AF174" s="164"/>
      <c r="AG174" s="164"/>
      <c r="AH174" s="164"/>
      <c r="AI174" s="164"/>
      <c r="AJ174" s="164"/>
      <c r="AK174" s="164"/>
      <c r="AL174" s="164"/>
      <c r="AM174" s="164"/>
      <c r="AN174" s="165"/>
      <c r="AO174" s="166">
        <f t="shared" si="55"/>
        <v>0</v>
      </c>
      <c r="AP174" s="12"/>
      <c r="AQ174" s="167">
        <f t="shared" si="64"/>
        <v>0</v>
      </c>
      <c r="AR174" s="12"/>
      <c r="AS174" s="167">
        <f t="shared" si="65"/>
        <v>0</v>
      </c>
      <c r="AT174" s="168">
        <f t="shared" si="66"/>
        <v>0</v>
      </c>
      <c r="AU174" s="167">
        <f t="shared" si="67"/>
        <v>0</v>
      </c>
    </row>
    <row r="175" spans="1:47" ht="30" customHeight="1" x14ac:dyDescent="0.25">
      <c r="A175" s="76"/>
      <c r="B175" s="158" t="s">
        <v>1306</v>
      </c>
      <c r="C175" s="411" t="s">
        <v>1187</v>
      </c>
      <c r="D175" s="412"/>
      <c r="E175" s="408"/>
      <c r="F175" s="409"/>
      <c r="G175" s="397"/>
      <c r="H175" s="394"/>
      <c r="I175" s="162" t="s">
        <v>532</v>
      </c>
      <c r="J175" s="163"/>
      <c r="K175" s="164"/>
      <c r="L175" s="164"/>
      <c r="M175" s="164"/>
      <c r="N175" s="164"/>
      <c r="O175" s="164"/>
      <c r="P175" s="164"/>
      <c r="Q175" s="164"/>
      <c r="R175" s="164"/>
      <c r="S175" s="164"/>
      <c r="T175" s="164"/>
      <c r="U175" s="164"/>
      <c r="V175" s="164"/>
      <c r="W175" s="164"/>
      <c r="X175" s="164"/>
      <c r="Y175" s="164"/>
      <c r="Z175" s="164"/>
      <c r="AA175" s="164"/>
      <c r="AB175" s="164"/>
      <c r="AC175" s="164"/>
      <c r="AD175" s="164"/>
      <c r="AE175" s="164"/>
      <c r="AF175" s="164"/>
      <c r="AG175" s="164"/>
      <c r="AH175" s="164"/>
      <c r="AI175" s="164"/>
      <c r="AJ175" s="164"/>
      <c r="AK175" s="164"/>
      <c r="AL175" s="164"/>
      <c r="AM175" s="164"/>
      <c r="AN175" s="165"/>
      <c r="AO175" s="166">
        <f t="shared" si="55"/>
        <v>0</v>
      </c>
      <c r="AP175" s="12"/>
      <c r="AQ175" s="167">
        <f t="shared" si="64"/>
        <v>0</v>
      </c>
      <c r="AR175" s="12"/>
      <c r="AS175" s="167">
        <f t="shared" si="65"/>
        <v>0</v>
      </c>
      <c r="AT175" s="168">
        <f t="shared" si="66"/>
        <v>0</v>
      </c>
      <c r="AU175" s="167">
        <f t="shared" si="67"/>
        <v>0</v>
      </c>
    </row>
    <row r="176" spans="1:47" ht="30" customHeight="1" x14ac:dyDescent="0.25">
      <c r="A176" s="76"/>
      <c r="B176" s="158" t="s">
        <v>1307</v>
      </c>
      <c r="C176" s="411" t="s">
        <v>1188</v>
      </c>
      <c r="D176" s="412"/>
      <c r="E176" s="408"/>
      <c r="F176" s="409"/>
      <c r="G176" s="397"/>
      <c r="H176" s="394"/>
      <c r="I176" s="162" t="s">
        <v>532</v>
      </c>
      <c r="J176" s="163"/>
      <c r="K176" s="164"/>
      <c r="L176" s="164"/>
      <c r="M176" s="164"/>
      <c r="N176" s="164"/>
      <c r="O176" s="164"/>
      <c r="P176" s="164"/>
      <c r="Q176" s="164"/>
      <c r="R176" s="164"/>
      <c r="S176" s="164"/>
      <c r="T176" s="164"/>
      <c r="U176" s="164"/>
      <c r="V176" s="164"/>
      <c r="W176" s="164"/>
      <c r="X176" s="164"/>
      <c r="Y176" s="164"/>
      <c r="Z176" s="164"/>
      <c r="AA176" s="164"/>
      <c r="AB176" s="164"/>
      <c r="AC176" s="164"/>
      <c r="AD176" s="164"/>
      <c r="AE176" s="164"/>
      <c r="AF176" s="164"/>
      <c r="AG176" s="164"/>
      <c r="AH176" s="164"/>
      <c r="AI176" s="164"/>
      <c r="AJ176" s="164"/>
      <c r="AK176" s="164"/>
      <c r="AL176" s="164"/>
      <c r="AM176" s="164"/>
      <c r="AN176" s="165"/>
      <c r="AO176" s="166">
        <f t="shared" si="55"/>
        <v>0</v>
      </c>
      <c r="AP176" s="12"/>
      <c r="AQ176" s="167">
        <f t="shared" si="64"/>
        <v>0</v>
      </c>
      <c r="AR176" s="12"/>
      <c r="AS176" s="167">
        <f t="shared" si="65"/>
        <v>0</v>
      </c>
      <c r="AT176" s="168">
        <f t="shared" si="66"/>
        <v>0</v>
      </c>
      <c r="AU176" s="167">
        <f t="shared" si="67"/>
        <v>0</v>
      </c>
    </row>
    <row r="177" spans="1:47" ht="30" customHeight="1" x14ac:dyDescent="0.25">
      <c r="A177" s="76"/>
      <c r="B177" s="158" t="s">
        <v>1308</v>
      </c>
      <c r="C177" s="411" t="s">
        <v>1189</v>
      </c>
      <c r="D177" s="412"/>
      <c r="E177" s="408"/>
      <c r="F177" s="409"/>
      <c r="G177" s="397"/>
      <c r="H177" s="394"/>
      <c r="I177" s="162" t="s">
        <v>532</v>
      </c>
      <c r="J177" s="163"/>
      <c r="K177" s="164"/>
      <c r="L177" s="164"/>
      <c r="M177" s="164"/>
      <c r="N177" s="164"/>
      <c r="O177" s="164"/>
      <c r="P177" s="164"/>
      <c r="Q177" s="164"/>
      <c r="R177" s="164"/>
      <c r="S177" s="164"/>
      <c r="T177" s="164"/>
      <c r="U177" s="164"/>
      <c r="V177" s="164"/>
      <c r="W177" s="164"/>
      <c r="X177" s="164"/>
      <c r="Y177" s="164"/>
      <c r="Z177" s="164"/>
      <c r="AA177" s="164"/>
      <c r="AB177" s="164"/>
      <c r="AC177" s="164"/>
      <c r="AD177" s="164"/>
      <c r="AE177" s="164"/>
      <c r="AF177" s="164"/>
      <c r="AG177" s="164"/>
      <c r="AH177" s="164"/>
      <c r="AI177" s="164"/>
      <c r="AJ177" s="164"/>
      <c r="AK177" s="164"/>
      <c r="AL177" s="164"/>
      <c r="AM177" s="164"/>
      <c r="AN177" s="165"/>
      <c r="AO177" s="166">
        <f t="shared" si="55"/>
        <v>0</v>
      </c>
      <c r="AP177" s="12"/>
      <c r="AQ177" s="167">
        <f t="shared" si="64"/>
        <v>0</v>
      </c>
      <c r="AR177" s="12"/>
      <c r="AS177" s="167">
        <f t="shared" si="65"/>
        <v>0</v>
      </c>
      <c r="AT177" s="168">
        <f t="shared" si="66"/>
        <v>0</v>
      </c>
      <c r="AU177" s="167">
        <f t="shared" si="67"/>
        <v>0</v>
      </c>
    </row>
    <row r="178" spans="1:47" ht="30" customHeight="1" x14ac:dyDescent="0.25">
      <c r="A178" s="76"/>
      <c r="B178" s="158" t="s">
        <v>1309</v>
      </c>
      <c r="C178" s="411" t="s">
        <v>1190</v>
      </c>
      <c r="D178" s="412"/>
      <c r="E178" s="408"/>
      <c r="F178" s="409"/>
      <c r="G178" s="397"/>
      <c r="H178" s="394"/>
      <c r="I178" s="162" t="s">
        <v>532</v>
      </c>
      <c r="J178" s="163"/>
      <c r="K178" s="164"/>
      <c r="L178" s="164"/>
      <c r="M178" s="164"/>
      <c r="N178" s="164"/>
      <c r="O178" s="164"/>
      <c r="P178" s="164"/>
      <c r="Q178" s="164"/>
      <c r="R178" s="164"/>
      <c r="S178" s="164"/>
      <c r="T178" s="164"/>
      <c r="U178" s="164"/>
      <c r="V178" s="164"/>
      <c r="W178" s="164"/>
      <c r="X178" s="164"/>
      <c r="Y178" s="164"/>
      <c r="Z178" s="164"/>
      <c r="AA178" s="164"/>
      <c r="AB178" s="164"/>
      <c r="AC178" s="164"/>
      <c r="AD178" s="164"/>
      <c r="AE178" s="164"/>
      <c r="AF178" s="164"/>
      <c r="AG178" s="164"/>
      <c r="AH178" s="164"/>
      <c r="AI178" s="164"/>
      <c r="AJ178" s="164"/>
      <c r="AK178" s="164"/>
      <c r="AL178" s="164"/>
      <c r="AM178" s="164"/>
      <c r="AN178" s="165"/>
      <c r="AO178" s="166">
        <f t="shared" si="55"/>
        <v>0</v>
      </c>
      <c r="AP178" s="12"/>
      <c r="AQ178" s="167">
        <f t="shared" si="64"/>
        <v>0</v>
      </c>
      <c r="AR178" s="12"/>
      <c r="AS178" s="167">
        <f t="shared" si="65"/>
        <v>0</v>
      </c>
      <c r="AT178" s="168">
        <f t="shared" si="66"/>
        <v>0</v>
      </c>
      <c r="AU178" s="167">
        <f t="shared" si="67"/>
        <v>0</v>
      </c>
    </row>
    <row r="179" spans="1:47" ht="30" customHeight="1" x14ac:dyDescent="0.25">
      <c r="A179" s="76"/>
      <c r="B179" s="158" t="s">
        <v>1310</v>
      </c>
      <c r="C179" s="411" t="s">
        <v>1250</v>
      </c>
      <c r="D179" s="412"/>
      <c r="E179" s="408"/>
      <c r="F179" s="409"/>
      <c r="G179" s="397"/>
      <c r="H179" s="394"/>
      <c r="I179" s="162" t="s">
        <v>532</v>
      </c>
      <c r="J179" s="163"/>
      <c r="K179" s="164"/>
      <c r="L179" s="164"/>
      <c r="M179" s="164"/>
      <c r="N179" s="164"/>
      <c r="O179" s="164"/>
      <c r="P179" s="164"/>
      <c r="Q179" s="164"/>
      <c r="R179" s="164"/>
      <c r="S179" s="164"/>
      <c r="T179" s="164"/>
      <c r="U179" s="164"/>
      <c r="V179" s="164"/>
      <c r="W179" s="164"/>
      <c r="X179" s="164"/>
      <c r="Y179" s="164"/>
      <c r="Z179" s="164"/>
      <c r="AA179" s="164"/>
      <c r="AB179" s="164"/>
      <c r="AC179" s="164"/>
      <c r="AD179" s="164"/>
      <c r="AE179" s="164"/>
      <c r="AF179" s="164"/>
      <c r="AG179" s="164"/>
      <c r="AH179" s="164"/>
      <c r="AI179" s="164"/>
      <c r="AJ179" s="164"/>
      <c r="AK179" s="164"/>
      <c r="AL179" s="164"/>
      <c r="AM179" s="164"/>
      <c r="AN179" s="165"/>
      <c r="AO179" s="166">
        <f t="shared" si="55"/>
        <v>0</v>
      </c>
      <c r="AP179" s="12"/>
      <c r="AQ179" s="167">
        <f t="shared" si="64"/>
        <v>0</v>
      </c>
      <c r="AR179" s="12"/>
      <c r="AS179" s="167">
        <f t="shared" si="65"/>
        <v>0</v>
      </c>
      <c r="AT179" s="168">
        <f t="shared" si="66"/>
        <v>0</v>
      </c>
      <c r="AU179" s="167">
        <f t="shared" si="67"/>
        <v>0</v>
      </c>
    </row>
    <row r="180" spans="1:47" ht="30" customHeight="1" x14ac:dyDescent="0.25">
      <c r="A180" s="76"/>
      <c r="B180" s="158" t="s">
        <v>1311</v>
      </c>
      <c r="C180" s="411" t="s">
        <v>1251</v>
      </c>
      <c r="D180" s="412"/>
      <c r="E180" s="408"/>
      <c r="F180" s="409"/>
      <c r="G180" s="397"/>
      <c r="H180" s="394"/>
      <c r="I180" s="162" t="s">
        <v>532</v>
      </c>
      <c r="J180" s="163"/>
      <c r="K180" s="164"/>
      <c r="L180" s="164"/>
      <c r="M180" s="164"/>
      <c r="N180" s="164"/>
      <c r="O180" s="164"/>
      <c r="P180" s="164"/>
      <c r="Q180" s="164"/>
      <c r="R180" s="164"/>
      <c r="S180" s="164"/>
      <c r="T180" s="164"/>
      <c r="U180" s="164"/>
      <c r="V180" s="164"/>
      <c r="W180" s="164"/>
      <c r="X180" s="164"/>
      <c r="Y180" s="164"/>
      <c r="Z180" s="164"/>
      <c r="AA180" s="164"/>
      <c r="AB180" s="164"/>
      <c r="AC180" s="164"/>
      <c r="AD180" s="164"/>
      <c r="AE180" s="164"/>
      <c r="AF180" s="164"/>
      <c r="AG180" s="164"/>
      <c r="AH180" s="164"/>
      <c r="AI180" s="164"/>
      <c r="AJ180" s="164"/>
      <c r="AK180" s="164"/>
      <c r="AL180" s="164"/>
      <c r="AM180" s="164"/>
      <c r="AN180" s="165"/>
      <c r="AO180" s="166">
        <f t="shared" si="55"/>
        <v>0</v>
      </c>
      <c r="AP180" s="12"/>
      <c r="AQ180" s="167">
        <f t="shared" si="64"/>
        <v>0</v>
      </c>
      <c r="AR180" s="12"/>
      <c r="AS180" s="167">
        <f t="shared" si="65"/>
        <v>0</v>
      </c>
      <c r="AT180" s="168">
        <f t="shared" si="66"/>
        <v>0</v>
      </c>
      <c r="AU180" s="167">
        <f t="shared" si="67"/>
        <v>0</v>
      </c>
    </row>
    <row r="181" spans="1:47" ht="30" customHeight="1" x14ac:dyDescent="0.25">
      <c r="A181" s="76"/>
      <c r="B181" s="158" t="s">
        <v>1312</v>
      </c>
      <c r="C181" s="411" t="s">
        <v>1252</v>
      </c>
      <c r="D181" s="412"/>
      <c r="E181" s="408"/>
      <c r="F181" s="409"/>
      <c r="G181" s="397"/>
      <c r="H181" s="394"/>
      <c r="I181" s="162" t="s">
        <v>532</v>
      </c>
      <c r="J181" s="163"/>
      <c r="K181" s="164"/>
      <c r="L181" s="164"/>
      <c r="M181" s="164"/>
      <c r="N181" s="164"/>
      <c r="O181" s="164"/>
      <c r="P181" s="164"/>
      <c r="Q181" s="164"/>
      <c r="R181" s="164"/>
      <c r="S181" s="164"/>
      <c r="T181" s="164"/>
      <c r="U181" s="164"/>
      <c r="V181" s="164"/>
      <c r="W181" s="164"/>
      <c r="X181" s="164"/>
      <c r="Y181" s="164"/>
      <c r="Z181" s="164"/>
      <c r="AA181" s="164"/>
      <c r="AB181" s="164"/>
      <c r="AC181" s="164"/>
      <c r="AD181" s="164"/>
      <c r="AE181" s="164"/>
      <c r="AF181" s="164"/>
      <c r="AG181" s="164"/>
      <c r="AH181" s="164"/>
      <c r="AI181" s="164"/>
      <c r="AJ181" s="164"/>
      <c r="AK181" s="164"/>
      <c r="AL181" s="164"/>
      <c r="AM181" s="164"/>
      <c r="AN181" s="165"/>
      <c r="AO181" s="166">
        <f t="shared" si="55"/>
        <v>0</v>
      </c>
      <c r="AP181" s="12"/>
      <c r="AQ181" s="167">
        <f t="shared" si="64"/>
        <v>0</v>
      </c>
      <c r="AR181" s="12"/>
      <c r="AS181" s="167">
        <f t="shared" si="65"/>
        <v>0</v>
      </c>
      <c r="AT181" s="168">
        <f t="shared" si="66"/>
        <v>0</v>
      </c>
      <c r="AU181" s="167">
        <f t="shared" si="67"/>
        <v>0</v>
      </c>
    </row>
    <row r="182" spans="1:47" ht="30" customHeight="1" x14ac:dyDescent="0.25">
      <c r="A182" s="76"/>
      <c r="B182" s="158" t="s">
        <v>1313</v>
      </c>
      <c r="C182" s="411" t="s">
        <v>1253</v>
      </c>
      <c r="D182" s="412"/>
      <c r="E182" s="408"/>
      <c r="F182" s="409"/>
      <c r="G182" s="397"/>
      <c r="H182" s="394"/>
      <c r="I182" s="162" t="s">
        <v>532</v>
      </c>
      <c r="J182" s="163"/>
      <c r="K182" s="164"/>
      <c r="L182" s="164"/>
      <c r="M182" s="164"/>
      <c r="N182" s="164"/>
      <c r="O182" s="164"/>
      <c r="P182" s="164"/>
      <c r="Q182" s="164"/>
      <c r="R182" s="164"/>
      <c r="S182" s="164"/>
      <c r="T182" s="164"/>
      <c r="U182" s="164"/>
      <c r="V182" s="164"/>
      <c r="W182" s="164"/>
      <c r="X182" s="164"/>
      <c r="Y182" s="164"/>
      <c r="Z182" s="164"/>
      <c r="AA182" s="164"/>
      <c r="AB182" s="164"/>
      <c r="AC182" s="164"/>
      <c r="AD182" s="164"/>
      <c r="AE182" s="164"/>
      <c r="AF182" s="164"/>
      <c r="AG182" s="164"/>
      <c r="AH182" s="164"/>
      <c r="AI182" s="164"/>
      <c r="AJ182" s="164"/>
      <c r="AK182" s="164"/>
      <c r="AL182" s="164"/>
      <c r="AM182" s="164"/>
      <c r="AN182" s="165"/>
      <c r="AO182" s="166">
        <f t="shared" si="55"/>
        <v>0</v>
      </c>
      <c r="AP182" s="12"/>
      <c r="AQ182" s="167">
        <f t="shared" si="64"/>
        <v>0</v>
      </c>
      <c r="AR182" s="12"/>
      <c r="AS182" s="167">
        <f t="shared" si="65"/>
        <v>0</v>
      </c>
      <c r="AT182" s="168">
        <f t="shared" si="66"/>
        <v>0</v>
      </c>
      <c r="AU182" s="167">
        <f t="shared" si="67"/>
        <v>0</v>
      </c>
    </row>
    <row r="183" spans="1:47" ht="30" customHeight="1" x14ac:dyDescent="0.25">
      <c r="A183" s="76"/>
      <c r="B183" s="158" t="s">
        <v>1314</v>
      </c>
      <c r="C183" s="411" t="s">
        <v>1254</v>
      </c>
      <c r="D183" s="412"/>
      <c r="E183" s="408"/>
      <c r="F183" s="409"/>
      <c r="G183" s="397"/>
      <c r="H183" s="394"/>
      <c r="I183" s="162" t="s">
        <v>532</v>
      </c>
      <c r="J183" s="163"/>
      <c r="K183" s="164"/>
      <c r="L183" s="164"/>
      <c r="M183" s="164"/>
      <c r="N183" s="164"/>
      <c r="O183" s="164"/>
      <c r="P183" s="164"/>
      <c r="Q183" s="164"/>
      <c r="R183" s="164"/>
      <c r="S183" s="164"/>
      <c r="T183" s="164"/>
      <c r="U183" s="164"/>
      <c r="V183" s="164"/>
      <c r="W183" s="164"/>
      <c r="X183" s="164"/>
      <c r="Y183" s="164"/>
      <c r="Z183" s="164"/>
      <c r="AA183" s="164"/>
      <c r="AB183" s="164"/>
      <c r="AC183" s="164"/>
      <c r="AD183" s="164"/>
      <c r="AE183" s="164"/>
      <c r="AF183" s="164"/>
      <c r="AG183" s="164"/>
      <c r="AH183" s="164"/>
      <c r="AI183" s="164"/>
      <c r="AJ183" s="164"/>
      <c r="AK183" s="164"/>
      <c r="AL183" s="164"/>
      <c r="AM183" s="164"/>
      <c r="AN183" s="165"/>
      <c r="AO183" s="166">
        <f t="shared" si="55"/>
        <v>0</v>
      </c>
      <c r="AP183" s="12"/>
      <c r="AQ183" s="167">
        <f t="shared" si="64"/>
        <v>0</v>
      </c>
      <c r="AR183" s="12"/>
      <c r="AS183" s="167">
        <f t="shared" si="65"/>
        <v>0</v>
      </c>
      <c r="AT183" s="168">
        <f t="shared" si="66"/>
        <v>0</v>
      </c>
      <c r="AU183" s="167">
        <f t="shared" si="67"/>
        <v>0</v>
      </c>
    </row>
    <row r="184" spans="1:47" ht="30" customHeight="1" x14ac:dyDescent="0.25">
      <c r="A184" s="76"/>
      <c r="B184" s="158" t="s">
        <v>1315</v>
      </c>
      <c r="C184" s="411" t="s">
        <v>1255</v>
      </c>
      <c r="D184" s="412"/>
      <c r="E184" s="408"/>
      <c r="F184" s="409"/>
      <c r="G184" s="397"/>
      <c r="H184" s="394"/>
      <c r="I184" s="162" t="s">
        <v>532</v>
      </c>
      <c r="J184" s="163"/>
      <c r="K184" s="164"/>
      <c r="L184" s="164"/>
      <c r="M184" s="164"/>
      <c r="N184" s="164"/>
      <c r="O184" s="164"/>
      <c r="P184" s="164"/>
      <c r="Q184" s="164"/>
      <c r="R184" s="164"/>
      <c r="S184" s="164"/>
      <c r="T184" s="164"/>
      <c r="U184" s="164"/>
      <c r="V184" s="164"/>
      <c r="W184" s="164"/>
      <c r="X184" s="164"/>
      <c r="Y184" s="164"/>
      <c r="Z184" s="164"/>
      <c r="AA184" s="164"/>
      <c r="AB184" s="164"/>
      <c r="AC184" s="164"/>
      <c r="AD184" s="164"/>
      <c r="AE184" s="164"/>
      <c r="AF184" s="164"/>
      <c r="AG184" s="164"/>
      <c r="AH184" s="164"/>
      <c r="AI184" s="164"/>
      <c r="AJ184" s="164"/>
      <c r="AK184" s="164"/>
      <c r="AL184" s="164"/>
      <c r="AM184" s="164"/>
      <c r="AN184" s="165"/>
      <c r="AO184" s="166">
        <f t="shared" si="55"/>
        <v>0</v>
      </c>
      <c r="AP184" s="12"/>
      <c r="AQ184" s="167">
        <f t="shared" si="64"/>
        <v>0</v>
      </c>
      <c r="AR184" s="12"/>
      <c r="AS184" s="167">
        <f t="shared" si="65"/>
        <v>0</v>
      </c>
      <c r="AT184" s="168">
        <f t="shared" si="66"/>
        <v>0</v>
      </c>
      <c r="AU184" s="167">
        <f t="shared" si="67"/>
        <v>0</v>
      </c>
    </row>
    <row r="185" spans="1:47" ht="30" customHeight="1" x14ac:dyDescent="0.25">
      <c r="A185" s="76"/>
      <c r="B185" s="158" t="s">
        <v>1316</v>
      </c>
      <c r="C185" s="411" t="s">
        <v>1192</v>
      </c>
      <c r="D185" s="412"/>
      <c r="E185" s="408"/>
      <c r="F185" s="409"/>
      <c r="G185" s="397"/>
      <c r="H185" s="394"/>
      <c r="I185" s="162" t="s">
        <v>532</v>
      </c>
      <c r="J185" s="163"/>
      <c r="K185" s="164"/>
      <c r="L185" s="164"/>
      <c r="M185" s="164"/>
      <c r="N185" s="164"/>
      <c r="O185" s="164"/>
      <c r="P185" s="164"/>
      <c r="Q185" s="164"/>
      <c r="R185" s="164"/>
      <c r="S185" s="164"/>
      <c r="T185" s="164">
        <v>15</v>
      </c>
      <c r="U185" s="164"/>
      <c r="V185" s="164"/>
      <c r="W185" s="164"/>
      <c r="X185" s="164"/>
      <c r="Y185" s="164"/>
      <c r="Z185" s="164"/>
      <c r="AA185" s="164"/>
      <c r="AB185" s="164"/>
      <c r="AC185" s="164"/>
      <c r="AD185" s="164"/>
      <c r="AE185" s="164"/>
      <c r="AF185" s="164"/>
      <c r="AG185" s="164"/>
      <c r="AH185" s="164"/>
      <c r="AI185" s="164"/>
      <c r="AJ185" s="164"/>
      <c r="AK185" s="164"/>
      <c r="AL185" s="164"/>
      <c r="AM185" s="164"/>
      <c r="AN185" s="165"/>
      <c r="AO185" s="166">
        <f t="shared" si="55"/>
        <v>15</v>
      </c>
      <c r="AP185" s="12"/>
      <c r="AQ185" s="167">
        <f t="shared" si="64"/>
        <v>0</v>
      </c>
      <c r="AR185" s="12"/>
      <c r="AS185" s="167">
        <f t="shared" si="65"/>
        <v>0</v>
      </c>
      <c r="AT185" s="168">
        <f t="shared" si="66"/>
        <v>0</v>
      </c>
      <c r="AU185" s="167">
        <f t="shared" si="67"/>
        <v>0</v>
      </c>
    </row>
    <row r="186" spans="1:47" ht="30" customHeight="1" x14ac:dyDescent="0.25">
      <c r="A186" s="76"/>
      <c r="B186" s="158" t="s">
        <v>1317</v>
      </c>
      <c r="C186" s="411" t="s">
        <v>1193</v>
      </c>
      <c r="D186" s="412"/>
      <c r="E186" s="408"/>
      <c r="F186" s="409"/>
      <c r="G186" s="397"/>
      <c r="H186" s="394"/>
      <c r="I186" s="162" t="s">
        <v>532</v>
      </c>
      <c r="J186" s="163"/>
      <c r="K186" s="164"/>
      <c r="L186" s="164"/>
      <c r="M186" s="164"/>
      <c r="N186" s="164"/>
      <c r="O186" s="164">
        <v>70</v>
      </c>
      <c r="P186" s="164"/>
      <c r="Q186" s="164"/>
      <c r="R186" s="164"/>
      <c r="S186" s="164"/>
      <c r="T186" s="164"/>
      <c r="U186" s="164"/>
      <c r="V186" s="164"/>
      <c r="W186" s="164"/>
      <c r="X186" s="164"/>
      <c r="Y186" s="164"/>
      <c r="Z186" s="164"/>
      <c r="AA186" s="164"/>
      <c r="AB186" s="164"/>
      <c r="AC186" s="164"/>
      <c r="AD186" s="164"/>
      <c r="AE186" s="164"/>
      <c r="AF186" s="164"/>
      <c r="AG186" s="164"/>
      <c r="AH186" s="164"/>
      <c r="AI186" s="164"/>
      <c r="AJ186" s="164"/>
      <c r="AK186" s="164"/>
      <c r="AL186" s="164"/>
      <c r="AM186" s="164"/>
      <c r="AN186" s="165"/>
      <c r="AO186" s="166">
        <f t="shared" si="55"/>
        <v>70</v>
      </c>
      <c r="AP186" s="12"/>
      <c r="AQ186" s="167">
        <f t="shared" si="64"/>
        <v>0</v>
      </c>
      <c r="AR186" s="12"/>
      <c r="AS186" s="167">
        <f t="shared" si="65"/>
        <v>0</v>
      </c>
      <c r="AT186" s="168">
        <f t="shared" si="66"/>
        <v>0</v>
      </c>
      <c r="AU186" s="167">
        <f t="shared" si="67"/>
        <v>0</v>
      </c>
    </row>
    <row r="187" spans="1:47" ht="30" customHeight="1" x14ac:dyDescent="0.25">
      <c r="A187" s="76"/>
      <c r="B187" s="158" t="s">
        <v>1318</v>
      </c>
      <c r="C187" s="411" t="s">
        <v>1194</v>
      </c>
      <c r="D187" s="412"/>
      <c r="E187" s="408"/>
      <c r="F187" s="409"/>
      <c r="G187" s="397"/>
      <c r="H187" s="394"/>
      <c r="I187" s="162" t="s">
        <v>532</v>
      </c>
      <c r="J187" s="163"/>
      <c r="K187" s="164"/>
      <c r="L187" s="164"/>
      <c r="M187" s="164"/>
      <c r="N187" s="164"/>
      <c r="O187" s="164"/>
      <c r="P187" s="164"/>
      <c r="Q187" s="164"/>
      <c r="R187" s="164"/>
      <c r="S187" s="164"/>
      <c r="T187" s="164"/>
      <c r="U187" s="164"/>
      <c r="V187" s="164"/>
      <c r="W187" s="164"/>
      <c r="X187" s="164"/>
      <c r="Y187" s="164"/>
      <c r="Z187" s="164"/>
      <c r="AA187" s="164"/>
      <c r="AB187" s="164"/>
      <c r="AC187" s="164"/>
      <c r="AD187" s="164"/>
      <c r="AE187" s="164"/>
      <c r="AF187" s="164"/>
      <c r="AG187" s="164"/>
      <c r="AH187" s="164"/>
      <c r="AI187" s="164"/>
      <c r="AJ187" s="164"/>
      <c r="AK187" s="164"/>
      <c r="AL187" s="164"/>
      <c r="AM187" s="164"/>
      <c r="AN187" s="165"/>
      <c r="AO187" s="166">
        <f t="shared" si="55"/>
        <v>0</v>
      </c>
      <c r="AP187" s="12"/>
      <c r="AQ187" s="167">
        <f t="shared" si="64"/>
        <v>0</v>
      </c>
      <c r="AR187" s="12"/>
      <c r="AS187" s="167">
        <f t="shared" si="65"/>
        <v>0</v>
      </c>
      <c r="AT187" s="168">
        <f t="shared" si="66"/>
        <v>0</v>
      </c>
      <c r="AU187" s="167">
        <f t="shared" si="67"/>
        <v>0</v>
      </c>
    </row>
    <row r="188" spans="1:47" ht="30" customHeight="1" x14ac:dyDescent="0.25">
      <c r="A188" s="76"/>
      <c r="B188" s="158" t="s">
        <v>1319</v>
      </c>
      <c r="C188" s="411" t="s">
        <v>1195</v>
      </c>
      <c r="D188" s="412"/>
      <c r="E188" s="408"/>
      <c r="F188" s="409"/>
      <c r="G188" s="397"/>
      <c r="H188" s="394"/>
      <c r="I188" s="162" t="s">
        <v>532</v>
      </c>
      <c r="J188" s="163"/>
      <c r="K188" s="164"/>
      <c r="L188" s="164"/>
      <c r="M188" s="164"/>
      <c r="N188" s="164"/>
      <c r="O188" s="164"/>
      <c r="P188" s="164"/>
      <c r="Q188" s="164"/>
      <c r="R188" s="164"/>
      <c r="S188" s="164"/>
      <c r="T188" s="164"/>
      <c r="U188" s="164"/>
      <c r="V188" s="164"/>
      <c r="W188" s="164"/>
      <c r="X188" s="164"/>
      <c r="Y188" s="164"/>
      <c r="Z188" s="164"/>
      <c r="AA188" s="164"/>
      <c r="AB188" s="164"/>
      <c r="AC188" s="164"/>
      <c r="AD188" s="164"/>
      <c r="AE188" s="164"/>
      <c r="AF188" s="164"/>
      <c r="AG188" s="164"/>
      <c r="AH188" s="164"/>
      <c r="AI188" s="164"/>
      <c r="AJ188" s="164"/>
      <c r="AK188" s="164"/>
      <c r="AL188" s="164"/>
      <c r="AM188" s="164"/>
      <c r="AN188" s="165"/>
      <c r="AO188" s="166">
        <f t="shared" si="55"/>
        <v>0</v>
      </c>
      <c r="AP188" s="12"/>
      <c r="AQ188" s="167">
        <f t="shared" si="64"/>
        <v>0</v>
      </c>
      <c r="AR188" s="12"/>
      <c r="AS188" s="167">
        <f t="shared" si="65"/>
        <v>0</v>
      </c>
      <c r="AT188" s="168">
        <f t="shared" si="66"/>
        <v>0</v>
      </c>
      <c r="AU188" s="167">
        <f t="shared" si="67"/>
        <v>0</v>
      </c>
    </row>
    <row r="189" spans="1:47" ht="30" customHeight="1" x14ac:dyDescent="0.25">
      <c r="A189" s="76"/>
      <c r="B189" s="158" t="s">
        <v>1320</v>
      </c>
      <c r="C189" s="411" t="s">
        <v>1257</v>
      </c>
      <c r="D189" s="412"/>
      <c r="E189" s="408"/>
      <c r="F189" s="409"/>
      <c r="G189" s="397"/>
      <c r="H189" s="394"/>
      <c r="I189" s="162" t="s">
        <v>532</v>
      </c>
      <c r="J189" s="163"/>
      <c r="K189" s="164"/>
      <c r="L189" s="164"/>
      <c r="M189" s="164"/>
      <c r="N189" s="164"/>
      <c r="O189" s="164"/>
      <c r="P189" s="164"/>
      <c r="Q189" s="164"/>
      <c r="R189" s="164"/>
      <c r="S189" s="164"/>
      <c r="T189" s="164"/>
      <c r="U189" s="164"/>
      <c r="V189" s="164"/>
      <c r="W189" s="164"/>
      <c r="X189" s="164"/>
      <c r="Y189" s="164"/>
      <c r="Z189" s="164"/>
      <c r="AA189" s="164"/>
      <c r="AB189" s="164"/>
      <c r="AC189" s="164"/>
      <c r="AD189" s="164"/>
      <c r="AE189" s="164"/>
      <c r="AF189" s="164"/>
      <c r="AG189" s="164"/>
      <c r="AH189" s="164"/>
      <c r="AI189" s="164"/>
      <c r="AJ189" s="164"/>
      <c r="AK189" s="164"/>
      <c r="AL189" s="164"/>
      <c r="AM189" s="164"/>
      <c r="AN189" s="165"/>
      <c r="AO189" s="166">
        <f t="shared" si="55"/>
        <v>0</v>
      </c>
      <c r="AP189" s="12"/>
      <c r="AQ189" s="167">
        <f t="shared" si="64"/>
        <v>0</v>
      </c>
      <c r="AR189" s="12"/>
      <c r="AS189" s="167">
        <f t="shared" si="65"/>
        <v>0</v>
      </c>
      <c r="AT189" s="168">
        <f t="shared" si="66"/>
        <v>0</v>
      </c>
      <c r="AU189" s="167">
        <f t="shared" si="67"/>
        <v>0</v>
      </c>
    </row>
    <row r="190" spans="1:47" ht="30" customHeight="1" x14ac:dyDescent="0.25">
      <c r="A190" s="76"/>
      <c r="B190" s="158" t="s">
        <v>1321</v>
      </c>
      <c r="C190" s="411" t="s">
        <v>1282</v>
      </c>
      <c r="D190" s="412"/>
      <c r="E190" s="408"/>
      <c r="F190" s="409"/>
      <c r="G190" s="397"/>
      <c r="H190" s="394"/>
      <c r="I190" s="162" t="s">
        <v>532</v>
      </c>
      <c r="J190" s="163"/>
      <c r="K190" s="164"/>
      <c r="L190" s="164"/>
      <c r="M190" s="164"/>
      <c r="N190" s="164"/>
      <c r="O190" s="164"/>
      <c r="P190" s="164"/>
      <c r="Q190" s="164"/>
      <c r="R190" s="164"/>
      <c r="S190" s="164"/>
      <c r="T190" s="164"/>
      <c r="U190" s="164"/>
      <c r="V190" s="164"/>
      <c r="W190" s="164"/>
      <c r="X190" s="164"/>
      <c r="Y190" s="164"/>
      <c r="Z190" s="164"/>
      <c r="AA190" s="164"/>
      <c r="AB190" s="164"/>
      <c r="AC190" s="164"/>
      <c r="AD190" s="164"/>
      <c r="AE190" s="164"/>
      <c r="AF190" s="164"/>
      <c r="AG190" s="164"/>
      <c r="AH190" s="164"/>
      <c r="AI190" s="164"/>
      <c r="AJ190" s="164"/>
      <c r="AK190" s="164"/>
      <c r="AL190" s="164"/>
      <c r="AM190" s="164"/>
      <c r="AN190" s="165"/>
      <c r="AO190" s="166">
        <f t="shared" si="55"/>
        <v>0</v>
      </c>
      <c r="AP190" s="12"/>
      <c r="AQ190" s="167">
        <f t="shared" si="64"/>
        <v>0</v>
      </c>
      <c r="AR190" s="12"/>
      <c r="AS190" s="167">
        <f t="shared" si="65"/>
        <v>0</v>
      </c>
      <c r="AT190" s="168">
        <f t="shared" si="66"/>
        <v>0</v>
      </c>
      <c r="AU190" s="167">
        <f t="shared" si="67"/>
        <v>0</v>
      </c>
    </row>
    <row r="191" spans="1:47" ht="30" customHeight="1" x14ac:dyDescent="0.25">
      <c r="A191" s="76"/>
      <c r="B191" s="169" t="s">
        <v>1322</v>
      </c>
      <c r="C191" s="404" t="s">
        <v>1283</v>
      </c>
      <c r="D191" s="405"/>
      <c r="E191" s="400"/>
      <c r="F191" s="402"/>
      <c r="G191" s="398"/>
      <c r="H191" s="395"/>
      <c r="I191" s="173" t="s">
        <v>532</v>
      </c>
      <c r="J191" s="174"/>
      <c r="K191" s="175"/>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c r="AK191" s="175"/>
      <c r="AL191" s="175"/>
      <c r="AM191" s="175"/>
      <c r="AN191" s="176"/>
      <c r="AO191" s="177">
        <f t="shared" si="55"/>
        <v>0</v>
      </c>
      <c r="AP191" s="14"/>
      <c r="AQ191" s="178">
        <f t="shared" si="60"/>
        <v>0</v>
      </c>
      <c r="AR191" s="14"/>
      <c r="AS191" s="178">
        <f t="shared" si="61"/>
        <v>0</v>
      </c>
      <c r="AT191" s="179">
        <f t="shared" si="62"/>
        <v>0</v>
      </c>
      <c r="AU191" s="178">
        <f t="shared" si="63"/>
        <v>0</v>
      </c>
    </row>
    <row r="192" spans="1:47" ht="30" customHeight="1" x14ac:dyDescent="0.25">
      <c r="A192" s="76"/>
      <c r="B192" s="148" t="s">
        <v>212</v>
      </c>
      <c r="C192" s="406" t="s">
        <v>1323</v>
      </c>
      <c r="D192" s="407"/>
      <c r="E192" s="399" t="s">
        <v>1326</v>
      </c>
      <c r="F192" s="401" t="s">
        <v>1214</v>
      </c>
      <c r="G192" s="424" t="s">
        <v>1079</v>
      </c>
      <c r="H192" s="403" t="s">
        <v>1079</v>
      </c>
      <c r="I192" s="151" t="s">
        <v>532</v>
      </c>
      <c r="J192" s="152"/>
      <c r="K192" s="153"/>
      <c r="L192" s="153"/>
      <c r="M192" s="153"/>
      <c r="N192" s="153"/>
      <c r="O192" s="153"/>
      <c r="P192" s="153"/>
      <c r="Q192" s="153"/>
      <c r="R192" s="153"/>
      <c r="S192" s="153"/>
      <c r="T192" s="153"/>
      <c r="U192" s="153"/>
      <c r="V192" s="153"/>
      <c r="W192" s="153"/>
      <c r="X192" s="153"/>
      <c r="Y192" s="153"/>
      <c r="Z192" s="153"/>
      <c r="AA192" s="153"/>
      <c r="AB192" s="153"/>
      <c r="AC192" s="153"/>
      <c r="AD192" s="153"/>
      <c r="AE192" s="153"/>
      <c r="AF192" s="153"/>
      <c r="AG192" s="153"/>
      <c r="AH192" s="153"/>
      <c r="AI192" s="153"/>
      <c r="AJ192" s="153"/>
      <c r="AK192" s="153"/>
      <c r="AL192" s="153"/>
      <c r="AM192" s="153"/>
      <c r="AN192" s="154"/>
      <c r="AO192" s="155">
        <f t="shared" si="55"/>
        <v>0</v>
      </c>
      <c r="AP192" s="13"/>
      <c r="AQ192" s="156">
        <f t="shared" si="60"/>
        <v>0</v>
      </c>
      <c r="AR192" s="13"/>
      <c r="AS192" s="156">
        <f t="shared" si="61"/>
        <v>0</v>
      </c>
      <c r="AT192" s="157">
        <f t="shared" si="62"/>
        <v>0</v>
      </c>
      <c r="AU192" s="156">
        <f t="shared" si="63"/>
        <v>0</v>
      </c>
    </row>
    <row r="193" spans="1:47" ht="30" customHeight="1" x14ac:dyDescent="0.25">
      <c r="A193" s="76"/>
      <c r="B193" s="158" t="s">
        <v>213</v>
      </c>
      <c r="C193" s="411" t="s">
        <v>1183</v>
      </c>
      <c r="D193" s="412"/>
      <c r="E193" s="408"/>
      <c r="F193" s="409"/>
      <c r="G193" s="397"/>
      <c r="H193" s="394"/>
      <c r="I193" s="162" t="s">
        <v>532</v>
      </c>
      <c r="J193" s="163"/>
      <c r="K193" s="164"/>
      <c r="L193" s="164"/>
      <c r="M193" s="164"/>
      <c r="N193" s="164"/>
      <c r="O193" s="164"/>
      <c r="P193" s="164"/>
      <c r="Q193" s="164"/>
      <c r="R193" s="164"/>
      <c r="S193" s="164"/>
      <c r="T193" s="164"/>
      <c r="U193" s="164"/>
      <c r="V193" s="164"/>
      <c r="W193" s="164"/>
      <c r="X193" s="164"/>
      <c r="Y193" s="164"/>
      <c r="Z193" s="164"/>
      <c r="AA193" s="164"/>
      <c r="AB193" s="164"/>
      <c r="AC193" s="164"/>
      <c r="AD193" s="164"/>
      <c r="AE193" s="164"/>
      <c r="AF193" s="164"/>
      <c r="AG193" s="164"/>
      <c r="AH193" s="164"/>
      <c r="AI193" s="164"/>
      <c r="AJ193" s="164"/>
      <c r="AK193" s="164"/>
      <c r="AL193" s="164"/>
      <c r="AM193" s="164"/>
      <c r="AN193" s="165"/>
      <c r="AO193" s="166">
        <f t="shared" si="55"/>
        <v>0</v>
      </c>
      <c r="AP193" s="12"/>
      <c r="AQ193" s="167">
        <f t="shared" si="60"/>
        <v>0</v>
      </c>
      <c r="AR193" s="12"/>
      <c r="AS193" s="167">
        <f t="shared" si="61"/>
        <v>0</v>
      </c>
      <c r="AT193" s="168">
        <f t="shared" si="62"/>
        <v>0</v>
      </c>
      <c r="AU193" s="167">
        <f t="shared" si="63"/>
        <v>0</v>
      </c>
    </row>
    <row r="194" spans="1:47" ht="30" customHeight="1" x14ac:dyDescent="0.25">
      <c r="A194" s="76"/>
      <c r="B194" s="158" t="s">
        <v>1260</v>
      </c>
      <c r="C194" s="411" t="s">
        <v>1184</v>
      </c>
      <c r="D194" s="412"/>
      <c r="E194" s="408"/>
      <c r="F194" s="409"/>
      <c r="G194" s="397"/>
      <c r="H194" s="394"/>
      <c r="I194" s="162" t="s">
        <v>532</v>
      </c>
      <c r="J194" s="163"/>
      <c r="K194" s="164"/>
      <c r="L194" s="164"/>
      <c r="M194" s="164"/>
      <c r="N194" s="164"/>
      <c r="O194" s="164"/>
      <c r="P194" s="164"/>
      <c r="Q194" s="164"/>
      <c r="R194" s="164"/>
      <c r="S194" s="164"/>
      <c r="T194" s="164"/>
      <c r="U194" s="164"/>
      <c r="V194" s="164"/>
      <c r="W194" s="164"/>
      <c r="X194" s="164"/>
      <c r="Y194" s="164"/>
      <c r="Z194" s="164"/>
      <c r="AA194" s="164"/>
      <c r="AB194" s="164"/>
      <c r="AC194" s="164"/>
      <c r="AD194" s="164"/>
      <c r="AE194" s="164"/>
      <c r="AF194" s="164"/>
      <c r="AG194" s="164"/>
      <c r="AH194" s="164"/>
      <c r="AI194" s="164"/>
      <c r="AJ194" s="164"/>
      <c r="AK194" s="164"/>
      <c r="AL194" s="164"/>
      <c r="AM194" s="164"/>
      <c r="AN194" s="165"/>
      <c r="AO194" s="166">
        <f t="shared" si="55"/>
        <v>0</v>
      </c>
      <c r="AP194" s="12"/>
      <c r="AQ194" s="167">
        <f t="shared" si="60"/>
        <v>0</v>
      </c>
      <c r="AR194" s="12"/>
      <c r="AS194" s="167">
        <f t="shared" si="61"/>
        <v>0</v>
      </c>
      <c r="AT194" s="168">
        <f t="shared" si="62"/>
        <v>0</v>
      </c>
      <c r="AU194" s="167">
        <f t="shared" si="63"/>
        <v>0</v>
      </c>
    </row>
    <row r="195" spans="1:47" ht="30" customHeight="1" x14ac:dyDescent="0.25">
      <c r="A195" s="76"/>
      <c r="B195" s="158" t="s">
        <v>1261</v>
      </c>
      <c r="C195" s="411" t="s">
        <v>1324</v>
      </c>
      <c r="D195" s="412"/>
      <c r="E195" s="408"/>
      <c r="F195" s="409"/>
      <c r="G195" s="397"/>
      <c r="H195" s="394"/>
      <c r="I195" s="162" t="s">
        <v>532</v>
      </c>
      <c r="J195" s="163"/>
      <c r="K195" s="164"/>
      <c r="L195" s="164"/>
      <c r="M195" s="164"/>
      <c r="N195" s="164"/>
      <c r="O195" s="164"/>
      <c r="P195" s="164"/>
      <c r="Q195" s="164"/>
      <c r="R195" s="164"/>
      <c r="S195" s="164"/>
      <c r="T195" s="164"/>
      <c r="U195" s="164"/>
      <c r="V195" s="164"/>
      <c r="W195" s="164"/>
      <c r="X195" s="164"/>
      <c r="Y195" s="164"/>
      <c r="Z195" s="164"/>
      <c r="AA195" s="164"/>
      <c r="AB195" s="164"/>
      <c r="AC195" s="164"/>
      <c r="AD195" s="164"/>
      <c r="AE195" s="164"/>
      <c r="AF195" s="164"/>
      <c r="AG195" s="164"/>
      <c r="AH195" s="164"/>
      <c r="AI195" s="164"/>
      <c r="AJ195" s="164"/>
      <c r="AK195" s="164"/>
      <c r="AL195" s="164"/>
      <c r="AM195" s="164"/>
      <c r="AN195" s="165"/>
      <c r="AO195" s="166">
        <f t="shared" si="55"/>
        <v>0</v>
      </c>
      <c r="AP195" s="12"/>
      <c r="AQ195" s="167">
        <f t="shared" si="60"/>
        <v>0</v>
      </c>
      <c r="AR195" s="12"/>
      <c r="AS195" s="167">
        <f t="shared" si="61"/>
        <v>0</v>
      </c>
      <c r="AT195" s="168">
        <f t="shared" si="62"/>
        <v>0</v>
      </c>
      <c r="AU195" s="167">
        <f t="shared" si="63"/>
        <v>0</v>
      </c>
    </row>
    <row r="196" spans="1:47" ht="30" customHeight="1" x14ac:dyDescent="0.25">
      <c r="A196" s="76"/>
      <c r="B196" s="158" t="s">
        <v>1262</v>
      </c>
      <c r="C196" s="411" t="s">
        <v>1188</v>
      </c>
      <c r="D196" s="412"/>
      <c r="E196" s="408"/>
      <c r="F196" s="409"/>
      <c r="G196" s="397"/>
      <c r="H196" s="394"/>
      <c r="I196" s="162" t="s">
        <v>532</v>
      </c>
      <c r="J196" s="163"/>
      <c r="K196" s="164"/>
      <c r="L196" s="164"/>
      <c r="M196" s="164"/>
      <c r="N196" s="164"/>
      <c r="O196" s="164"/>
      <c r="P196" s="164"/>
      <c r="Q196" s="164"/>
      <c r="R196" s="164"/>
      <c r="S196" s="164"/>
      <c r="T196" s="164"/>
      <c r="U196" s="164"/>
      <c r="V196" s="164"/>
      <c r="W196" s="164"/>
      <c r="X196" s="164"/>
      <c r="Y196" s="164"/>
      <c r="Z196" s="164"/>
      <c r="AA196" s="164"/>
      <c r="AB196" s="164"/>
      <c r="AC196" s="164"/>
      <c r="AD196" s="164"/>
      <c r="AE196" s="164"/>
      <c r="AF196" s="164"/>
      <c r="AG196" s="164"/>
      <c r="AH196" s="164"/>
      <c r="AI196" s="164"/>
      <c r="AJ196" s="164"/>
      <c r="AK196" s="164"/>
      <c r="AL196" s="164"/>
      <c r="AM196" s="164"/>
      <c r="AN196" s="165"/>
      <c r="AO196" s="166">
        <f t="shared" si="55"/>
        <v>0</v>
      </c>
      <c r="AP196" s="12"/>
      <c r="AQ196" s="167">
        <f t="shared" si="60"/>
        <v>0</v>
      </c>
      <c r="AR196" s="12"/>
      <c r="AS196" s="167">
        <f t="shared" si="61"/>
        <v>0</v>
      </c>
      <c r="AT196" s="168">
        <f t="shared" si="62"/>
        <v>0</v>
      </c>
      <c r="AU196" s="167">
        <f t="shared" si="63"/>
        <v>0</v>
      </c>
    </row>
    <row r="197" spans="1:47" ht="30" customHeight="1" x14ac:dyDescent="0.25">
      <c r="A197" s="76"/>
      <c r="B197" s="158" t="s">
        <v>1263</v>
      </c>
      <c r="C197" s="411" t="s">
        <v>1189</v>
      </c>
      <c r="D197" s="412"/>
      <c r="E197" s="408"/>
      <c r="F197" s="409"/>
      <c r="G197" s="397"/>
      <c r="H197" s="394"/>
      <c r="I197" s="162" t="s">
        <v>532</v>
      </c>
      <c r="J197" s="163"/>
      <c r="K197" s="164"/>
      <c r="L197" s="164"/>
      <c r="M197" s="164"/>
      <c r="N197" s="164"/>
      <c r="O197" s="164"/>
      <c r="P197" s="164"/>
      <c r="Q197" s="164"/>
      <c r="R197" s="164"/>
      <c r="S197" s="164"/>
      <c r="T197" s="164"/>
      <c r="U197" s="164"/>
      <c r="V197" s="164"/>
      <c r="W197" s="164"/>
      <c r="X197" s="164"/>
      <c r="Y197" s="164"/>
      <c r="Z197" s="164"/>
      <c r="AA197" s="164"/>
      <c r="AB197" s="164"/>
      <c r="AC197" s="164"/>
      <c r="AD197" s="164"/>
      <c r="AE197" s="164"/>
      <c r="AF197" s="164"/>
      <c r="AG197" s="164"/>
      <c r="AH197" s="164"/>
      <c r="AI197" s="164"/>
      <c r="AJ197" s="164"/>
      <c r="AK197" s="164"/>
      <c r="AL197" s="164"/>
      <c r="AM197" s="164"/>
      <c r="AN197" s="165"/>
      <c r="AO197" s="166">
        <f t="shared" si="55"/>
        <v>0</v>
      </c>
      <c r="AP197" s="12"/>
      <c r="AQ197" s="167">
        <f t="shared" si="60"/>
        <v>0</v>
      </c>
      <c r="AR197" s="12"/>
      <c r="AS197" s="167">
        <f t="shared" si="61"/>
        <v>0</v>
      </c>
      <c r="AT197" s="168">
        <f t="shared" si="62"/>
        <v>0</v>
      </c>
      <c r="AU197" s="167">
        <f t="shared" si="63"/>
        <v>0</v>
      </c>
    </row>
    <row r="198" spans="1:47" ht="30" customHeight="1" x14ac:dyDescent="0.25">
      <c r="A198" s="76"/>
      <c r="B198" s="158" t="s">
        <v>1264</v>
      </c>
      <c r="C198" s="411" t="s">
        <v>1325</v>
      </c>
      <c r="D198" s="412"/>
      <c r="E198" s="408"/>
      <c r="F198" s="409"/>
      <c r="G198" s="397"/>
      <c r="H198" s="394"/>
      <c r="I198" s="162" t="s">
        <v>532</v>
      </c>
      <c r="J198" s="163"/>
      <c r="K198" s="164"/>
      <c r="L198" s="164"/>
      <c r="M198" s="164"/>
      <c r="N198" s="164"/>
      <c r="O198" s="164"/>
      <c r="P198" s="164"/>
      <c r="Q198" s="164"/>
      <c r="R198" s="164"/>
      <c r="S198" s="164"/>
      <c r="T198" s="164"/>
      <c r="U198" s="164"/>
      <c r="V198" s="164"/>
      <c r="W198" s="164"/>
      <c r="X198" s="164"/>
      <c r="Y198" s="164"/>
      <c r="Z198" s="164"/>
      <c r="AA198" s="164"/>
      <c r="AB198" s="164"/>
      <c r="AC198" s="164"/>
      <c r="AD198" s="164"/>
      <c r="AE198" s="164"/>
      <c r="AF198" s="164"/>
      <c r="AG198" s="164"/>
      <c r="AH198" s="164"/>
      <c r="AI198" s="164"/>
      <c r="AJ198" s="164"/>
      <c r="AK198" s="164"/>
      <c r="AL198" s="164"/>
      <c r="AM198" s="164"/>
      <c r="AN198" s="165"/>
      <c r="AO198" s="166">
        <f t="shared" si="55"/>
        <v>0</v>
      </c>
      <c r="AP198" s="12"/>
      <c r="AQ198" s="167">
        <f t="shared" si="60"/>
        <v>0</v>
      </c>
      <c r="AR198" s="12"/>
      <c r="AS198" s="167">
        <f t="shared" si="61"/>
        <v>0</v>
      </c>
      <c r="AT198" s="168">
        <f t="shared" si="62"/>
        <v>0</v>
      </c>
      <c r="AU198" s="167">
        <f t="shared" si="63"/>
        <v>0</v>
      </c>
    </row>
    <row r="199" spans="1:47" ht="30" customHeight="1" x14ac:dyDescent="0.25">
      <c r="A199" s="76"/>
      <c r="B199" s="158" t="s">
        <v>1265</v>
      </c>
      <c r="C199" s="411" t="s">
        <v>1193</v>
      </c>
      <c r="D199" s="412"/>
      <c r="E199" s="408"/>
      <c r="F199" s="409"/>
      <c r="G199" s="397"/>
      <c r="H199" s="394"/>
      <c r="I199" s="162" t="s">
        <v>532</v>
      </c>
      <c r="J199" s="163"/>
      <c r="K199" s="164"/>
      <c r="L199" s="164"/>
      <c r="M199" s="164"/>
      <c r="N199" s="164"/>
      <c r="O199" s="164"/>
      <c r="P199" s="164"/>
      <c r="Q199" s="164"/>
      <c r="R199" s="164"/>
      <c r="S199" s="164"/>
      <c r="T199" s="164"/>
      <c r="U199" s="164"/>
      <c r="V199" s="164"/>
      <c r="W199" s="164"/>
      <c r="X199" s="164"/>
      <c r="Y199" s="164"/>
      <c r="Z199" s="164"/>
      <c r="AA199" s="164"/>
      <c r="AB199" s="164"/>
      <c r="AC199" s="164"/>
      <c r="AD199" s="164"/>
      <c r="AE199" s="164"/>
      <c r="AF199" s="164"/>
      <c r="AG199" s="164"/>
      <c r="AH199" s="164"/>
      <c r="AI199" s="164"/>
      <c r="AJ199" s="164"/>
      <c r="AK199" s="164"/>
      <c r="AL199" s="164"/>
      <c r="AM199" s="164"/>
      <c r="AN199" s="165"/>
      <c r="AO199" s="166">
        <f t="shared" si="55"/>
        <v>0</v>
      </c>
      <c r="AP199" s="12"/>
      <c r="AQ199" s="167">
        <f t="shared" si="60"/>
        <v>0</v>
      </c>
      <c r="AR199" s="12"/>
      <c r="AS199" s="167">
        <f t="shared" si="61"/>
        <v>0</v>
      </c>
      <c r="AT199" s="168">
        <f t="shared" si="62"/>
        <v>0</v>
      </c>
      <c r="AU199" s="167">
        <f t="shared" si="63"/>
        <v>0</v>
      </c>
    </row>
    <row r="200" spans="1:47" ht="30" customHeight="1" x14ac:dyDescent="0.25">
      <c r="A200" s="76"/>
      <c r="B200" s="169" t="s">
        <v>1266</v>
      </c>
      <c r="C200" s="404" t="s">
        <v>1194</v>
      </c>
      <c r="D200" s="405"/>
      <c r="E200" s="400"/>
      <c r="F200" s="402"/>
      <c r="G200" s="398"/>
      <c r="H200" s="395"/>
      <c r="I200" s="173" t="s">
        <v>532</v>
      </c>
      <c r="J200" s="174"/>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5"/>
      <c r="AK200" s="175"/>
      <c r="AL200" s="175"/>
      <c r="AM200" s="175"/>
      <c r="AN200" s="176"/>
      <c r="AO200" s="177">
        <f t="shared" si="55"/>
        <v>0</v>
      </c>
      <c r="AP200" s="14"/>
      <c r="AQ200" s="178">
        <f t="shared" si="60"/>
        <v>0</v>
      </c>
      <c r="AR200" s="14"/>
      <c r="AS200" s="178">
        <f t="shared" si="61"/>
        <v>0</v>
      </c>
      <c r="AT200" s="179">
        <f t="shared" si="62"/>
        <v>0</v>
      </c>
      <c r="AU200" s="178">
        <f t="shared" si="63"/>
        <v>0</v>
      </c>
    </row>
    <row r="201" spans="1:47" ht="49.5" customHeight="1" x14ac:dyDescent="0.25">
      <c r="A201" s="140"/>
      <c r="B201" s="37">
        <v>7</v>
      </c>
      <c r="C201" s="270" t="s">
        <v>1395</v>
      </c>
      <c r="D201" s="271"/>
      <c r="E201" s="271"/>
      <c r="F201" s="356"/>
      <c r="G201" s="97"/>
      <c r="H201" s="84"/>
      <c r="I201" s="97"/>
      <c r="J201" s="83"/>
      <c r="K201" s="83"/>
      <c r="L201" s="83"/>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4"/>
      <c r="AP201" s="78"/>
      <c r="AQ201" s="79">
        <f>SUM(AQ202:AQ237)</f>
        <v>0</v>
      </c>
      <c r="AR201" s="78"/>
      <c r="AS201" s="79">
        <f>SUM(AS202:AS237)</f>
        <v>0</v>
      </c>
      <c r="AT201" s="78"/>
      <c r="AU201" s="79">
        <f>SUM(AU202:AU237)</f>
        <v>0</v>
      </c>
    </row>
    <row r="202" spans="1:47" ht="30" customHeight="1" x14ac:dyDescent="0.25">
      <c r="A202" s="76"/>
      <c r="B202" s="148" t="s">
        <v>238</v>
      </c>
      <c r="C202" s="406" t="s">
        <v>1330</v>
      </c>
      <c r="D202" s="407"/>
      <c r="E202" s="399" t="s">
        <v>1328</v>
      </c>
      <c r="F202" s="401" t="s">
        <v>1329</v>
      </c>
      <c r="G202" s="424" t="s">
        <v>1079</v>
      </c>
      <c r="H202" s="403" t="s">
        <v>1079</v>
      </c>
      <c r="I202" s="151" t="s">
        <v>532</v>
      </c>
      <c r="J202" s="152"/>
      <c r="K202" s="153"/>
      <c r="L202" s="153"/>
      <c r="M202" s="153"/>
      <c r="N202" s="153"/>
      <c r="O202" s="153"/>
      <c r="P202" s="153"/>
      <c r="Q202" s="153"/>
      <c r="R202" s="153"/>
      <c r="S202" s="153"/>
      <c r="T202" s="153"/>
      <c r="U202" s="153"/>
      <c r="V202" s="153"/>
      <c r="W202" s="153"/>
      <c r="X202" s="153"/>
      <c r="Y202" s="153"/>
      <c r="Z202" s="153"/>
      <c r="AA202" s="153"/>
      <c r="AB202" s="153"/>
      <c r="AC202" s="153"/>
      <c r="AD202" s="153"/>
      <c r="AE202" s="153"/>
      <c r="AF202" s="153"/>
      <c r="AG202" s="153"/>
      <c r="AH202" s="153"/>
      <c r="AI202" s="153"/>
      <c r="AJ202" s="153"/>
      <c r="AK202" s="153"/>
      <c r="AL202" s="153"/>
      <c r="AM202" s="153"/>
      <c r="AN202" s="154"/>
      <c r="AO202" s="155">
        <f t="shared" ref="AO202:AO237" si="68">SUM(J202:AN202)</f>
        <v>0</v>
      </c>
      <c r="AP202" s="13"/>
      <c r="AQ202" s="156">
        <f t="shared" ref="AQ202:AQ213" si="69">+AP202*AO202</f>
        <v>0</v>
      </c>
      <c r="AR202" s="13"/>
      <c r="AS202" s="156">
        <f t="shared" ref="AS202:AS213" si="70">+AR202*AO202</f>
        <v>0</v>
      </c>
      <c r="AT202" s="157">
        <f t="shared" ref="AT202:AT213" si="71">+AR202+AP202</f>
        <v>0</v>
      </c>
      <c r="AU202" s="156">
        <f t="shared" ref="AU202:AU213" si="72">+AT202*AO202</f>
        <v>0</v>
      </c>
    </row>
    <row r="203" spans="1:47" ht="30" customHeight="1" x14ac:dyDescent="0.25">
      <c r="A203" s="76"/>
      <c r="B203" s="158" t="s">
        <v>239</v>
      </c>
      <c r="C203" s="411" t="s">
        <v>1331</v>
      </c>
      <c r="D203" s="412"/>
      <c r="E203" s="408"/>
      <c r="F203" s="409"/>
      <c r="G203" s="397"/>
      <c r="H203" s="394"/>
      <c r="I203" s="162" t="s">
        <v>532</v>
      </c>
      <c r="J203" s="163"/>
      <c r="K203" s="164"/>
      <c r="L203" s="164"/>
      <c r="M203" s="164"/>
      <c r="N203" s="164"/>
      <c r="O203" s="164"/>
      <c r="P203" s="164"/>
      <c r="Q203" s="164"/>
      <c r="R203" s="164"/>
      <c r="S203" s="164"/>
      <c r="T203" s="164"/>
      <c r="U203" s="164"/>
      <c r="V203" s="164"/>
      <c r="W203" s="164"/>
      <c r="X203" s="164"/>
      <c r="Y203" s="164"/>
      <c r="Z203" s="164"/>
      <c r="AA203" s="164"/>
      <c r="AB203" s="164"/>
      <c r="AC203" s="164"/>
      <c r="AD203" s="164"/>
      <c r="AE203" s="164"/>
      <c r="AF203" s="164"/>
      <c r="AG203" s="164"/>
      <c r="AH203" s="164"/>
      <c r="AI203" s="164"/>
      <c r="AJ203" s="164"/>
      <c r="AK203" s="164"/>
      <c r="AL203" s="164"/>
      <c r="AM203" s="164"/>
      <c r="AN203" s="165"/>
      <c r="AO203" s="166">
        <f t="shared" si="68"/>
        <v>0</v>
      </c>
      <c r="AP203" s="12"/>
      <c r="AQ203" s="167">
        <f t="shared" si="69"/>
        <v>0</v>
      </c>
      <c r="AR203" s="12"/>
      <c r="AS203" s="167">
        <f t="shared" si="70"/>
        <v>0</v>
      </c>
      <c r="AT203" s="168">
        <f t="shared" si="71"/>
        <v>0</v>
      </c>
      <c r="AU203" s="167">
        <f t="shared" si="72"/>
        <v>0</v>
      </c>
    </row>
    <row r="204" spans="1:47" ht="30" customHeight="1" x14ac:dyDescent="0.25">
      <c r="A204" s="76"/>
      <c r="B204" s="158" t="s">
        <v>240</v>
      </c>
      <c r="C204" s="411" t="s">
        <v>1332</v>
      </c>
      <c r="D204" s="412"/>
      <c r="E204" s="408"/>
      <c r="F204" s="409"/>
      <c r="G204" s="397"/>
      <c r="H204" s="394"/>
      <c r="I204" s="162" t="s">
        <v>532</v>
      </c>
      <c r="J204" s="163"/>
      <c r="K204" s="164"/>
      <c r="L204" s="164"/>
      <c r="M204" s="164"/>
      <c r="N204" s="164"/>
      <c r="O204" s="164"/>
      <c r="P204" s="164"/>
      <c r="Q204" s="164"/>
      <c r="R204" s="164"/>
      <c r="S204" s="164"/>
      <c r="T204" s="164"/>
      <c r="U204" s="164"/>
      <c r="V204" s="164"/>
      <c r="W204" s="164"/>
      <c r="X204" s="164"/>
      <c r="Y204" s="164"/>
      <c r="Z204" s="164"/>
      <c r="AA204" s="164"/>
      <c r="AB204" s="164"/>
      <c r="AC204" s="164"/>
      <c r="AD204" s="164"/>
      <c r="AE204" s="164"/>
      <c r="AF204" s="164"/>
      <c r="AG204" s="164"/>
      <c r="AH204" s="164"/>
      <c r="AI204" s="164"/>
      <c r="AJ204" s="164"/>
      <c r="AK204" s="164"/>
      <c r="AL204" s="164"/>
      <c r="AM204" s="164"/>
      <c r="AN204" s="165"/>
      <c r="AO204" s="166">
        <f t="shared" si="68"/>
        <v>0</v>
      </c>
      <c r="AP204" s="12"/>
      <c r="AQ204" s="167">
        <f t="shared" si="69"/>
        <v>0</v>
      </c>
      <c r="AR204" s="12"/>
      <c r="AS204" s="167">
        <f t="shared" si="70"/>
        <v>0</v>
      </c>
      <c r="AT204" s="168">
        <f t="shared" si="71"/>
        <v>0</v>
      </c>
      <c r="AU204" s="167">
        <f t="shared" si="72"/>
        <v>0</v>
      </c>
    </row>
    <row r="205" spans="1:47" ht="30" customHeight="1" x14ac:dyDescent="0.25">
      <c r="A205" s="76"/>
      <c r="B205" s="158" t="s">
        <v>241</v>
      </c>
      <c r="C205" s="411" t="s">
        <v>1333</v>
      </c>
      <c r="D205" s="412"/>
      <c r="E205" s="408"/>
      <c r="F205" s="409"/>
      <c r="G205" s="397"/>
      <c r="H205" s="394"/>
      <c r="I205" s="162" t="s">
        <v>532</v>
      </c>
      <c r="J205" s="163"/>
      <c r="K205" s="164"/>
      <c r="L205" s="164"/>
      <c r="M205" s="164"/>
      <c r="N205" s="164"/>
      <c r="O205" s="164"/>
      <c r="P205" s="164"/>
      <c r="Q205" s="164"/>
      <c r="R205" s="164"/>
      <c r="S205" s="164"/>
      <c r="T205" s="164"/>
      <c r="U205" s="164"/>
      <c r="V205" s="164"/>
      <c r="W205" s="164"/>
      <c r="X205" s="164"/>
      <c r="Y205" s="164"/>
      <c r="Z205" s="164"/>
      <c r="AA205" s="164"/>
      <c r="AB205" s="164"/>
      <c r="AC205" s="164"/>
      <c r="AD205" s="164"/>
      <c r="AE205" s="164"/>
      <c r="AF205" s="164"/>
      <c r="AG205" s="164"/>
      <c r="AH205" s="164"/>
      <c r="AI205" s="164"/>
      <c r="AJ205" s="164"/>
      <c r="AK205" s="164"/>
      <c r="AL205" s="164"/>
      <c r="AM205" s="164"/>
      <c r="AN205" s="165"/>
      <c r="AO205" s="166">
        <f t="shared" si="68"/>
        <v>0</v>
      </c>
      <c r="AP205" s="12"/>
      <c r="AQ205" s="167">
        <f t="shared" si="69"/>
        <v>0</v>
      </c>
      <c r="AR205" s="12"/>
      <c r="AS205" s="167">
        <f t="shared" si="70"/>
        <v>0</v>
      </c>
      <c r="AT205" s="168">
        <f t="shared" si="71"/>
        <v>0</v>
      </c>
      <c r="AU205" s="167">
        <f t="shared" si="72"/>
        <v>0</v>
      </c>
    </row>
    <row r="206" spans="1:47" ht="30" customHeight="1" x14ac:dyDescent="0.25">
      <c r="A206" s="76"/>
      <c r="B206" s="158" t="s">
        <v>242</v>
      </c>
      <c r="C206" s="411" t="s">
        <v>1334</v>
      </c>
      <c r="D206" s="412"/>
      <c r="E206" s="408"/>
      <c r="F206" s="409"/>
      <c r="G206" s="397"/>
      <c r="H206" s="394"/>
      <c r="I206" s="162" t="s">
        <v>532</v>
      </c>
      <c r="J206" s="163"/>
      <c r="K206" s="164"/>
      <c r="L206" s="164"/>
      <c r="M206" s="164"/>
      <c r="N206" s="164"/>
      <c r="O206" s="164"/>
      <c r="P206" s="164"/>
      <c r="Q206" s="164"/>
      <c r="R206" s="164"/>
      <c r="S206" s="164"/>
      <c r="T206" s="164"/>
      <c r="U206" s="164"/>
      <c r="V206" s="164"/>
      <c r="W206" s="164"/>
      <c r="X206" s="164"/>
      <c r="Y206" s="164"/>
      <c r="Z206" s="164"/>
      <c r="AA206" s="164"/>
      <c r="AB206" s="164"/>
      <c r="AC206" s="164"/>
      <c r="AD206" s="164"/>
      <c r="AE206" s="164"/>
      <c r="AF206" s="164"/>
      <c r="AG206" s="164"/>
      <c r="AH206" s="164"/>
      <c r="AI206" s="164"/>
      <c r="AJ206" s="164"/>
      <c r="AK206" s="164"/>
      <c r="AL206" s="164"/>
      <c r="AM206" s="164"/>
      <c r="AN206" s="165"/>
      <c r="AO206" s="166">
        <f t="shared" si="68"/>
        <v>0</v>
      </c>
      <c r="AP206" s="12"/>
      <c r="AQ206" s="167">
        <f t="shared" si="69"/>
        <v>0</v>
      </c>
      <c r="AR206" s="12"/>
      <c r="AS206" s="167">
        <f t="shared" si="70"/>
        <v>0</v>
      </c>
      <c r="AT206" s="168">
        <f t="shared" si="71"/>
        <v>0</v>
      </c>
      <c r="AU206" s="167">
        <f t="shared" si="72"/>
        <v>0</v>
      </c>
    </row>
    <row r="207" spans="1:47" ht="30" customHeight="1" x14ac:dyDescent="0.25">
      <c r="A207" s="76"/>
      <c r="B207" s="158" t="s">
        <v>243</v>
      </c>
      <c r="C207" s="411" t="s">
        <v>1335</v>
      </c>
      <c r="D207" s="412"/>
      <c r="E207" s="408"/>
      <c r="F207" s="409"/>
      <c r="G207" s="397"/>
      <c r="H207" s="394"/>
      <c r="I207" s="162" t="s">
        <v>532</v>
      </c>
      <c r="J207" s="163"/>
      <c r="K207" s="164"/>
      <c r="L207" s="164"/>
      <c r="M207" s="164"/>
      <c r="N207" s="164"/>
      <c r="O207" s="164"/>
      <c r="P207" s="164"/>
      <c r="Q207" s="164"/>
      <c r="R207" s="164"/>
      <c r="S207" s="164"/>
      <c r="T207" s="164"/>
      <c r="U207" s="164"/>
      <c r="V207" s="164"/>
      <c r="W207" s="164"/>
      <c r="X207" s="164"/>
      <c r="Y207" s="164"/>
      <c r="Z207" s="164"/>
      <c r="AA207" s="164"/>
      <c r="AB207" s="164"/>
      <c r="AC207" s="164"/>
      <c r="AD207" s="164"/>
      <c r="AE207" s="164"/>
      <c r="AF207" s="164"/>
      <c r="AG207" s="164"/>
      <c r="AH207" s="164"/>
      <c r="AI207" s="164"/>
      <c r="AJ207" s="164"/>
      <c r="AK207" s="164"/>
      <c r="AL207" s="164"/>
      <c r="AM207" s="164"/>
      <c r="AN207" s="165"/>
      <c r="AO207" s="166">
        <f t="shared" si="68"/>
        <v>0</v>
      </c>
      <c r="AP207" s="12"/>
      <c r="AQ207" s="167">
        <f t="shared" si="69"/>
        <v>0</v>
      </c>
      <c r="AR207" s="12"/>
      <c r="AS207" s="167">
        <f t="shared" si="70"/>
        <v>0</v>
      </c>
      <c r="AT207" s="168">
        <f t="shared" si="71"/>
        <v>0</v>
      </c>
      <c r="AU207" s="167">
        <f t="shared" si="72"/>
        <v>0</v>
      </c>
    </row>
    <row r="208" spans="1:47" ht="30" customHeight="1" x14ac:dyDescent="0.25">
      <c r="A208" s="76"/>
      <c r="B208" s="158" t="s">
        <v>244</v>
      </c>
      <c r="C208" s="411" t="s">
        <v>1336</v>
      </c>
      <c r="D208" s="412"/>
      <c r="E208" s="408"/>
      <c r="F208" s="409"/>
      <c r="G208" s="397"/>
      <c r="H208" s="394"/>
      <c r="I208" s="162" t="s">
        <v>532</v>
      </c>
      <c r="J208" s="163"/>
      <c r="K208" s="164"/>
      <c r="L208" s="164"/>
      <c r="M208" s="164"/>
      <c r="N208" s="164"/>
      <c r="O208" s="164"/>
      <c r="P208" s="164"/>
      <c r="Q208" s="164"/>
      <c r="R208" s="164"/>
      <c r="S208" s="164"/>
      <c r="T208" s="164"/>
      <c r="U208" s="164"/>
      <c r="V208" s="164"/>
      <c r="W208" s="164"/>
      <c r="X208" s="164"/>
      <c r="Y208" s="164"/>
      <c r="Z208" s="164"/>
      <c r="AA208" s="164"/>
      <c r="AB208" s="164"/>
      <c r="AC208" s="164"/>
      <c r="AD208" s="164"/>
      <c r="AE208" s="164"/>
      <c r="AF208" s="164"/>
      <c r="AG208" s="164"/>
      <c r="AH208" s="164"/>
      <c r="AI208" s="164"/>
      <c r="AJ208" s="164"/>
      <c r="AK208" s="164"/>
      <c r="AL208" s="164"/>
      <c r="AM208" s="164"/>
      <c r="AN208" s="165"/>
      <c r="AO208" s="166">
        <f t="shared" si="68"/>
        <v>0</v>
      </c>
      <c r="AP208" s="12"/>
      <c r="AQ208" s="167">
        <f t="shared" si="69"/>
        <v>0</v>
      </c>
      <c r="AR208" s="12"/>
      <c r="AS208" s="167">
        <f t="shared" si="70"/>
        <v>0</v>
      </c>
      <c r="AT208" s="168">
        <f t="shared" si="71"/>
        <v>0</v>
      </c>
      <c r="AU208" s="167">
        <f t="shared" si="72"/>
        <v>0</v>
      </c>
    </row>
    <row r="209" spans="1:47" ht="30" customHeight="1" x14ac:dyDescent="0.25">
      <c r="A209" s="76"/>
      <c r="B209" s="158" t="s">
        <v>245</v>
      </c>
      <c r="C209" s="411" t="s">
        <v>1337</v>
      </c>
      <c r="D209" s="412"/>
      <c r="E209" s="408"/>
      <c r="F209" s="409"/>
      <c r="G209" s="397"/>
      <c r="H209" s="394"/>
      <c r="I209" s="162" t="s">
        <v>532</v>
      </c>
      <c r="J209" s="163"/>
      <c r="K209" s="164"/>
      <c r="L209" s="164"/>
      <c r="M209" s="164"/>
      <c r="N209" s="164"/>
      <c r="O209" s="164"/>
      <c r="P209" s="164"/>
      <c r="Q209" s="164"/>
      <c r="R209" s="164"/>
      <c r="S209" s="164"/>
      <c r="T209" s="164"/>
      <c r="U209" s="164"/>
      <c r="V209" s="164"/>
      <c r="W209" s="164"/>
      <c r="X209" s="164"/>
      <c r="Y209" s="164"/>
      <c r="Z209" s="164"/>
      <c r="AA209" s="164"/>
      <c r="AB209" s="164"/>
      <c r="AC209" s="164"/>
      <c r="AD209" s="164"/>
      <c r="AE209" s="164"/>
      <c r="AF209" s="164"/>
      <c r="AG209" s="164"/>
      <c r="AH209" s="164"/>
      <c r="AI209" s="164"/>
      <c r="AJ209" s="164"/>
      <c r="AK209" s="164"/>
      <c r="AL209" s="164"/>
      <c r="AM209" s="164"/>
      <c r="AN209" s="165"/>
      <c r="AO209" s="166">
        <f t="shared" si="68"/>
        <v>0</v>
      </c>
      <c r="AP209" s="12"/>
      <c r="AQ209" s="167">
        <f t="shared" si="69"/>
        <v>0</v>
      </c>
      <c r="AR209" s="12"/>
      <c r="AS209" s="167">
        <f t="shared" si="70"/>
        <v>0</v>
      </c>
      <c r="AT209" s="168">
        <f t="shared" si="71"/>
        <v>0</v>
      </c>
      <c r="AU209" s="167">
        <f t="shared" si="72"/>
        <v>0</v>
      </c>
    </row>
    <row r="210" spans="1:47" ht="30" customHeight="1" x14ac:dyDescent="0.25">
      <c r="A210" s="76"/>
      <c r="B210" s="158" t="s">
        <v>246</v>
      </c>
      <c r="C210" s="411" t="s">
        <v>1338</v>
      </c>
      <c r="D210" s="412"/>
      <c r="E210" s="408"/>
      <c r="F210" s="409"/>
      <c r="G210" s="397"/>
      <c r="H210" s="394"/>
      <c r="I210" s="162" t="s">
        <v>532</v>
      </c>
      <c r="J210" s="163"/>
      <c r="K210" s="164"/>
      <c r="L210" s="164"/>
      <c r="M210" s="164"/>
      <c r="N210" s="164"/>
      <c r="O210" s="164"/>
      <c r="P210" s="164"/>
      <c r="Q210" s="164"/>
      <c r="R210" s="164"/>
      <c r="S210" s="164"/>
      <c r="T210" s="164"/>
      <c r="U210" s="164"/>
      <c r="V210" s="164"/>
      <c r="W210" s="164"/>
      <c r="X210" s="164"/>
      <c r="Y210" s="164"/>
      <c r="Z210" s="164"/>
      <c r="AA210" s="164"/>
      <c r="AB210" s="164"/>
      <c r="AC210" s="164"/>
      <c r="AD210" s="164"/>
      <c r="AE210" s="164"/>
      <c r="AF210" s="164"/>
      <c r="AG210" s="164"/>
      <c r="AH210" s="164"/>
      <c r="AI210" s="164"/>
      <c r="AJ210" s="164"/>
      <c r="AK210" s="164"/>
      <c r="AL210" s="164"/>
      <c r="AM210" s="164"/>
      <c r="AN210" s="165"/>
      <c r="AO210" s="166">
        <f t="shared" si="68"/>
        <v>0</v>
      </c>
      <c r="AP210" s="12"/>
      <c r="AQ210" s="167">
        <f t="shared" si="69"/>
        <v>0</v>
      </c>
      <c r="AR210" s="12"/>
      <c r="AS210" s="167">
        <f t="shared" si="70"/>
        <v>0</v>
      </c>
      <c r="AT210" s="168">
        <f t="shared" si="71"/>
        <v>0</v>
      </c>
      <c r="AU210" s="167">
        <f t="shared" si="72"/>
        <v>0</v>
      </c>
    </row>
    <row r="211" spans="1:47" ht="30" customHeight="1" x14ac:dyDescent="0.25">
      <c r="A211" s="76"/>
      <c r="B211" s="158" t="s">
        <v>247</v>
      </c>
      <c r="C211" s="411" t="s">
        <v>1339</v>
      </c>
      <c r="D211" s="412"/>
      <c r="E211" s="408"/>
      <c r="F211" s="409"/>
      <c r="G211" s="397"/>
      <c r="H211" s="394"/>
      <c r="I211" s="162" t="s">
        <v>532</v>
      </c>
      <c r="J211" s="163"/>
      <c r="K211" s="164"/>
      <c r="L211" s="164"/>
      <c r="M211" s="164"/>
      <c r="N211" s="164"/>
      <c r="O211" s="164"/>
      <c r="P211" s="164"/>
      <c r="Q211" s="164"/>
      <c r="R211" s="164"/>
      <c r="S211" s="164"/>
      <c r="T211" s="164"/>
      <c r="U211" s="164"/>
      <c r="V211" s="164"/>
      <c r="W211" s="164"/>
      <c r="X211" s="164"/>
      <c r="Y211" s="164"/>
      <c r="Z211" s="164"/>
      <c r="AA211" s="164"/>
      <c r="AB211" s="164"/>
      <c r="AC211" s="164"/>
      <c r="AD211" s="164"/>
      <c r="AE211" s="164"/>
      <c r="AF211" s="164"/>
      <c r="AG211" s="164"/>
      <c r="AH211" s="164"/>
      <c r="AI211" s="164"/>
      <c r="AJ211" s="164"/>
      <c r="AK211" s="164"/>
      <c r="AL211" s="164"/>
      <c r="AM211" s="164"/>
      <c r="AN211" s="165"/>
      <c r="AO211" s="166">
        <f t="shared" si="68"/>
        <v>0</v>
      </c>
      <c r="AP211" s="12"/>
      <c r="AQ211" s="167">
        <f t="shared" si="69"/>
        <v>0</v>
      </c>
      <c r="AR211" s="12"/>
      <c r="AS211" s="167">
        <f t="shared" si="70"/>
        <v>0</v>
      </c>
      <c r="AT211" s="168">
        <f t="shared" si="71"/>
        <v>0</v>
      </c>
      <c r="AU211" s="167">
        <f t="shared" si="72"/>
        <v>0</v>
      </c>
    </row>
    <row r="212" spans="1:47" ht="30" customHeight="1" x14ac:dyDescent="0.25">
      <c r="A212" s="76"/>
      <c r="B212" s="158" t="s">
        <v>248</v>
      </c>
      <c r="C212" s="411" t="s">
        <v>1340</v>
      </c>
      <c r="D212" s="412"/>
      <c r="E212" s="408"/>
      <c r="F212" s="409"/>
      <c r="G212" s="397"/>
      <c r="H212" s="394"/>
      <c r="I212" s="162" t="s">
        <v>532</v>
      </c>
      <c r="J212" s="163"/>
      <c r="K212" s="164"/>
      <c r="L212" s="164"/>
      <c r="M212" s="164"/>
      <c r="N212" s="164"/>
      <c r="O212" s="164"/>
      <c r="P212" s="164"/>
      <c r="Q212" s="164"/>
      <c r="R212" s="164"/>
      <c r="S212" s="164"/>
      <c r="T212" s="164"/>
      <c r="U212" s="164"/>
      <c r="V212" s="164"/>
      <c r="W212" s="164"/>
      <c r="X212" s="164"/>
      <c r="Y212" s="164"/>
      <c r="Z212" s="164"/>
      <c r="AA212" s="164"/>
      <c r="AB212" s="164"/>
      <c r="AC212" s="164"/>
      <c r="AD212" s="164"/>
      <c r="AE212" s="164"/>
      <c r="AF212" s="164"/>
      <c r="AG212" s="164"/>
      <c r="AH212" s="164"/>
      <c r="AI212" s="164"/>
      <c r="AJ212" s="164"/>
      <c r="AK212" s="164"/>
      <c r="AL212" s="164"/>
      <c r="AM212" s="164"/>
      <c r="AN212" s="165"/>
      <c r="AO212" s="166">
        <f t="shared" si="68"/>
        <v>0</v>
      </c>
      <c r="AP212" s="12"/>
      <c r="AQ212" s="167">
        <f t="shared" si="69"/>
        <v>0</v>
      </c>
      <c r="AR212" s="12"/>
      <c r="AS212" s="167">
        <f t="shared" si="70"/>
        <v>0</v>
      </c>
      <c r="AT212" s="168">
        <f t="shared" si="71"/>
        <v>0</v>
      </c>
      <c r="AU212" s="167">
        <f t="shared" si="72"/>
        <v>0</v>
      </c>
    </row>
    <row r="213" spans="1:47" ht="30" customHeight="1" x14ac:dyDescent="0.25">
      <c r="A213" s="76"/>
      <c r="B213" s="169" t="s">
        <v>249</v>
      </c>
      <c r="C213" s="404" t="s">
        <v>1341</v>
      </c>
      <c r="D213" s="405"/>
      <c r="E213" s="400"/>
      <c r="F213" s="402"/>
      <c r="G213" s="398"/>
      <c r="H213" s="395"/>
      <c r="I213" s="173" t="s">
        <v>532</v>
      </c>
      <c r="J213" s="174"/>
      <c r="K213" s="175"/>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c r="AJ213" s="175"/>
      <c r="AK213" s="175"/>
      <c r="AL213" s="175"/>
      <c r="AM213" s="175"/>
      <c r="AN213" s="176"/>
      <c r="AO213" s="177">
        <f t="shared" si="68"/>
        <v>0</v>
      </c>
      <c r="AP213" s="14"/>
      <c r="AQ213" s="178">
        <f t="shared" si="69"/>
        <v>0</v>
      </c>
      <c r="AR213" s="14"/>
      <c r="AS213" s="178">
        <f t="shared" si="70"/>
        <v>0</v>
      </c>
      <c r="AT213" s="179">
        <f t="shared" si="71"/>
        <v>0</v>
      </c>
      <c r="AU213" s="178">
        <f t="shared" si="72"/>
        <v>0</v>
      </c>
    </row>
    <row r="214" spans="1:47" ht="66" customHeight="1" x14ac:dyDescent="0.25">
      <c r="A214" s="76"/>
      <c r="B214" s="37" t="s">
        <v>266</v>
      </c>
      <c r="C214" s="276" t="s">
        <v>1342</v>
      </c>
      <c r="D214" s="278"/>
      <c r="E214" s="188" t="s">
        <v>1343</v>
      </c>
      <c r="F214" s="189" t="s">
        <v>1329</v>
      </c>
      <c r="G214" s="190" t="str">
        <f>+G202</f>
        <v>YÜKLENİCİ</v>
      </c>
      <c r="H214" s="191" t="str">
        <f>+H202</f>
        <v>YÜKLENİCİ</v>
      </c>
      <c r="I214" s="41" t="s">
        <v>532</v>
      </c>
      <c r="J214" s="136"/>
      <c r="K214" s="137"/>
      <c r="L214" s="137"/>
      <c r="M214" s="137"/>
      <c r="N214" s="137"/>
      <c r="O214" s="137"/>
      <c r="P214" s="137"/>
      <c r="Q214" s="137"/>
      <c r="R214" s="137"/>
      <c r="S214" s="137"/>
      <c r="T214" s="137"/>
      <c r="U214" s="137"/>
      <c r="V214" s="137"/>
      <c r="W214" s="137"/>
      <c r="X214" s="137"/>
      <c r="Y214" s="137"/>
      <c r="Z214" s="137"/>
      <c r="AA214" s="137"/>
      <c r="AB214" s="137"/>
      <c r="AC214" s="137"/>
      <c r="AD214" s="137"/>
      <c r="AE214" s="137"/>
      <c r="AF214" s="137"/>
      <c r="AG214" s="137"/>
      <c r="AH214" s="137"/>
      <c r="AI214" s="137"/>
      <c r="AJ214" s="137"/>
      <c r="AK214" s="137"/>
      <c r="AL214" s="137"/>
      <c r="AM214" s="137"/>
      <c r="AN214" s="138"/>
      <c r="AO214" s="42">
        <f t="shared" si="68"/>
        <v>0</v>
      </c>
      <c r="AP214" s="1"/>
      <c r="AQ214" s="43">
        <f t="shared" ref="AQ214:AQ225" si="73">+AP214*AO214</f>
        <v>0</v>
      </c>
      <c r="AR214" s="1"/>
      <c r="AS214" s="43">
        <f t="shared" ref="AS214:AS225" si="74">+AR214*AO214</f>
        <v>0</v>
      </c>
      <c r="AT214" s="44">
        <f t="shared" ref="AT214:AT225" si="75">+AR214+AP214</f>
        <v>0</v>
      </c>
      <c r="AU214" s="43">
        <f t="shared" ref="AU214:AU225" si="76">+AT214*AO214</f>
        <v>0</v>
      </c>
    </row>
    <row r="215" spans="1:47" ht="30" customHeight="1" x14ac:dyDescent="0.25">
      <c r="A215" s="76"/>
      <c r="B215" s="148" t="s">
        <v>277</v>
      </c>
      <c r="C215" s="406" t="s">
        <v>1344</v>
      </c>
      <c r="D215" s="407"/>
      <c r="E215" s="399" t="s">
        <v>1355</v>
      </c>
      <c r="F215" s="401" t="s">
        <v>1329</v>
      </c>
      <c r="G215" s="424" t="s">
        <v>1079</v>
      </c>
      <c r="H215" s="403" t="s">
        <v>1079</v>
      </c>
      <c r="I215" s="151" t="s">
        <v>532</v>
      </c>
      <c r="J215" s="152"/>
      <c r="K215" s="153"/>
      <c r="L215" s="153"/>
      <c r="M215" s="153"/>
      <c r="N215" s="153"/>
      <c r="O215" s="153"/>
      <c r="P215" s="153"/>
      <c r="Q215" s="153"/>
      <c r="R215" s="153"/>
      <c r="S215" s="153"/>
      <c r="T215" s="153"/>
      <c r="U215" s="153"/>
      <c r="V215" s="153"/>
      <c r="W215" s="153"/>
      <c r="X215" s="153"/>
      <c r="Y215" s="153"/>
      <c r="Z215" s="153"/>
      <c r="AA215" s="153"/>
      <c r="AB215" s="153"/>
      <c r="AC215" s="153"/>
      <c r="AD215" s="153"/>
      <c r="AE215" s="153"/>
      <c r="AF215" s="153"/>
      <c r="AG215" s="153"/>
      <c r="AH215" s="153"/>
      <c r="AI215" s="153"/>
      <c r="AJ215" s="153"/>
      <c r="AK215" s="153"/>
      <c r="AL215" s="153"/>
      <c r="AM215" s="153"/>
      <c r="AN215" s="154"/>
      <c r="AO215" s="155">
        <f t="shared" si="68"/>
        <v>0</v>
      </c>
      <c r="AP215" s="13"/>
      <c r="AQ215" s="156">
        <f t="shared" si="73"/>
        <v>0</v>
      </c>
      <c r="AR215" s="13"/>
      <c r="AS215" s="156">
        <f t="shared" si="74"/>
        <v>0</v>
      </c>
      <c r="AT215" s="157">
        <f t="shared" si="75"/>
        <v>0</v>
      </c>
      <c r="AU215" s="156">
        <f t="shared" si="76"/>
        <v>0</v>
      </c>
    </row>
    <row r="216" spans="1:47" ht="30" customHeight="1" x14ac:dyDescent="0.25">
      <c r="A216" s="76"/>
      <c r="B216" s="158" t="s">
        <v>278</v>
      </c>
      <c r="C216" s="411" t="s">
        <v>1345</v>
      </c>
      <c r="D216" s="412"/>
      <c r="E216" s="408"/>
      <c r="F216" s="409"/>
      <c r="G216" s="397"/>
      <c r="H216" s="394"/>
      <c r="I216" s="162" t="s">
        <v>532</v>
      </c>
      <c r="J216" s="163"/>
      <c r="K216" s="164"/>
      <c r="L216" s="164"/>
      <c r="M216" s="164"/>
      <c r="N216" s="164"/>
      <c r="O216" s="164"/>
      <c r="P216" s="164"/>
      <c r="Q216" s="164"/>
      <c r="R216" s="164"/>
      <c r="S216" s="164"/>
      <c r="T216" s="164"/>
      <c r="U216" s="164"/>
      <c r="V216" s="164"/>
      <c r="W216" s="164"/>
      <c r="X216" s="164"/>
      <c r="Y216" s="164"/>
      <c r="Z216" s="164"/>
      <c r="AA216" s="164"/>
      <c r="AB216" s="164"/>
      <c r="AC216" s="164"/>
      <c r="AD216" s="164"/>
      <c r="AE216" s="164"/>
      <c r="AF216" s="164"/>
      <c r="AG216" s="164"/>
      <c r="AH216" s="164"/>
      <c r="AI216" s="164"/>
      <c r="AJ216" s="164"/>
      <c r="AK216" s="164"/>
      <c r="AL216" s="164"/>
      <c r="AM216" s="164"/>
      <c r="AN216" s="165"/>
      <c r="AO216" s="166">
        <f t="shared" si="68"/>
        <v>0</v>
      </c>
      <c r="AP216" s="12"/>
      <c r="AQ216" s="167">
        <f t="shared" si="73"/>
        <v>0</v>
      </c>
      <c r="AR216" s="12"/>
      <c r="AS216" s="167">
        <f t="shared" si="74"/>
        <v>0</v>
      </c>
      <c r="AT216" s="168">
        <f t="shared" si="75"/>
        <v>0</v>
      </c>
      <c r="AU216" s="167">
        <f t="shared" si="76"/>
        <v>0</v>
      </c>
    </row>
    <row r="217" spans="1:47" ht="30" customHeight="1" x14ac:dyDescent="0.25">
      <c r="A217" s="76"/>
      <c r="B217" s="158" t="s">
        <v>1356</v>
      </c>
      <c r="C217" s="411" t="s">
        <v>1346</v>
      </c>
      <c r="D217" s="412"/>
      <c r="E217" s="408"/>
      <c r="F217" s="409"/>
      <c r="G217" s="397"/>
      <c r="H217" s="394"/>
      <c r="I217" s="162" t="s">
        <v>532</v>
      </c>
      <c r="J217" s="163"/>
      <c r="K217" s="164">
        <v>195</v>
      </c>
      <c r="L217" s="164">
        <v>135</v>
      </c>
      <c r="M217" s="164"/>
      <c r="N217" s="164"/>
      <c r="O217" s="164"/>
      <c r="P217" s="164"/>
      <c r="Q217" s="164"/>
      <c r="R217" s="164"/>
      <c r="S217" s="164"/>
      <c r="T217" s="164"/>
      <c r="U217" s="164"/>
      <c r="V217" s="164"/>
      <c r="W217" s="164"/>
      <c r="X217" s="164"/>
      <c r="Y217" s="164"/>
      <c r="Z217" s="164"/>
      <c r="AA217" s="164"/>
      <c r="AB217" s="164"/>
      <c r="AC217" s="164"/>
      <c r="AD217" s="164"/>
      <c r="AE217" s="164"/>
      <c r="AF217" s="164"/>
      <c r="AG217" s="164"/>
      <c r="AH217" s="164"/>
      <c r="AI217" s="164"/>
      <c r="AJ217" s="164"/>
      <c r="AK217" s="164"/>
      <c r="AL217" s="164"/>
      <c r="AM217" s="164"/>
      <c r="AN217" s="165"/>
      <c r="AO217" s="166">
        <f t="shared" si="68"/>
        <v>330</v>
      </c>
      <c r="AP217" s="12"/>
      <c r="AQ217" s="167">
        <f t="shared" si="73"/>
        <v>0</v>
      </c>
      <c r="AR217" s="12"/>
      <c r="AS217" s="167">
        <f t="shared" si="74"/>
        <v>0</v>
      </c>
      <c r="AT217" s="168">
        <f t="shared" si="75"/>
        <v>0</v>
      </c>
      <c r="AU217" s="167">
        <f t="shared" si="76"/>
        <v>0</v>
      </c>
    </row>
    <row r="218" spans="1:47" ht="30" customHeight="1" x14ac:dyDescent="0.25">
      <c r="A218" s="76"/>
      <c r="B218" s="158" t="s">
        <v>1357</v>
      </c>
      <c r="C218" s="411" t="s">
        <v>1347</v>
      </c>
      <c r="D218" s="412"/>
      <c r="E218" s="408"/>
      <c r="F218" s="409"/>
      <c r="G218" s="397"/>
      <c r="H218" s="394"/>
      <c r="I218" s="162" t="s">
        <v>532</v>
      </c>
      <c r="J218" s="163"/>
      <c r="K218" s="164"/>
      <c r="L218" s="164"/>
      <c r="M218" s="164"/>
      <c r="N218" s="164"/>
      <c r="O218" s="164"/>
      <c r="P218" s="164"/>
      <c r="Q218" s="164"/>
      <c r="R218" s="164"/>
      <c r="S218" s="164"/>
      <c r="T218" s="164"/>
      <c r="U218" s="164"/>
      <c r="V218" s="164"/>
      <c r="W218" s="164"/>
      <c r="X218" s="164"/>
      <c r="Y218" s="164"/>
      <c r="Z218" s="164"/>
      <c r="AA218" s="164"/>
      <c r="AB218" s="164"/>
      <c r="AC218" s="164"/>
      <c r="AD218" s="164"/>
      <c r="AE218" s="164"/>
      <c r="AF218" s="164"/>
      <c r="AG218" s="164"/>
      <c r="AH218" s="164"/>
      <c r="AI218" s="164"/>
      <c r="AJ218" s="164"/>
      <c r="AK218" s="164"/>
      <c r="AL218" s="164"/>
      <c r="AM218" s="164"/>
      <c r="AN218" s="165"/>
      <c r="AO218" s="166">
        <f t="shared" si="68"/>
        <v>0</v>
      </c>
      <c r="AP218" s="12"/>
      <c r="AQ218" s="167">
        <f t="shared" si="73"/>
        <v>0</v>
      </c>
      <c r="AR218" s="12"/>
      <c r="AS218" s="167">
        <f t="shared" si="74"/>
        <v>0</v>
      </c>
      <c r="AT218" s="168">
        <f t="shared" si="75"/>
        <v>0</v>
      </c>
      <c r="AU218" s="167">
        <f t="shared" si="76"/>
        <v>0</v>
      </c>
    </row>
    <row r="219" spans="1:47" ht="30" customHeight="1" x14ac:dyDescent="0.25">
      <c r="A219" s="76"/>
      <c r="B219" s="158" t="s">
        <v>1358</v>
      </c>
      <c r="C219" s="411" t="s">
        <v>1348</v>
      </c>
      <c r="D219" s="412"/>
      <c r="E219" s="408"/>
      <c r="F219" s="409"/>
      <c r="G219" s="397"/>
      <c r="H219" s="394"/>
      <c r="I219" s="162" t="s">
        <v>532</v>
      </c>
      <c r="J219" s="163"/>
      <c r="K219" s="164"/>
      <c r="L219" s="164"/>
      <c r="M219" s="164"/>
      <c r="N219" s="164"/>
      <c r="O219" s="164"/>
      <c r="P219" s="164"/>
      <c r="Q219" s="164"/>
      <c r="R219" s="164"/>
      <c r="S219" s="164"/>
      <c r="T219" s="164"/>
      <c r="U219" s="164"/>
      <c r="V219" s="164"/>
      <c r="W219" s="164"/>
      <c r="X219" s="164"/>
      <c r="Y219" s="164"/>
      <c r="Z219" s="164"/>
      <c r="AA219" s="164"/>
      <c r="AB219" s="164"/>
      <c r="AC219" s="164"/>
      <c r="AD219" s="164"/>
      <c r="AE219" s="164"/>
      <c r="AF219" s="164"/>
      <c r="AG219" s="164"/>
      <c r="AH219" s="164"/>
      <c r="AI219" s="164"/>
      <c r="AJ219" s="164"/>
      <c r="AK219" s="164"/>
      <c r="AL219" s="164"/>
      <c r="AM219" s="164"/>
      <c r="AN219" s="165"/>
      <c r="AO219" s="166">
        <f t="shared" si="68"/>
        <v>0</v>
      </c>
      <c r="AP219" s="12"/>
      <c r="AQ219" s="167">
        <f t="shared" si="73"/>
        <v>0</v>
      </c>
      <c r="AR219" s="12"/>
      <c r="AS219" s="167">
        <f t="shared" si="74"/>
        <v>0</v>
      </c>
      <c r="AT219" s="168">
        <f t="shared" si="75"/>
        <v>0</v>
      </c>
      <c r="AU219" s="167">
        <f t="shared" si="76"/>
        <v>0</v>
      </c>
    </row>
    <row r="220" spans="1:47" ht="30" customHeight="1" x14ac:dyDescent="0.25">
      <c r="A220" s="76"/>
      <c r="B220" s="158" t="s">
        <v>1359</v>
      </c>
      <c r="C220" s="411" t="s">
        <v>1349</v>
      </c>
      <c r="D220" s="412"/>
      <c r="E220" s="408"/>
      <c r="F220" s="409"/>
      <c r="G220" s="397"/>
      <c r="H220" s="394"/>
      <c r="I220" s="162" t="s">
        <v>532</v>
      </c>
      <c r="J220" s="163"/>
      <c r="K220" s="164"/>
      <c r="L220" s="164"/>
      <c r="M220" s="164"/>
      <c r="N220" s="164"/>
      <c r="O220" s="164"/>
      <c r="P220" s="164"/>
      <c r="Q220" s="164"/>
      <c r="R220" s="164"/>
      <c r="S220" s="164"/>
      <c r="T220" s="164"/>
      <c r="U220" s="164"/>
      <c r="V220" s="164"/>
      <c r="W220" s="164"/>
      <c r="X220" s="164"/>
      <c r="Y220" s="164"/>
      <c r="Z220" s="164"/>
      <c r="AA220" s="164"/>
      <c r="AB220" s="164"/>
      <c r="AC220" s="164"/>
      <c r="AD220" s="164"/>
      <c r="AE220" s="164"/>
      <c r="AF220" s="164"/>
      <c r="AG220" s="164"/>
      <c r="AH220" s="164"/>
      <c r="AI220" s="164"/>
      <c r="AJ220" s="164"/>
      <c r="AK220" s="164"/>
      <c r="AL220" s="164"/>
      <c r="AM220" s="164"/>
      <c r="AN220" s="165"/>
      <c r="AO220" s="166">
        <f t="shared" si="68"/>
        <v>0</v>
      </c>
      <c r="AP220" s="12"/>
      <c r="AQ220" s="167">
        <f t="shared" si="73"/>
        <v>0</v>
      </c>
      <c r="AR220" s="12"/>
      <c r="AS220" s="167">
        <f t="shared" si="74"/>
        <v>0</v>
      </c>
      <c r="AT220" s="168">
        <f t="shared" si="75"/>
        <v>0</v>
      </c>
      <c r="AU220" s="167">
        <f t="shared" si="76"/>
        <v>0</v>
      </c>
    </row>
    <row r="221" spans="1:47" ht="30" customHeight="1" x14ac:dyDescent="0.25">
      <c r="A221" s="76"/>
      <c r="B221" s="158" t="s">
        <v>1360</v>
      </c>
      <c r="C221" s="411" t="s">
        <v>1350</v>
      </c>
      <c r="D221" s="412"/>
      <c r="E221" s="408"/>
      <c r="F221" s="409"/>
      <c r="G221" s="397"/>
      <c r="H221" s="394"/>
      <c r="I221" s="162" t="s">
        <v>532</v>
      </c>
      <c r="J221" s="163"/>
      <c r="K221" s="164"/>
      <c r="L221" s="164"/>
      <c r="M221" s="164"/>
      <c r="N221" s="164"/>
      <c r="O221" s="164"/>
      <c r="P221" s="164"/>
      <c r="Q221" s="164"/>
      <c r="R221" s="164"/>
      <c r="S221" s="164"/>
      <c r="T221" s="164"/>
      <c r="U221" s="164"/>
      <c r="V221" s="164"/>
      <c r="W221" s="164"/>
      <c r="X221" s="164"/>
      <c r="Y221" s="164"/>
      <c r="Z221" s="164"/>
      <c r="AA221" s="164"/>
      <c r="AB221" s="164"/>
      <c r="AC221" s="164"/>
      <c r="AD221" s="164"/>
      <c r="AE221" s="164"/>
      <c r="AF221" s="164"/>
      <c r="AG221" s="164"/>
      <c r="AH221" s="164"/>
      <c r="AI221" s="164"/>
      <c r="AJ221" s="164"/>
      <c r="AK221" s="164"/>
      <c r="AL221" s="164"/>
      <c r="AM221" s="164"/>
      <c r="AN221" s="165"/>
      <c r="AO221" s="166">
        <f t="shared" si="68"/>
        <v>0</v>
      </c>
      <c r="AP221" s="12"/>
      <c r="AQ221" s="167">
        <f t="shared" si="73"/>
        <v>0</v>
      </c>
      <c r="AR221" s="12"/>
      <c r="AS221" s="167">
        <f t="shared" si="74"/>
        <v>0</v>
      </c>
      <c r="AT221" s="168">
        <f t="shared" si="75"/>
        <v>0</v>
      </c>
      <c r="AU221" s="167">
        <f t="shared" si="76"/>
        <v>0</v>
      </c>
    </row>
    <row r="222" spans="1:47" ht="30" customHeight="1" x14ac:dyDescent="0.25">
      <c r="A222" s="76"/>
      <c r="B222" s="158" t="s">
        <v>1361</v>
      </c>
      <c r="C222" s="411" t="s">
        <v>1351</v>
      </c>
      <c r="D222" s="412"/>
      <c r="E222" s="408"/>
      <c r="F222" s="409"/>
      <c r="G222" s="397"/>
      <c r="H222" s="394"/>
      <c r="I222" s="162" t="s">
        <v>532</v>
      </c>
      <c r="J222" s="163"/>
      <c r="K222" s="164"/>
      <c r="L222" s="164"/>
      <c r="M222" s="164"/>
      <c r="N222" s="164"/>
      <c r="O222" s="164"/>
      <c r="P222" s="164"/>
      <c r="Q222" s="164"/>
      <c r="R222" s="164"/>
      <c r="S222" s="164"/>
      <c r="T222" s="164"/>
      <c r="U222" s="164"/>
      <c r="V222" s="164"/>
      <c r="W222" s="164"/>
      <c r="X222" s="164"/>
      <c r="Y222" s="164"/>
      <c r="Z222" s="164"/>
      <c r="AA222" s="164"/>
      <c r="AB222" s="164"/>
      <c r="AC222" s="164"/>
      <c r="AD222" s="164"/>
      <c r="AE222" s="164"/>
      <c r="AF222" s="164"/>
      <c r="AG222" s="164"/>
      <c r="AH222" s="164"/>
      <c r="AI222" s="164"/>
      <c r="AJ222" s="164"/>
      <c r="AK222" s="164"/>
      <c r="AL222" s="164"/>
      <c r="AM222" s="164"/>
      <c r="AN222" s="165"/>
      <c r="AO222" s="166">
        <f t="shared" si="68"/>
        <v>0</v>
      </c>
      <c r="AP222" s="12"/>
      <c r="AQ222" s="167">
        <f t="shared" si="73"/>
        <v>0</v>
      </c>
      <c r="AR222" s="12"/>
      <c r="AS222" s="167">
        <f t="shared" si="74"/>
        <v>0</v>
      </c>
      <c r="AT222" s="168">
        <f t="shared" si="75"/>
        <v>0</v>
      </c>
      <c r="AU222" s="167">
        <f t="shared" si="76"/>
        <v>0</v>
      </c>
    </row>
    <row r="223" spans="1:47" ht="30" customHeight="1" x14ac:dyDescent="0.25">
      <c r="A223" s="76"/>
      <c r="B223" s="158" t="s">
        <v>1362</v>
      </c>
      <c r="C223" s="411" t="s">
        <v>1352</v>
      </c>
      <c r="D223" s="412"/>
      <c r="E223" s="408"/>
      <c r="F223" s="409"/>
      <c r="G223" s="397"/>
      <c r="H223" s="394"/>
      <c r="I223" s="162" t="s">
        <v>532</v>
      </c>
      <c r="J223" s="163"/>
      <c r="K223" s="164"/>
      <c r="L223" s="164"/>
      <c r="M223" s="164"/>
      <c r="N223" s="164"/>
      <c r="O223" s="164"/>
      <c r="P223" s="164"/>
      <c r="Q223" s="164"/>
      <c r="R223" s="164"/>
      <c r="S223" s="164"/>
      <c r="T223" s="164"/>
      <c r="U223" s="164"/>
      <c r="V223" s="164"/>
      <c r="W223" s="164"/>
      <c r="X223" s="164"/>
      <c r="Y223" s="164"/>
      <c r="Z223" s="164"/>
      <c r="AA223" s="164"/>
      <c r="AB223" s="164"/>
      <c r="AC223" s="164"/>
      <c r="AD223" s="164"/>
      <c r="AE223" s="164"/>
      <c r="AF223" s="164"/>
      <c r="AG223" s="164"/>
      <c r="AH223" s="164"/>
      <c r="AI223" s="164"/>
      <c r="AJ223" s="164"/>
      <c r="AK223" s="164"/>
      <c r="AL223" s="164"/>
      <c r="AM223" s="164"/>
      <c r="AN223" s="165"/>
      <c r="AO223" s="166">
        <f t="shared" si="68"/>
        <v>0</v>
      </c>
      <c r="AP223" s="12"/>
      <c r="AQ223" s="167">
        <f t="shared" si="73"/>
        <v>0</v>
      </c>
      <c r="AR223" s="12"/>
      <c r="AS223" s="167">
        <f t="shared" si="74"/>
        <v>0</v>
      </c>
      <c r="AT223" s="168">
        <f t="shared" si="75"/>
        <v>0</v>
      </c>
      <c r="AU223" s="167">
        <f t="shared" si="76"/>
        <v>0</v>
      </c>
    </row>
    <row r="224" spans="1:47" ht="30" customHeight="1" x14ac:dyDescent="0.25">
      <c r="A224" s="76"/>
      <c r="B224" s="158" t="s">
        <v>1363</v>
      </c>
      <c r="C224" s="411" t="s">
        <v>1353</v>
      </c>
      <c r="D224" s="412"/>
      <c r="E224" s="408"/>
      <c r="F224" s="409"/>
      <c r="G224" s="397"/>
      <c r="H224" s="394"/>
      <c r="I224" s="162" t="s">
        <v>532</v>
      </c>
      <c r="J224" s="163"/>
      <c r="K224" s="164"/>
      <c r="L224" s="164"/>
      <c r="M224" s="164"/>
      <c r="N224" s="164"/>
      <c r="O224" s="164"/>
      <c r="P224" s="164"/>
      <c r="Q224" s="164"/>
      <c r="R224" s="164"/>
      <c r="S224" s="164"/>
      <c r="T224" s="164"/>
      <c r="U224" s="164"/>
      <c r="V224" s="164"/>
      <c r="W224" s="164"/>
      <c r="X224" s="164"/>
      <c r="Y224" s="164"/>
      <c r="Z224" s="164"/>
      <c r="AA224" s="164"/>
      <c r="AB224" s="164"/>
      <c r="AC224" s="164"/>
      <c r="AD224" s="164"/>
      <c r="AE224" s="164"/>
      <c r="AF224" s="164"/>
      <c r="AG224" s="164"/>
      <c r="AH224" s="164"/>
      <c r="AI224" s="164"/>
      <c r="AJ224" s="164"/>
      <c r="AK224" s="164"/>
      <c r="AL224" s="164"/>
      <c r="AM224" s="164"/>
      <c r="AN224" s="165"/>
      <c r="AO224" s="166">
        <f t="shared" si="68"/>
        <v>0</v>
      </c>
      <c r="AP224" s="12"/>
      <c r="AQ224" s="167">
        <f t="shared" si="73"/>
        <v>0</v>
      </c>
      <c r="AR224" s="12"/>
      <c r="AS224" s="167">
        <f t="shared" si="74"/>
        <v>0</v>
      </c>
      <c r="AT224" s="168">
        <f t="shared" si="75"/>
        <v>0</v>
      </c>
      <c r="AU224" s="167">
        <f t="shared" si="76"/>
        <v>0</v>
      </c>
    </row>
    <row r="225" spans="1:47" ht="30" customHeight="1" x14ac:dyDescent="0.25">
      <c r="A225" s="76"/>
      <c r="B225" s="169" t="s">
        <v>1364</v>
      </c>
      <c r="C225" s="404" t="s">
        <v>1354</v>
      </c>
      <c r="D225" s="405"/>
      <c r="E225" s="400"/>
      <c r="F225" s="402"/>
      <c r="G225" s="398"/>
      <c r="H225" s="395"/>
      <c r="I225" s="173" t="s">
        <v>532</v>
      </c>
      <c r="J225" s="174"/>
      <c r="K225" s="175"/>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c r="AJ225" s="175"/>
      <c r="AK225" s="175"/>
      <c r="AL225" s="175"/>
      <c r="AM225" s="175"/>
      <c r="AN225" s="176"/>
      <c r="AO225" s="177">
        <f t="shared" si="68"/>
        <v>0</v>
      </c>
      <c r="AP225" s="14"/>
      <c r="AQ225" s="178">
        <f t="shared" si="73"/>
        <v>0</v>
      </c>
      <c r="AR225" s="14"/>
      <c r="AS225" s="178">
        <f t="shared" si="74"/>
        <v>0</v>
      </c>
      <c r="AT225" s="179">
        <f t="shared" si="75"/>
        <v>0</v>
      </c>
      <c r="AU225" s="178">
        <f t="shared" si="76"/>
        <v>0</v>
      </c>
    </row>
    <row r="226" spans="1:47" ht="30" customHeight="1" x14ac:dyDescent="0.25">
      <c r="A226" s="76"/>
      <c r="B226" s="148" t="s">
        <v>283</v>
      </c>
      <c r="C226" s="406" t="s">
        <v>1371</v>
      </c>
      <c r="D226" s="407"/>
      <c r="E226" s="399" t="s">
        <v>1365</v>
      </c>
      <c r="F226" s="401"/>
      <c r="G226" s="424" t="s">
        <v>1079</v>
      </c>
      <c r="H226" s="403" t="s">
        <v>1079</v>
      </c>
      <c r="I226" s="151" t="s">
        <v>393</v>
      </c>
      <c r="J226" s="152"/>
      <c r="K226" s="153"/>
      <c r="L226" s="153"/>
      <c r="M226" s="153"/>
      <c r="N226" s="153"/>
      <c r="O226" s="153"/>
      <c r="P226" s="153"/>
      <c r="Q226" s="153"/>
      <c r="R226" s="153"/>
      <c r="S226" s="153"/>
      <c r="T226" s="153"/>
      <c r="U226" s="153"/>
      <c r="V226" s="153"/>
      <c r="W226" s="153"/>
      <c r="X226" s="153"/>
      <c r="Y226" s="153"/>
      <c r="Z226" s="153"/>
      <c r="AA226" s="153"/>
      <c r="AB226" s="153"/>
      <c r="AC226" s="153"/>
      <c r="AD226" s="153"/>
      <c r="AE226" s="153"/>
      <c r="AF226" s="153"/>
      <c r="AG226" s="153"/>
      <c r="AH226" s="153"/>
      <c r="AI226" s="153"/>
      <c r="AJ226" s="153"/>
      <c r="AK226" s="153"/>
      <c r="AL226" s="153"/>
      <c r="AM226" s="153"/>
      <c r="AN226" s="154"/>
      <c r="AO226" s="155">
        <f t="shared" si="68"/>
        <v>0</v>
      </c>
      <c r="AP226" s="13"/>
      <c r="AQ226" s="156">
        <f t="shared" ref="AQ226:AQ231" si="77">+AP226*AO226</f>
        <v>0</v>
      </c>
      <c r="AR226" s="13"/>
      <c r="AS226" s="156">
        <f t="shared" ref="AS226:AS231" si="78">+AR226*AO226</f>
        <v>0</v>
      </c>
      <c r="AT226" s="157">
        <f t="shared" ref="AT226:AT231" si="79">+AR226+AP226</f>
        <v>0</v>
      </c>
      <c r="AU226" s="156">
        <f t="shared" ref="AU226:AU231" si="80">+AT226*AO226</f>
        <v>0</v>
      </c>
    </row>
    <row r="227" spans="1:47" ht="30" customHeight="1" x14ac:dyDescent="0.25">
      <c r="A227" s="76"/>
      <c r="B227" s="158" t="s">
        <v>1366</v>
      </c>
      <c r="C227" s="411" t="s">
        <v>1372</v>
      </c>
      <c r="D227" s="412"/>
      <c r="E227" s="408"/>
      <c r="F227" s="409"/>
      <c r="G227" s="397"/>
      <c r="H227" s="394"/>
      <c r="I227" s="162" t="s">
        <v>393</v>
      </c>
      <c r="J227" s="163"/>
      <c r="K227" s="164"/>
      <c r="L227" s="164"/>
      <c r="M227" s="164"/>
      <c r="N227" s="164"/>
      <c r="O227" s="164"/>
      <c r="P227" s="164"/>
      <c r="Q227" s="164"/>
      <c r="R227" s="164"/>
      <c r="S227" s="164"/>
      <c r="T227" s="164"/>
      <c r="U227" s="164"/>
      <c r="V227" s="164"/>
      <c r="W227" s="164"/>
      <c r="X227" s="164"/>
      <c r="Y227" s="164"/>
      <c r="Z227" s="164"/>
      <c r="AA227" s="164"/>
      <c r="AB227" s="164"/>
      <c r="AC227" s="164"/>
      <c r="AD227" s="164"/>
      <c r="AE227" s="164"/>
      <c r="AF227" s="164"/>
      <c r="AG227" s="164"/>
      <c r="AH227" s="164"/>
      <c r="AI227" s="164"/>
      <c r="AJ227" s="164"/>
      <c r="AK227" s="164"/>
      <c r="AL227" s="164"/>
      <c r="AM227" s="164"/>
      <c r="AN227" s="165"/>
      <c r="AO227" s="166">
        <f t="shared" si="68"/>
        <v>0</v>
      </c>
      <c r="AP227" s="12"/>
      <c r="AQ227" s="167">
        <f t="shared" si="77"/>
        <v>0</v>
      </c>
      <c r="AR227" s="12"/>
      <c r="AS227" s="167">
        <f t="shared" si="78"/>
        <v>0</v>
      </c>
      <c r="AT227" s="168">
        <f t="shared" si="79"/>
        <v>0</v>
      </c>
      <c r="AU227" s="167">
        <f t="shared" si="80"/>
        <v>0</v>
      </c>
    </row>
    <row r="228" spans="1:47" ht="30" customHeight="1" x14ac:dyDescent="0.25">
      <c r="A228" s="76"/>
      <c r="B228" s="158" t="s">
        <v>1367</v>
      </c>
      <c r="C228" s="411" t="s">
        <v>1373</v>
      </c>
      <c r="D228" s="412"/>
      <c r="E228" s="408"/>
      <c r="F228" s="409"/>
      <c r="G228" s="397"/>
      <c r="H228" s="394"/>
      <c r="I228" s="162" t="s">
        <v>393</v>
      </c>
      <c r="J228" s="163"/>
      <c r="K228" s="164"/>
      <c r="L228" s="164"/>
      <c r="M228" s="164"/>
      <c r="N228" s="164"/>
      <c r="O228" s="164"/>
      <c r="P228" s="164"/>
      <c r="Q228" s="164"/>
      <c r="R228" s="164"/>
      <c r="S228" s="164"/>
      <c r="T228" s="164"/>
      <c r="U228" s="164"/>
      <c r="V228" s="164"/>
      <c r="W228" s="164"/>
      <c r="X228" s="164"/>
      <c r="Y228" s="164"/>
      <c r="Z228" s="164"/>
      <c r="AA228" s="164"/>
      <c r="AB228" s="164"/>
      <c r="AC228" s="164"/>
      <c r="AD228" s="164"/>
      <c r="AE228" s="164"/>
      <c r="AF228" s="164"/>
      <c r="AG228" s="164"/>
      <c r="AH228" s="164"/>
      <c r="AI228" s="164"/>
      <c r="AJ228" s="164"/>
      <c r="AK228" s="164"/>
      <c r="AL228" s="164"/>
      <c r="AM228" s="164"/>
      <c r="AN228" s="165"/>
      <c r="AO228" s="166">
        <f t="shared" si="68"/>
        <v>0</v>
      </c>
      <c r="AP228" s="12"/>
      <c r="AQ228" s="167">
        <f t="shared" si="77"/>
        <v>0</v>
      </c>
      <c r="AR228" s="12"/>
      <c r="AS228" s="167">
        <f t="shared" si="78"/>
        <v>0</v>
      </c>
      <c r="AT228" s="168">
        <f t="shared" si="79"/>
        <v>0</v>
      </c>
      <c r="AU228" s="167">
        <f t="shared" si="80"/>
        <v>0</v>
      </c>
    </row>
    <row r="229" spans="1:47" ht="30" customHeight="1" x14ac:dyDescent="0.25">
      <c r="A229" s="76"/>
      <c r="B229" s="158" t="s">
        <v>1368</v>
      </c>
      <c r="C229" s="411" t="s">
        <v>1374</v>
      </c>
      <c r="D229" s="412"/>
      <c r="E229" s="408"/>
      <c r="F229" s="409"/>
      <c r="G229" s="397"/>
      <c r="H229" s="394"/>
      <c r="I229" s="162" t="s">
        <v>393</v>
      </c>
      <c r="J229" s="163"/>
      <c r="K229" s="164">
        <v>2</v>
      </c>
      <c r="L229" s="164">
        <v>2</v>
      </c>
      <c r="M229" s="164"/>
      <c r="N229" s="164"/>
      <c r="O229" s="164"/>
      <c r="P229" s="164"/>
      <c r="Q229" s="164"/>
      <c r="R229" s="164"/>
      <c r="S229" s="164"/>
      <c r="T229" s="164"/>
      <c r="U229" s="164"/>
      <c r="V229" s="164"/>
      <c r="W229" s="164"/>
      <c r="X229" s="164"/>
      <c r="Y229" s="164"/>
      <c r="Z229" s="164"/>
      <c r="AA229" s="164"/>
      <c r="AB229" s="164"/>
      <c r="AC229" s="164"/>
      <c r="AD229" s="164"/>
      <c r="AE229" s="164"/>
      <c r="AF229" s="164"/>
      <c r="AG229" s="164"/>
      <c r="AH229" s="164"/>
      <c r="AI229" s="164"/>
      <c r="AJ229" s="164"/>
      <c r="AK229" s="164"/>
      <c r="AL229" s="164"/>
      <c r="AM229" s="164"/>
      <c r="AN229" s="165"/>
      <c r="AO229" s="166">
        <f t="shared" si="68"/>
        <v>4</v>
      </c>
      <c r="AP229" s="12"/>
      <c r="AQ229" s="167">
        <f t="shared" si="77"/>
        <v>0</v>
      </c>
      <c r="AR229" s="12"/>
      <c r="AS229" s="167">
        <f t="shared" si="78"/>
        <v>0</v>
      </c>
      <c r="AT229" s="168">
        <f t="shared" si="79"/>
        <v>0</v>
      </c>
      <c r="AU229" s="167">
        <f t="shared" si="80"/>
        <v>0</v>
      </c>
    </row>
    <row r="230" spans="1:47" ht="30" customHeight="1" x14ac:dyDescent="0.25">
      <c r="A230" s="76"/>
      <c r="B230" s="158" t="s">
        <v>1369</v>
      </c>
      <c r="C230" s="411" t="s">
        <v>1375</v>
      </c>
      <c r="D230" s="412"/>
      <c r="E230" s="408"/>
      <c r="F230" s="409"/>
      <c r="G230" s="397"/>
      <c r="H230" s="394"/>
      <c r="I230" s="162" t="s">
        <v>393</v>
      </c>
      <c r="J230" s="163"/>
      <c r="K230" s="164"/>
      <c r="L230" s="164"/>
      <c r="M230" s="164"/>
      <c r="N230" s="164"/>
      <c r="O230" s="164"/>
      <c r="P230" s="164"/>
      <c r="Q230" s="164"/>
      <c r="R230" s="164"/>
      <c r="S230" s="164"/>
      <c r="T230" s="164"/>
      <c r="U230" s="164"/>
      <c r="V230" s="164"/>
      <c r="W230" s="164"/>
      <c r="X230" s="164"/>
      <c r="Y230" s="164"/>
      <c r="Z230" s="164"/>
      <c r="AA230" s="164"/>
      <c r="AB230" s="164"/>
      <c r="AC230" s="164"/>
      <c r="AD230" s="164"/>
      <c r="AE230" s="164"/>
      <c r="AF230" s="164"/>
      <c r="AG230" s="164"/>
      <c r="AH230" s="164"/>
      <c r="AI230" s="164"/>
      <c r="AJ230" s="164"/>
      <c r="AK230" s="164"/>
      <c r="AL230" s="164"/>
      <c r="AM230" s="164"/>
      <c r="AN230" s="165"/>
      <c r="AO230" s="166">
        <f t="shared" si="68"/>
        <v>0</v>
      </c>
      <c r="AP230" s="12"/>
      <c r="AQ230" s="167">
        <f t="shared" si="77"/>
        <v>0</v>
      </c>
      <c r="AR230" s="12"/>
      <c r="AS230" s="167">
        <f t="shared" si="78"/>
        <v>0</v>
      </c>
      <c r="AT230" s="168">
        <f t="shared" si="79"/>
        <v>0</v>
      </c>
      <c r="AU230" s="167">
        <f t="shared" si="80"/>
        <v>0</v>
      </c>
    </row>
    <row r="231" spans="1:47" ht="30" customHeight="1" x14ac:dyDescent="0.25">
      <c r="A231" s="76"/>
      <c r="B231" s="169" t="s">
        <v>1370</v>
      </c>
      <c r="C231" s="404" t="s">
        <v>1376</v>
      </c>
      <c r="D231" s="405"/>
      <c r="E231" s="400"/>
      <c r="F231" s="402"/>
      <c r="G231" s="398"/>
      <c r="H231" s="395"/>
      <c r="I231" s="173" t="s">
        <v>393</v>
      </c>
      <c r="J231" s="174"/>
      <c r="K231" s="175"/>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6"/>
      <c r="AO231" s="177">
        <f t="shared" si="68"/>
        <v>0</v>
      </c>
      <c r="AP231" s="14"/>
      <c r="AQ231" s="178">
        <f t="shared" si="77"/>
        <v>0</v>
      </c>
      <c r="AR231" s="14"/>
      <c r="AS231" s="178">
        <f t="shared" si="78"/>
        <v>0</v>
      </c>
      <c r="AT231" s="179">
        <f t="shared" si="79"/>
        <v>0</v>
      </c>
      <c r="AU231" s="178">
        <f t="shared" si="80"/>
        <v>0</v>
      </c>
    </row>
    <row r="232" spans="1:47" ht="30" customHeight="1" x14ac:dyDescent="0.25">
      <c r="A232" s="76"/>
      <c r="B232" s="148" t="s">
        <v>1377</v>
      </c>
      <c r="C232" s="406" t="s">
        <v>1381</v>
      </c>
      <c r="D232" s="407"/>
      <c r="E232" s="399" t="s">
        <v>1385</v>
      </c>
      <c r="F232" s="401" t="s">
        <v>1329</v>
      </c>
      <c r="G232" s="424" t="s">
        <v>1079</v>
      </c>
      <c r="H232" s="403" t="s">
        <v>1079</v>
      </c>
      <c r="I232" s="151" t="s">
        <v>532</v>
      </c>
      <c r="J232" s="152"/>
      <c r="K232" s="153"/>
      <c r="L232" s="153"/>
      <c r="M232" s="153"/>
      <c r="N232" s="153"/>
      <c r="O232" s="153"/>
      <c r="P232" s="153"/>
      <c r="Q232" s="153"/>
      <c r="R232" s="153"/>
      <c r="S232" s="153"/>
      <c r="T232" s="153"/>
      <c r="U232" s="153"/>
      <c r="V232" s="153"/>
      <c r="W232" s="153"/>
      <c r="X232" s="153"/>
      <c r="Y232" s="153"/>
      <c r="Z232" s="153"/>
      <c r="AA232" s="153"/>
      <c r="AB232" s="153"/>
      <c r="AC232" s="153"/>
      <c r="AD232" s="153"/>
      <c r="AE232" s="153"/>
      <c r="AF232" s="153"/>
      <c r="AG232" s="153"/>
      <c r="AH232" s="153"/>
      <c r="AI232" s="153"/>
      <c r="AJ232" s="153"/>
      <c r="AK232" s="153"/>
      <c r="AL232" s="153"/>
      <c r="AM232" s="153"/>
      <c r="AN232" s="154"/>
      <c r="AO232" s="155">
        <f t="shared" si="68"/>
        <v>0</v>
      </c>
      <c r="AP232" s="13"/>
      <c r="AQ232" s="156">
        <f t="shared" ref="AQ232:AQ235" si="81">+AP232*AO232</f>
        <v>0</v>
      </c>
      <c r="AR232" s="13"/>
      <c r="AS232" s="156">
        <f t="shared" ref="AS232:AS235" si="82">+AR232*AO232</f>
        <v>0</v>
      </c>
      <c r="AT232" s="157">
        <f t="shared" ref="AT232:AT235" si="83">+AR232+AP232</f>
        <v>0</v>
      </c>
      <c r="AU232" s="156">
        <f t="shared" ref="AU232:AU235" si="84">+AT232*AO232</f>
        <v>0</v>
      </c>
    </row>
    <row r="233" spans="1:47" ht="30" customHeight="1" x14ac:dyDescent="0.25">
      <c r="A233" s="76"/>
      <c r="B233" s="158" t="s">
        <v>1378</v>
      </c>
      <c r="C233" s="411" t="s">
        <v>1382</v>
      </c>
      <c r="D233" s="412"/>
      <c r="E233" s="408"/>
      <c r="F233" s="409"/>
      <c r="G233" s="397"/>
      <c r="H233" s="394"/>
      <c r="I233" s="162" t="s">
        <v>532</v>
      </c>
      <c r="J233" s="163"/>
      <c r="K233" s="164"/>
      <c r="L233" s="164"/>
      <c r="M233" s="164"/>
      <c r="N233" s="164"/>
      <c r="O233" s="164"/>
      <c r="P233" s="164"/>
      <c r="Q233" s="164"/>
      <c r="R233" s="164"/>
      <c r="S233" s="164"/>
      <c r="T233" s="164"/>
      <c r="U233" s="164"/>
      <c r="V233" s="164"/>
      <c r="W233" s="164"/>
      <c r="X233" s="164"/>
      <c r="Y233" s="164"/>
      <c r="Z233" s="164"/>
      <c r="AA233" s="164"/>
      <c r="AB233" s="164"/>
      <c r="AC233" s="164"/>
      <c r="AD233" s="164"/>
      <c r="AE233" s="164"/>
      <c r="AF233" s="164"/>
      <c r="AG233" s="164"/>
      <c r="AH233" s="164"/>
      <c r="AI233" s="164"/>
      <c r="AJ233" s="164"/>
      <c r="AK233" s="164"/>
      <c r="AL233" s="164"/>
      <c r="AM233" s="164"/>
      <c r="AN233" s="165"/>
      <c r="AO233" s="166">
        <f t="shared" si="68"/>
        <v>0</v>
      </c>
      <c r="AP233" s="12"/>
      <c r="AQ233" s="167">
        <f t="shared" si="81"/>
        <v>0</v>
      </c>
      <c r="AR233" s="12"/>
      <c r="AS233" s="167">
        <f t="shared" si="82"/>
        <v>0</v>
      </c>
      <c r="AT233" s="168">
        <f t="shared" si="83"/>
        <v>0</v>
      </c>
      <c r="AU233" s="167">
        <f t="shared" si="84"/>
        <v>0</v>
      </c>
    </row>
    <row r="234" spans="1:47" ht="30" customHeight="1" x14ac:dyDescent="0.25">
      <c r="A234" s="76"/>
      <c r="B234" s="158" t="s">
        <v>1379</v>
      </c>
      <c r="C234" s="411" t="s">
        <v>1383</v>
      </c>
      <c r="D234" s="412"/>
      <c r="E234" s="408"/>
      <c r="F234" s="409"/>
      <c r="G234" s="397"/>
      <c r="H234" s="394"/>
      <c r="I234" s="162" t="s">
        <v>532</v>
      </c>
      <c r="J234" s="163"/>
      <c r="K234" s="164"/>
      <c r="L234" s="164"/>
      <c r="M234" s="164"/>
      <c r="N234" s="164"/>
      <c r="O234" s="164"/>
      <c r="P234" s="164"/>
      <c r="Q234" s="164"/>
      <c r="R234" s="164"/>
      <c r="S234" s="164"/>
      <c r="T234" s="164"/>
      <c r="U234" s="164"/>
      <c r="V234" s="164"/>
      <c r="W234" s="164"/>
      <c r="X234" s="164"/>
      <c r="Y234" s="164"/>
      <c r="Z234" s="164"/>
      <c r="AA234" s="164"/>
      <c r="AB234" s="164"/>
      <c r="AC234" s="164"/>
      <c r="AD234" s="164"/>
      <c r="AE234" s="164"/>
      <c r="AF234" s="164"/>
      <c r="AG234" s="164"/>
      <c r="AH234" s="164"/>
      <c r="AI234" s="164"/>
      <c r="AJ234" s="164"/>
      <c r="AK234" s="164"/>
      <c r="AL234" s="164"/>
      <c r="AM234" s="164"/>
      <c r="AN234" s="165"/>
      <c r="AO234" s="166">
        <f t="shared" si="68"/>
        <v>0</v>
      </c>
      <c r="AP234" s="12"/>
      <c r="AQ234" s="167">
        <f t="shared" si="81"/>
        <v>0</v>
      </c>
      <c r="AR234" s="12"/>
      <c r="AS234" s="167">
        <f t="shared" si="82"/>
        <v>0</v>
      </c>
      <c r="AT234" s="168">
        <f t="shared" si="83"/>
        <v>0</v>
      </c>
      <c r="AU234" s="167">
        <f t="shared" si="84"/>
        <v>0</v>
      </c>
    </row>
    <row r="235" spans="1:47" ht="30" customHeight="1" x14ac:dyDescent="0.25">
      <c r="A235" s="76"/>
      <c r="B235" s="169" t="s">
        <v>1380</v>
      </c>
      <c r="C235" s="404" t="s">
        <v>1384</v>
      </c>
      <c r="D235" s="405"/>
      <c r="E235" s="400"/>
      <c r="F235" s="402"/>
      <c r="G235" s="398"/>
      <c r="H235" s="395"/>
      <c r="I235" s="173" t="s">
        <v>532</v>
      </c>
      <c r="J235" s="174"/>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6"/>
      <c r="AO235" s="177">
        <f t="shared" si="68"/>
        <v>0</v>
      </c>
      <c r="AP235" s="14"/>
      <c r="AQ235" s="178">
        <f t="shared" si="81"/>
        <v>0</v>
      </c>
      <c r="AR235" s="14"/>
      <c r="AS235" s="178">
        <f t="shared" si="82"/>
        <v>0</v>
      </c>
      <c r="AT235" s="179">
        <f t="shared" si="83"/>
        <v>0</v>
      </c>
      <c r="AU235" s="178">
        <f t="shared" si="84"/>
        <v>0</v>
      </c>
    </row>
    <row r="236" spans="1:47" ht="38.25" customHeight="1" x14ac:dyDescent="0.25">
      <c r="A236" s="76"/>
      <c r="B236" s="148" t="s">
        <v>1386</v>
      </c>
      <c r="C236" s="406" t="s">
        <v>1389</v>
      </c>
      <c r="D236" s="407"/>
      <c r="E236" s="399" t="s">
        <v>1388</v>
      </c>
      <c r="F236" s="401" t="s">
        <v>1329</v>
      </c>
      <c r="G236" s="424" t="str">
        <f>+G232</f>
        <v>YÜKLENİCİ</v>
      </c>
      <c r="H236" s="403" t="str">
        <f>+H232</f>
        <v>YÜKLENİCİ</v>
      </c>
      <c r="I236" s="151" t="s">
        <v>532</v>
      </c>
      <c r="J236" s="152"/>
      <c r="K236" s="153"/>
      <c r="L236" s="153"/>
      <c r="M236" s="153"/>
      <c r="N236" s="153"/>
      <c r="O236" s="153"/>
      <c r="P236" s="153"/>
      <c r="Q236" s="153"/>
      <c r="R236" s="153"/>
      <c r="S236" s="153"/>
      <c r="T236" s="153"/>
      <c r="U236" s="153"/>
      <c r="V236" s="153"/>
      <c r="W236" s="153"/>
      <c r="X236" s="153"/>
      <c r="Y236" s="153"/>
      <c r="Z236" s="153"/>
      <c r="AA236" s="153"/>
      <c r="AB236" s="153"/>
      <c r="AC236" s="153"/>
      <c r="AD236" s="153"/>
      <c r="AE236" s="153"/>
      <c r="AF236" s="153"/>
      <c r="AG236" s="153"/>
      <c r="AH236" s="153"/>
      <c r="AI236" s="153"/>
      <c r="AJ236" s="153"/>
      <c r="AK236" s="153"/>
      <c r="AL236" s="153"/>
      <c r="AM236" s="153"/>
      <c r="AN236" s="154"/>
      <c r="AO236" s="155">
        <f t="shared" si="68"/>
        <v>0</v>
      </c>
      <c r="AP236" s="13"/>
      <c r="AQ236" s="156">
        <f t="shared" ref="AQ236:AQ237" si="85">+AP236*AO236</f>
        <v>0</v>
      </c>
      <c r="AR236" s="13"/>
      <c r="AS236" s="156">
        <f t="shared" ref="AS236:AS237" si="86">+AR236*AO236</f>
        <v>0</v>
      </c>
      <c r="AT236" s="157">
        <f t="shared" ref="AT236:AT237" si="87">+AR236+AP236</f>
        <v>0</v>
      </c>
      <c r="AU236" s="156">
        <f t="shared" ref="AU236:AU237" si="88">+AT236*AO236</f>
        <v>0</v>
      </c>
    </row>
    <row r="237" spans="1:47" ht="38.25" customHeight="1" x14ac:dyDescent="0.25">
      <c r="A237" s="76"/>
      <c r="B237" s="169" t="s">
        <v>1387</v>
      </c>
      <c r="C237" s="404" t="s">
        <v>1390</v>
      </c>
      <c r="D237" s="405"/>
      <c r="E237" s="400"/>
      <c r="F237" s="402"/>
      <c r="G237" s="398"/>
      <c r="H237" s="395"/>
      <c r="I237" s="173" t="s">
        <v>532</v>
      </c>
      <c r="J237" s="174"/>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6"/>
      <c r="AO237" s="177">
        <f t="shared" si="68"/>
        <v>0</v>
      </c>
      <c r="AP237" s="14"/>
      <c r="AQ237" s="178">
        <f t="shared" si="85"/>
        <v>0</v>
      </c>
      <c r="AR237" s="14"/>
      <c r="AS237" s="178">
        <f t="shared" si="86"/>
        <v>0</v>
      </c>
      <c r="AT237" s="179">
        <f t="shared" si="87"/>
        <v>0</v>
      </c>
      <c r="AU237" s="178">
        <f t="shared" si="88"/>
        <v>0</v>
      </c>
    </row>
    <row r="238" spans="1:47" ht="51.75" customHeight="1" x14ac:dyDescent="0.25">
      <c r="A238" s="140"/>
      <c r="B238" s="37">
        <v>8</v>
      </c>
      <c r="C238" s="270" t="s">
        <v>1578</v>
      </c>
      <c r="D238" s="271"/>
      <c r="E238" s="271"/>
      <c r="F238" s="356"/>
      <c r="G238" s="97"/>
      <c r="H238" s="84"/>
      <c r="I238" s="97"/>
      <c r="J238" s="83"/>
      <c r="K238" s="83"/>
      <c r="L238" s="83"/>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4"/>
      <c r="AP238" s="78"/>
      <c r="AQ238" s="79">
        <f>SUM(AQ239:AQ276)</f>
        <v>0</v>
      </c>
      <c r="AR238" s="78"/>
      <c r="AS238" s="79">
        <f>SUM(AS239:AS276)</f>
        <v>0</v>
      </c>
      <c r="AT238" s="78"/>
      <c r="AU238" s="79">
        <f>SUM(AU239:AU276)</f>
        <v>0</v>
      </c>
    </row>
    <row r="239" spans="1:47" ht="42.75" customHeight="1" x14ac:dyDescent="0.25">
      <c r="A239" s="76"/>
      <c r="B239" s="148" t="s">
        <v>290</v>
      </c>
      <c r="C239" s="406" t="s">
        <v>1400</v>
      </c>
      <c r="D239" s="407"/>
      <c r="E239" s="399" t="s">
        <v>1407</v>
      </c>
      <c r="F239" s="401" t="s">
        <v>1406</v>
      </c>
      <c r="G239" s="424" t="s">
        <v>1079</v>
      </c>
      <c r="H239" s="403" t="s">
        <v>1079</v>
      </c>
      <c r="I239" s="151" t="s">
        <v>532</v>
      </c>
      <c r="J239" s="152"/>
      <c r="K239" s="153"/>
      <c r="L239" s="153"/>
      <c r="M239" s="153"/>
      <c r="N239" s="153"/>
      <c r="O239" s="153"/>
      <c r="P239" s="153"/>
      <c r="Q239" s="153"/>
      <c r="R239" s="153"/>
      <c r="S239" s="153"/>
      <c r="T239" s="153"/>
      <c r="U239" s="153"/>
      <c r="V239" s="153"/>
      <c r="W239" s="153"/>
      <c r="X239" s="153"/>
      <c r="Y239" s="153"/>
      <c r="Z239" s="153"/>
      <c r="AA239" s="153"/>
      <c r="AB239" s="153"/>
      <c r="AC239" s="153"/>
      <c r="AD239" s="153"/>
      <c r="AE239" s="153"/>
      <c r="AF239" s="153"/>
      <c r="AG239" s="153"/>
      <c r="AH239" s="153"/>
      <c r="AI239" s="153"/>
      <c r="AJ239" s="153"/>
      <c r="AK239" s="153"/>
      <c r="AL239" s="153"/>
      <c r="AM239" s="153"/>
      <c r="AN239" s="154"/>
      <c r="AO239" s="155">
        <f t="shared" ref="AO239:AO276" si="89">SUM(J239:AN239)</f>
        <v>0</v>
      </c>
      <c r="AP239" s="13"/>
      <c r="AQ239" s="156">
        <f t="shared" ref="AQ239:AQ244" si="90">+AP239*AO239</f>
        <v>0</v>
      </c>
      <c r="AR239" s="13"/>
      <c r="AS239" s="156">
        <f t="shared" ref="AS239:AS244" si="91">+AR239*AO239</f>
        <v>0</v>
      </c>
      <c r="AT239" s="157">
        <f t="shared" ref="AT239:AT244" si="92">+AR239+AP239</f>
        <v>0</v>
      </c>
      <c r="AU239" s="156">
        <f t="shared" ref="AU239:AU244" si="93">+AT239*AO239</f>
        <v>0</v>
      </c>
    </row>
    <row r="240" spans="1:47" ht="42.75" customHeight="1" x14ac:dyDescent="0.25">
      <c r="A240" s="76"/>
      <c r="B240" s="158" t="s">
        <v>291</v>
      </c>
      <c r="C240" s="411" t="s">
        <v>1401</v>
      </c>
      <c r="D240" s="412"/>
      <c r="E240" s="408"/>
      <c r="F240" s="409"/>
      <c r="G240" s="397"/>
      <c r="H240" s="394"/>
      <c r="I240" s="162" t="s">
        <v>532</v>
      </c>
      <c r="J240" s="163"/>
      <c r="K240" s="164"/>
      <c r="L240" s="164"/>
      <c r="M240" s="164"/>
      <c r="N240" s="164"/>
      <c r="O240" s="164"/>
      <c r="P240" s="164"/>
      <c r="Q240" s="164"/>
      <c r="R240" s="164"/>
      <c r="S240" s="164"/>
      <c r="T240" s="164"/>
      <c r="U240" s="164"/>
      <c r="V240" s="164"/>
      <c r="W240" s="164"/>
      <c r="X240" s="164"/>
      <c r="Y240" s="164"/>
      <c r="Z240" s="164"/>
      <c r="AA240" s="164"/>
      <c r="AB240" s="164"/>
      <c r="AC240" s="164"/>
      <c r="AD240" s="164"/>
      <c r="AE240" s="164"/>
      <c r="AF240" s="164"/>
      <c r="AG240" s="164"/>
      <c r="AH240" s="164"/>
      <c r="AI240" s="164"/>
      <c r="AJ240" s="164"/>
      <c r="AK240" s="164"/>
      <c r="AL240" s="164"/>
      <c r="AM240" s="164"/>
      <c r="AN240" s="165"/>
      <c r="AO240" s="166">
        <f t="shared" si="89"/>
        <v>0</v>
      </c>
      <c r="AP240" s="12"/>
      <c r="AQ240" s="167">
        <f t="shared" si="90"/>
        <v>0</v>
      </c>
      <c r="AR240" s="12"/>
      <c r="AS240" s="167">
        <f t="shared" si="91"/>
        <v>0</v>
      </c>
      <c r="AT240" s="168">
        <f t="shared" si="92"/>
        <v>0</v>
      </c>
      <c r="AU240" s="167">
        <f t="shared" si="93"/>
        <v>0</v>
      </c>
    </row>
    <row r="241" spans="1:47" ht="42.75" customHeight="1" x14ac:dyDescent="0.25">
      <c r="A241" s="76"/>
      <c r="B241" s="158" t="s">
        <v>1396</v>
      </c>
      <c r="C241" s="411" t="s">
        <v>1402</v>
      </c>
      <c r="D241" s="412"/>
      <c r="E241" s="408"/>
      <c r="F241" s="409"/>
      <c r="G241" s="397"/>
      <c r="H241" s="394"/>
      <c r="I241" s="162" t="s">
        <v>532</v>
      </c>
      <c r="J241" s="163"/>
      <c r="K241" s="164"/>
      <c r="L241" s="164"/>
      <c r="M241" s="164"/>
      <c r="N241" s="164"/>
      <c r="O241" s="164"/>
      <c r="P241" s="164"/>
      <c r="Q241" s="164"/>
      <c r="R241" s="164"/>
      <c r="S241" s="164"/>
      <c r="T241" s="164"/>
      <c r="U241" s="164"/>
      <c r="V241" s="164"/>
      <c r="W241" s="164"/>
      <c r="X241" s="164"/>
      <c r="Y241" s="164"/>
      <c r="Z241" s="164"/>
      <c r="AA241" s="164"/>
      <c r="AB241" s="164"/>
      <c r="AC241" s="164"/>
      <c r="AD241" s="164"/>
      <c r="AE241" s="164"/>
      <c r="AF241" s="164"/>
      <c r="AG241" s="164"/>
      <c r="AH241" s="164"/>
      <c r="AI241" s="164"/>
      <c r="AJ241" s="164"/>
      <c r="AK241" s="164"/>
      <c r="AL241" s="164"/>
      <c r="AM241" s="164"/>
      <c r="AN241" s="165"/>
      <c r="AO241" s="166">
        <f t="shared" si="89"/>
        <v>0</v>
      </c>
      <c r="AP241" s="12"/>
      <c r="AQ241" s="167">
        <f t="shared" si="90"/>
        <v>0</v>
      </c>
      <c r="AR241" s="12"/>
      <c r="AS241" s="167">
        <f t="shared" si="91"/>
        <v>0</v>
      </c>
      <c r="AT241" s="168">
        <f t="shared" si="92"/>
        <v>0</v>
      </c>
      <c r="AU241" s="167">
        <f t="shared" si="93"/>
        <v>0</v>
      </c>
    </row>
    <row r="242" spans="1:47" ht="42.75" customHeight="1" x14ac:dyDescent="0.25">
      <c r="A242" s="76"/>
      <c r="B242" s="158" t="s">
        <v>1397</v>
      </c>
      <c r="C242" s="411" t="s">
        <v>1403</v>
      </c>
      <c r="D242" s="412"/>
      <c r="E242" s="408"/>
      <c r="F242" s="409"/>
      <c r="G242" s="397"/>
      <c r="H242" s="394"/>
      <c r="I242" s="162" t="s">
        <v>532</v>
      </c>
      <c r="J242" s="163"/>
      <c r="K242" s="164"/>
      <c r="L242" s="164"/>
      <c r="M242" s="164"/>
      <c r="N242" s="164"/>
      <c r="O242" s="164"/>
      <c r="P242" s="164"/>
      <c r="Q242" s="164"/>
      <c r="R242" s="164"/>
      <c r="S242" s="164"/>
      <c r="T242" s="164"/>
      <c r="U242" s="164"/>
      <c r="V242" s="164"/>
      <c r="W242" s="164"/>
      <c r="X242" s="164"/>
      <c r="Y242" s="164"/>
      <c r="Z242" s="164"/>
      <c r="AA242" s="164"/>
      <c r="AB242" s="164"/>
      <c r="AC242" s="164"/>
      <c r="AD242" s="164"/>
      <c r="AE242" s="164"/>
      <c r="AF242" s="164"/>
      <c r="AG242" s="164"/>
      <c r="AH242" s="164"/>
      <c r="AI242" s="164"/>
      <c r="AJ242" s="164"/>
      <c r="AK242" s="164"/>
      <c r="AL242" s="164"/>
      <c r="AM242" s="164"/>
      <c r="AN242" s="165"/>
      <c r="AO242" s="166">
        <f t="shared" si="89"/>
        <v>0</v>
      </c>
      <c r="AP242" s="12"/>
      <c r="AQ242" s="167">
        <f t="shared" si="90"/>
        <v>0</v>
      </c>
      <c r="AR242" s="12"/>
      <c r="AS242" s="167">
        <f t="shared" si="91"/>
        <v>0</v>
      </c>
      <c r="AT242" s="168">
        <f t="shared" si="92"/>
        <v>0</v>
      </c>
      <c r="AU242" s="167">
        <f t="shared" si="93"/>
        <v>0</v>
      </c>
    </row>
    <row r="243" spans="1:47" ht="42.75" customHeight="1" x14ac:dyDescent="0.25">
      <c r="A243" s="76"/>
      <c r="B243" s="158" t="s">
        <v>1398</v>
      </c>
      <c r="C243" s="411" t="s">
        <v>1404</v>
      </c>
      <c r="D243" s="412"/>
      <c r="E243" s="408"/>
      <c r="F243" s="409"/>
      <c r="G243" s="397"/>
      <c r="H243" s="394"/>
      <c r="I243" s="162" t="s">
        <v>532</v>
      </c>
      <c r="J243" s="163"/>
      <c r="K243" s="164"/>
      <c r="L243" s="164"/>
      <c r="M243" s="164"/>
      <c r="N243" s="164"/>
      <c r="O243" s="164"/>
      <c r="P243" s="164"/>
      <c r="Q243" s="164"/>
      <c r="R243" s="164"/>
      <c r="S243" s="164"/>
      <c r="T243" s="164"/>
      <c r="U243" s="164"/>
      <c r="V243" s="164"/>
      <c r="W243" s="164"/>
      <c r="X243" s="164"/>
      <c r="Y243" s="164"/>
      <c r="Z243" s="164"/>
      <c r="AA243" s="164"/>
      <c r="AB243" s="164"/>
      <c r="AC243" s="164"/>
      <c r="AD243" s="164"/>
      <c r="AE243" s="164"/>
      <c r="AF243" s="164"/>
      <c r="AG243" s="164"/>
      <c r="AH243" s="164"/>
      <c r="AI243" s="164"/>
      <c r="AJ243" s="164"/>
      <c r="AK243" s="164"/>
      <c r="AL243" s="164"/>
      <c r="AM243" s="164"/>
      <c r="AN243" s="165"/>
      <c r="AO243" s="166">
        <f t="shared" si="89"/>
        <v>0</v>
      </c>
      <c r="AP243" s="12"/>
      <c r="AQ243" s="167">
        <f t="shared" si="90"/>
        <v>0</v>
      </c>
      <c r="AR243" s="12"/>
      <c r="AS243" s="167">
        <f t="shared" si="91"/>
        <v>0</v>
      </c>
      <c r="AT243" s="168">
        <f t="shared" si="92"/>
        <v>0</v>
      </c>
      <c r="AU243" s="167">
        <f t="shared" si="93"/>
        <v>0</v>
      </c>
    </row>
    <row r="244" spans="1:47" ht="42.75" customHeight="1" x14ac:dyDescent="0.25">
      <c r="A244" s="76"/>
      <c r="B244" s="169" t="s">
        <v>1399</v>
      </c>
      <c r="C244" s="404" t="s">
        <v>1405</v>
      </c>
      <c r="D244" s="405"/>
      <c r="E244" s="400"/>
      <c r="F244" s="402"/>
      <c r="G244" s="398"/>
      <c r="H244" s="395"/>
      <c r="I244" s="173" t="s">
        <v>532</v>
      </c>
      <c r="J244" s="174"/>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5"/>
      <c r="AK244" s="175"/>
      <c r="AL244" s="175"/>
      <c r="AM244" s="175"/>
      <c r="AN244" s="176"/>
      <c r="AO244" s="177">
        <f t="shared" si="89"/>
        <v>0</v>
      </c>
      <c r="AP244" s="14"/>
      <c r="AQ244" s="178">
        <f t="shared" si="90"/>
        <v>0</v>
      </c>
      <c r="AR244" s="14"/>
      <c r="AS244" s="178">
        <f t="shared" si="91"/>
        <v>0</v>
      </c>
      <c r="AT244" s="179">
        <f t="shared" si="92"/>
        <v>0</v>
      </c>
      <c r="AU244" s="178">
        <f t="shared" si="93"/>
        <v>0</v>
      </c>
    </row>
    <row r="245" spans="1:47" ht="42.75" customHeight="1" x14ac:dyDescent="0.25">
      <c r="A245" s="76"/>
      <c r="B245" s="148" t="s">
        <v>297</v>
      </c>
      <c r="C245" s="406" t="s">
        <v>1410</v>
      </c>
      <c r="D245" s="407"/>
      <c r="E245" s="399" t="s">
        <v>1415</v>
      </c>
      <c r="F245" s="401" t="s">
        <v>1406</v>
      </c>
      <c r="G245" s="424" t="s">
        <v>1079</v>
      </c>
      <c r="H245" s="403" t="s">
        <v>1079</v>
      </c>
      <c r="I245" s="151" t="s">
        <v>532</v>
      </c>
      <c r="J245" s="152"/>
      <c r="K245" s="153"/>
      <c r="L245" s="153"/>
      <c r="M245" s="153"/>
      <c r="N245" s="153"/>
      <c r="O245" s="153"/>
      <c r="P245" s="153"/>
      <c r="Q245" s="153"/>
      <c r="R245" s="153"/>
      <c r="S245" s="153"/>
      <c r="T245" s="153"/>
      <c r="U245" s="153"/>
      <c r="V245" s="153"/>
      <c r="W245" s="153"/>
      <c r="X245" s="153"/>
      <c r="Y245" s="153"/>
      <c r="Z245" s="153"/>
      <c r="AA245" s="153"/>
      <c r="AB245" s="153"/>
      <c r="AC245" s="153"/>
      <c r="AD245" s="153"/>
      <c r="AE245" s="153"/>
      <c r="AF245" s="153"/>
      <c r="AG245" s="153"/>
      <c r="AH245" s="153"/>
      <c r="AI245" s="153"/>
      <c r="AJ245" s="153"/>
      <c r="AK245" s="153"/>
      <c r="AL245" s="153"/>
      <c r="AM245" s="153"/>
      <c r="AN245" s="154"/>
      <c r="AO245" s="155">
        <f t="shared" si="89"/>
        <v>0</v>
      </c>
      <c r="AP245" s="13"/>
      <c r="AQ245" s="156">
        <f t="shared" ref="AQ245:AQ255" si="94">+AP245*AO245</f>
        <v>0</v>
      </c>
      <c r="AR245" s="13"/>
      <c r="AS245" s="156">
        <f t="shared" ref="AS245:AS255" si="95">+AR245*AO245</f>
        <v>0</v>
      </c>
      <c r="AT245" s="157">
        <f t="shared" ref="AT245:AT255" si="96">+AR245+AP245</f>
        <v>0</v>
      </c>
      <c r="AU245" s="156">
        <f t="shared" ref="AU245:AU255" si="97">+AT245*AO245</f>
        <v>0</v>
      </c>
    </row>
    <row r="246" spans="1:47" ht="42.75" customHeight="1" x14ac:dyDescent="0.25">
      <c r="A246" s="76"/>
      <c r="B246" s="158" t="s">
        <v>299</v>
      </c>
      <c r="C246" s="411" t="s">
        <v>1411</v>
      </c>
      <c r="D246" s="412"/>
      <c r="E246" s="408"/>
      <c r="F246" s="409"/>
      <c r="G246" s="397"/>
      <c r="H246" s="394"/>
      <c r="I246" s="162" t="s">
        <v>532</v>
      </c>
      <c r="J246" s="163"/>
      <c r="K246" s="164"/>
      <c r="L246" s="164"/>
      <c r="M246" s="164"/>
      <c r="N246" s="164"/>
      <c r="O246" s="164"/>
      <c r="P246" s="164"/>
      <c r="Q246" s="164"/>
      <c r="R246" s="164"/>
      <c r="S246" s="164"/>
      <c r="T246" s="164"/>
      <c r="U246" s="164"/>
      <c r="V246" s="164"/>
      <c r="W246" s="164"/>
      <c r="X246" s="164"/>
      <c r="Y246" s="164"/>
      <c r="Z246" s="164"/>
      <c r="AA246" s="164"/>
      <c r="AB246" s="164"/>
      <c r="AC246" s="164"/>
      <c r="AD246" s="164"/>
      <c r="AE246" s="164"/>
      <c r="AF246" s="164"/>
      <c r="AG246" s="164"/>
      <c r="AH246" s="164"/>
      <c r="AI246" s="164"/>
      <c r="AJ246" s="164"/>
      <c r="AK246" s="164"/>
      <c r="AL246" s="164"/>
      <c r="AM246" s="164"/>
      <c r="AN246" s="165"/>
      <c r="AO246" s="166">
        <f t="shared" si="89"/>
        <v>0</v>
      </c>
      <c r="AP246" s="12"/>
      <c r="AQ246" s="167">
        <f t="shared" si="94"/>
        <v>0</v>
      </c>
      <c r="AR246" s="12"/>
      <c r="AS246" s="167">
        <f t="shared" si="95"/>
        <v>0</v>
      </c>
      <c r="AT246" s="168">
        <f t="shared" si="96"/>
        <v>0</v>
      </c>
      <c r="AU246" s="167">
        <f t="shared" si="97"/>
        <v>0</v>
      </c>
    </row>
    <row r="247" spans="1:47" ht="42.75" customHeight="1" x14ac:dyDescent="0.25">
      <c r="A247" s="76"/>
      <c r="B247" s="158" t="s">
        <v>301</v>
      </c>
      <c r="C247" s="411" t="s">
        <v>1412</v>
      </c>
      <c r="D247" s="412"/>
      <c r="E247" s="408"/>
      <c r="F247" s="409"/>
      <c r="G247" s="397"/>
      <c r="H247" s="394"/>
      <c r="I247" s="162" t="s">
        <v>532</v>
      </c>
      <c r="J247" s="163"/>
      <c r="K247" s="164"/>
      <c r="L247" s="164"/>
      <c r="M247" s="164"/>
      <c r="N247" s="164"/>
      <c r="O247" s="164"/>
      <c r="P247" s="164"/>
      <c r="Q247" s="164"/>
      <c r="R247" s="164"/>
      <c r="S247" s="164"/>
      <c r="T247" s="164"/>
      <c r="U247" s="164"/>
      <c r="V247" s="164"/>
      <c r="W247" s="164"/>
      <c r="X247" s="164"/>
      <c r="Y247" s="164"/>
      <c r="Z247" s="164"/>
      <c r="AA247" s="164"/>
      <c r="AB247" s="164"/>
      <c r="AC247" s="164"/>
      <c r="AD247" s="164"/>
      <c r="AE247" s="164"/>
      <c r="AF247" s="164"/>
      <c r="AG247" s="164"/>
      <c r="AH247" s="164"/>
      <c r="AI247" s="164"/>
      <c r="AJ247" s="164"/>
      <c r="AK247" s="164"/>
      <c r="AL247" s="164"/>
      <c r="AM247" s="164"/>
      <c r="AN247" s="165"/>
      <c r="AO247" s="166">
        <f t="shared" si="89"/>
        <v>0</v>
      </c>
      <c r="AP247" s="12"/>
      <c r="AQ247" s="167">
        <f t="shared" si="94"/>
        <v>0</v>
      </c>
      <c r="AR247" s="12"/>
      <c r="AS247" s="167">
        <f t="shared" si="95"/>
        <v>0</v>
      </c>
      <c r="AT247" s="168">
        <f t="shared" si="96"/>
        <v>0</v>
      </c>
      <c r="AU247" s="167">
        <f t="shared" si="97"/>
        <v>0</v>
      </c>
    </row>
    <row r="248" spans="1:47" ht="42.75" customHeight="1" x14ac:dyDescent="0.25">
      <c r="A248" s="76"/>
      <c r="B248" s="158" t="s">
        <v>1408</v>
      </c>
      <c r="C248" s="411" t="s">
        <v>1413</v>
      </c>
      <c r="D248" s="412"/>
      <c r="E248" s="408"/>
      <c r="F248" s="409"/>
      <c r="G248" s="397"/>
      <c r="H248" s="394"/>
      <c r="I248" s="162" t="s">
        <v>532</v>
      </c>
      <c r="J248" s="163"/>
      <c r="K248" s="164"/>
      <c r="L248" s="164"/>
      <c r="M248" s="164"/>
      <c r="N248" s="164"/>
      <c r="O248" s="164"/>
      <c r="P248" s="164"/>
      <c r="Q248" s="164"/>
      <c r="R248" s="164"/>
      <c r="S248" s="164"/>
      <c r="T248" s="164"/>
      <c r="U248" s="164"/>
      <c r="V248" s="164"/>
      <c r="W248" s="164"/>
      <c r="X248" s="164"/>
      <c r="Y248" s="164"/>
      <c r="Z248" s="164"/>
      <c r="AA248" s="164"/>
      <c r="AB248" s="164"/>
      <c r="AC248" s="164"/>
      <c r="AD248" s="164"/>
      <c r="AE248" s="164"/>
      <c r="AF248" s="164"/>
      <c r="AG248" s="164"/>
      <c r="AH248" s="164"/>
      <c r="AI248" s="164"/>
      <c r="AJ248" s="164"/>
      <c r="AK248" s="164"/>
      <c r="AL248" s="164"/>
      <c r="AM248" s="164"/>
      <c r="AN248" s="165"/>
      <c r="AO248" s="166">
        <f t="shared" si="89"/>
        <v>0</v>
      </c>
      <c r="AP248" s="12"/>
      <c r="AQ248" s="167">
        <f t="shared" si="94"/>
        <v>0</v>
      </c>
      <c r="AR248" s="12"/>
      <c r="AS248" s="167">
        <f t="shared" si="95"/>
        <v>0</v>
      </c>
      <c r="AT248" s="168">
        <f t="shared" si="96"/>
        <v>0</v>
      </c>
      <c r="AU248" s="167">
        <f t="shared" si="97"/>
        <v>0</v>
      </c>
    </row>
    <row r="249" spans="1:47" ht="42.75" customHeight="1" x14ac:dyDescent="0.25">
      <c r="A249" s="76"/>
      <c r="B249" s="169" t="s">
        <v>1409</v>
      </c>
      <c r="C249" s="404" t="s">
        <v>1414</v>
      </c>
      <c r="D249" s="405"/>
      <c r="E249" s="400"/>
      <c r="F249" s="402"/>
      <c r="G249" s="398"/>
      <c r="H249" s="395"/>
      <c r="I249" s="173" t="s">
        <v>532</v>
      </c>
      <c r="J249" s="174"/>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6"/>
      <c r="AO249" s="177">
        <f t="shared" si="89"/>
        <v>0</v>
      </c>
      <c r="AP249" s="14"/>
      <c r="AQ249" s="178">
        <f t="shared" si="94"/>
        <v>0</v>
      </c>
      <c r="AR249" s="14"/>
      <c r="AS249" s="178">
        <f t="shared" si="95"/>
        <v>0</v>
      </c>
      <c r="AT249" s="179">
        <f t="shared" si="96"/>
        <v>0</v>
      </c>
      <c r="AU249" s="178">
        <f t="shared" si="97"/>
        <v>0</v>
      </c>
    </row>
    <row r="250" spans="1:47" ht="37.5" customHeight="1" x14ac:dyDescent="0.25">
      <c r="A250" s="76"/>
      <c r="B250" s="148" t="s">
        <v>1416</v>
      </c>
      <c r="C250" s="192" t="s">
        <v>1423</v>
      </c>
      <c r="D250" s="193"/>
      <c r="E250" s="399" t="s">
        <v>1422</v>
      </c>
      <c r="F250" s="401"/>
      <c r="G250" s="424" t="s">
        <v>1079</v>
      </c>
      <c r="H250" s="403" t="s">
        <v>1079</v>
      </c>
      <c r="I250" s="151" t="s">
        <v>532</v>
      </c>
      <c r="J250" s="152">
        <v>25</v>
      </c>
      <c r="K250" s="153"/>
      <c r="L250" s="153"/>
      <c r="M250" s="153"/>
      <c r="N250" s="153"/>
      <c r="O250" s="153"/>
      <c r="P250" s="153"/>
      <c r="Q250" s="153"/>
      <c r="R250" s="153"/>
      <c r="S250" s="153"/>
      <c r="T250" s="153"/>
      <c r="U250" s="153"/>
      <c r="V250" s="153"/>
      <c r="W250" s="153"/>
      <c r="X250" s="153"/>
      <c r="Y250" s="153"/>
      <c r="Z250" s="153"/>
      <c r="AA250" s="153"/>
      <c r="AB250" s="153"/>
      <c r="AC250" s="153"/>
      <c r="AD250" s="153"/>
      <c r="AE250" s="153"/>
      <c r="AF250" s="153"/>
      <c r="AG250" s="153"/>
      <c r="AH250" s="153"/>
      <c r="AI250" s="153"/>
      <c r="AJ250" s="153"/>
      <c r="AK250" s="153"/>
      <c r="AL250" s="153"/>
      <c r="AM250" s="153"/>
      <c r="AN250" s="154"/>
      <c r="AO250" s="155">
        <f t="shared" si="89"/>
        <v>25</v>
      </c>
      <c r="AP250" s="13"/>
      <c r="AQ250" s="156">
        <f t="shared" si="94"/>
        <v>0</v>
      </c>
      <c r="AR250" s="13"/>
      <c r="AS250" s="156">
        <f t="shared" si="95"/>
        <v>0</v>
      </c>
      <c r="AT250" s="157">
        <f t="shared" si="96"/>
        <v>0</v>
      </c>
      <c r="AU250" s="156">
        <f t="shared" si="97"/>
        <v>0</v>
      </c>
    </row>
    <row r="251" spans="1:47" ht="37.5" customHeight="1" x14ac:dyDescent="0.25">
      <c r="A251" s="76"/>
      <c r="B251" s="158" t="s">
        <v>1417</v>
      </c>
      <c r="C251" s="194" t="s">
        <v>1424</v>
      </c>
      <c r="D251" s="195"/>
      <c r="E251" s="408"/>
      <c r="F251" s="409"/>
      <c r="G251" s="397"/>
      <c r="H251" s="394"/>
      <c r="I251" s="162" t="s">
        <v>532</v>
      </c>
      <c r="J251" s="163">
        <v>50</v>
      </c>
      <c r="K251" s="164"/>
      <c r="L251" s="164"/>
      <c r="M251" s="164"/>
      <c r="N251" s="164"/>
      <c r="O251" s="164"/>
      <c r="P251" s="164"/>
      <c r="Q251" s="164"/>
      <c r="R251" s="164"/>
      <c r="S251" s="164"/>
      <c r="T251" s="164"/>
      <c r="U251" s="164"/>
      <c r="V251" s="164"/>
      <c r="W251" s="164"/>
      <c r="X251" s="164"/>
      <c r="Y251" s="164"/>
      <c r="Z251" s="164"/>
      <c r="AA251" s="164"/>
      <c r="AB251" s="164"/>
      <c r="AC251" s="164"/>
      <c r="AD251" s="164"/>
      <c r="AE251" s="164"/>
      <c r="AF251" s="164"/>
      <c r="AG251" s="164"/>
      <c r="AH251" s="164"/>
      <c r="AI251" s="164"/>
      <c r="AJ251" s="164"/>
      <c r="AK251" s="164"/>
      <c r="AL251" s="164"/>
      <c r="AM251" s="164"/>
      <c r="AN251" s="165"/>
      <c r="AO251" s="166">
        <f t="shared" si="89"/>
        <v>50</v>
      </c>
      <c r="AP251" s="12"/>
      <c r="AQ251" s="167">
        <f t="shared" si="94"/>
        <v>0</v>
      </c>
      <c r="AR251" s="12"/>
      <c r="AS251" s="167">
        <f t="shared" si="95"/>
        <v>0</v>
      </c>
      <c r="AT251" s="168">
        <f t="shared" si="96"/>
        <v>0</v>
      </c>
      <c r="AU251" s="167">
        <f t="shared" si="97"/>
        <v>0</v>
      </c>
    </row>
    <row r="252" spans="1:47" ht="37.5" customHeight="1" x14ac:dyDescent="0.25">
      <c r="A252" s="76"/>
      <c r="B252" s="158" t="s">
        <v>1418</v>
      </c>
      <c r="C252" s="194" t="s">
        <v>1425</v>
      </c>
      <c r="D252" s="195"/>
      <c r="E252" s="408"/>
      <c r="F252" s="409"/>
      <c r="G252" s="397"/>
      <c r="H252" s="394"/>
      <c r="I252" s="162" t="s">
        <v>532</v>
      </c>
      <c r="J252" s="163">
        <v>5</v>
      </c>
      <c r="K252" s="164"/>
      <c r="L252" s="164"/>
      <c r="M252" s="164"/>
      <c r="N252" s="164"/>
      <c r="O252" s="164"/>
      <c r="P252" s="164"/>
      <c r="Q252" s="164"/>
      <c r="R252" s="164"/>
      <c r="S252" s="164"/>
      <c r="T252" s="164"/>
      <c r="U252" s="164"/>
      <c r="V252" s="164"/>
      <c r="W252" s="164"/>
      <c r="X252" s="164"/>
      <c r="Y252" s="164"/>
      <c r="Z252" s="164"/>
      <c r="AA252" s="164"/>
      <c r="AB252" s="164"/>
      <c r="AC252" s="164"/>
      <c r="AD252" s="164"/>
      <c r="AE252" s="164"/>
      <c r="AF252" s="164"/>
      <c r="AG252" s="164"/>
      <c r="AH252" s="164"/>
      <c r="AI252" s="164"/>
      <c r="AJ252" s="164"/>
      <c r="AK252" s="164"/>
      <c r="AL252" s="164"/>
      <c r="AM252" s="164"/>
      <c r="AN252" s="165"/>
      <c r="AO252" s="166">
        <f t="shared" si="89"/>
        <v>5</v>
      </c>
      <c r="AP252" s="12"/>
      <c r="AQ252" s="167">
        <f t="shared" si="94"/>
        <v>0</v>
      </c>
      <c r="AR252" s="12"/>
      <c r="AS252" s="167">
        <f t="shared" si="95"/>
        <v>0</v>
      </c>
      <c r="AT252" s="168">
        <f t="shared" si="96"/>
        <v>0</v>
      </c>
      <c r="AU252" s="167">
        <f t="shared" si="97"/>
        <v>0</v>
      </c>
    </row>
    <row r="253" spans="1:47" ht="37.5" customHeight="1" x14ac:dyDescent="0.25">
      <c r="A253" s="76"/>
      <c r="B253" s="158" t="s">
        <v>1419</v>
      </c>
      <c r="C253" s="194" t="s">
        <v>1426</v>
      </c>
      <c r="D253" s="195"/>
      <c r="E253" s="408"/>
      <c r="F253" s="409"/>
      <c r="G253" s="397"/>
      <c r="H253" s="394"/>
      <c r="I253" s="162" t="s">
        <v>532</v>
      </c>
      <c r="J253" s="163">
        <v>10</v>
      </c>
      <c r="K253" s="164"/>
      <c r="L253" s="164"/>
      <c r="M253" s="164"/>
      <c r="N253" s="164"/>
      <c r="O253" s="164"/>
      <c r="P253" s="164"/>
      <c r="Q253" s="164"/>
      <c r="R253" s="164"/>
      <c r="S253" s="164"/>
      <c r="T253" s="164"/>
      <c r="U253" s="164"/>
      <c r="V253" s="164"/>
      <c r="W253" s="164"/>
      <c r="X253" s="164"/>
      <c r="Y253" s="164"/>
      <c r="Z253" s="164"/>
      <c r="AA253" s="164"/>
      <c r="AB253" s="164"/>
      <c r="AC253" s="164"/>
      <c r="AD253" s="164"/>
      <c r="AE253" s="164"/>
      <c r="AF253" s="164"/>
      <c r="AG253" s="164"/>
      <c r="AH253" s="164"/>
      <c r="AI253" s="164"/>
      <c r="AJ253" s="164"/>
      <c r="AK253" s="164"/>
      <c r="AL253" s="164"/>
      <c r="AM253" s="164"/>
      <c r="AN253" s="165"/>
      <c r="AO253" s="166">
        <f t="shared" si="89"/>
        <v>10</v>
      </c>
      <c r="AP253" s="12"/>
      <c r="AQ253" s="167">
        <f t="shared" si="94"/>
        <v>0</v>
      </c>
      <c r="AR253" s="12"/>
      <c r="AS253" s="167">
        <f t="shared" si="95"/>
        <v>0</v>
      </c>
      <c r="AT253" s="168">
        <f t="shared" si="96"/>
        <v>0</v>
      </c>
      <c r="AU253" s="167">
        <f t="shared" si="97"/>
        <v>0</v>
      </c>
    </row>
    <row r="254" spans="1:47" ht="37.5" customHeight="1" x14ac:dyDescent="0.25">
      <c r="A254" s="76"/>
      <c r="B254" s="158" t="s">
        <v>1420</v>
      </c>
      <c r="C254" s="194" t="s">
        <v>1427</v>
      </c>
      <c r="D254" s="195"/>
      <c r="E254" s="408"/>
      <c r="F254" s="409"/>
      <c r="G254" s="397"/>
      <c r="H254" s="394"/>
      <c r="I254" s="162" t="s">
        <v>532</v>
      </c>
      <c r="J254" s="163"/>
      <c r="K254" s="164"/>
      <c r="L254" s="164"/>
      <c r="M254" s="164"/>
      <c r="N254" s="164"/>
      <c r="O254" s="164"/>
      <c r="P254" s="164"/>
      <c r="Q254" s="164"/>
      <c r="R254" s="164"/>
      <c r="S254" s="164"/>
      <c r="T254" s="164"/>
      <c r="U254" s="164"/>
      <c r="V254" s="164"/>
      <c r="W254" s="164"/>
      <c r="X254" s="164"/>
      <c r="Y254" s="164"/>
      <c r="Z254" s="164"/>
      <c r="AA254" s="164"/>
      <c r="AB254" s="164"/>
      <c r="AC254" s="164"/>
      <c r="AD254" s="164"/>
      <c r="AE254" s="164"/>
      <c r="AF254" s="164"/>
      <c r="AG254" s="164"/>
      <c r="AH254" s="164"/>
      <c r="AI254" s="164"/>
      <c r="AJ254" s="164"/>
      <c r="AK254" s="164"/>
      <c r="AL254" s="164"/>
      <c r="AM254" s="164"/>
      <c r="AN254" s="165"/>
      <c r="AO254" s="166">
        <f t="shared" si="89"/>
        <v>0</v>
      </c>
      <c r="AP254" s="12"/>
      <c r="AQ254" s="167">
        <f t="shared" si="94"/>
        <v>0</v>
      </c>
      <c r="AR254" s="12"/>
      <c r="AS254" s="167">
        <f t="shared" si="95"/>
        <v>0</v>
      </c>
      <c r="AT254" s="168">
        <f t="shared" si="96"/>
        <v>0</v>
      </c>
      <c r="AU254" s="167">
        <f t="shared" si="97"/>
        <v>0</v>
      </c>
    </row>
    <row r="255" spans="1:47" ht="37.5" customHeight="1" x14ac:dyDescent="0.25">
      <c r="A255" s="76"/>
      <c r="B255" s="169" t="s">
        <v>1421</v>
      </c>
      <c r="C255" s="196" t="s">
        <v>1428</v>
      </c>
      <c r="D255" s="197"/>
      <c r="E255" s="400"/>
      <c r="F255" s="402"/>
      <c r="G255" s="398"/>
      <c r="H255" s="395"/>
      <c r="I255" s="173" t="s">
        <v>532</v>
      </c>
      <c r="J255" s="174"/>
      <c r="K255" s="175"/>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5"/>
      <c r="AK255" s="175"/>
      <c r="AL255" s="175"/>
      <c r="AM255" s="175"/>
      <c r="AN255" s="176"/>
      <c r="AO255" s="177">
        <f t="shared" si="89"/>
        <v>0</v>
      </c>
      <c r="AP255" s="14"/>
      <c r="AQ255" s="178">
        <f t="shared" si="94"/>
        <v>0</v>
      </c>
      <c r="AR255" s="14"/>
      <c r="AS255" s="178">
        <f t="shared" si="95"/>
        <v>0</v>
      </c>
      <c r="AT255" s="179">
        <f t="shared" si="96"/>
        <v>0</v>
      </c>
      <c r="AU255" s="178">
        <f t="shared" si="97"/>
        <v>0</v>
      </c>
    </row>
    <row r="256" spans="1:47" ht="37.5" customHeight="1" x14ac:dyDescent="0.25">
      <c r="A256" s="76"/>
      <c r="B256" s="148" t="s">
        <v>1429</v>
      </c>
      <c r="C256" s="192" t="s">
        <v>1435</v>
      </c>
      <c r="D256" s="193"/>
      <c r="E256" s="399" t="s">
        <v>1434</v>
      </c>
      <c r="F256" s="401" t="s">
        <v>1406</v>
      </c>
      <c r="G256" s="424" t="s">
        <v>1079</v>
      </c>
      <c r="H256" s="403" t="s">
        <v>1079</v>
      </c>
      <c r="I256" s="151" t="s">
        <v>532</v>
      </c>
      <c r="J256" s="152">
        <v>10</v>
      </c>
      <c r="K256" s="153"/>
      <c r="L256" s="153"/>
      <c r="M256" s="153"/>
      <c r="N256" s="153"/>
      <c r="O256" s="153"/>
      <c r="P256" s="153"/>
      <c r="Q256" s="153"/>
      <c r="R256" s="153"/>
      <c r="S256" s="153"/>
      <c r="T256" s="153"/>
      <c r="U256" s="153"/>
      <c r="V256" s="153"/>
      <c r="W256" s="153"/>
      <c r="X256" s="153"/>
      <c r="Y256" s="153"/>
      <c r="Z256" s="153"/>
      <c r="AA256" s="153"/>
      <c r="AB256" s="153"/>
      <c r="AC256" s="153"/>
      <c r="AD256" s="153"/>
      <c r="AE256" s="153"/>
      <c r="AF256" s="153"/>
      <c r="AG256" s="153"/>
      <c r="AH256" s="153"/>
      <c r="AI256" s="153"/>
      <c r="AJ256" s="153"/>
      <c r="AK256" s="153"/>
      <c r="AL256" s="153"/>
      <c r="AM256" s="153"/>
      <c r="AN256" s="154"/>
      <c r="AO256" s="155">
        <f t="shared" si="89"/>
        <v>10</v>
      </c>
      <c r="AP256" s="13"/>
      <c r="AQ256" s="156">
        <f t="shared" ref="AQ256:AQ267" si="98">+AP256*AO256</f>
        <v>0</v>
      </c>
      <c r="AR256" s="13"/>
      <c r="AS256" s="156">
        <f t="shared" ref="AS256:AS267" si="99">+AR256*AO256</f>
        <v>0</v>
      </c>
      <c r="AT256" s="157">
        <f t="shared" ref="AT256:AT267" si="100">+AR256+AP256</f>
        <v>0</v>
      </c>
      <c r="AU256" s="156">
        <f t="shared" ref="AU256:AU267" si="101">+AT256*AO256</f>
        <v>0</v>
      </c>
    </row>
    <row r="257" spans="1:47" ht="37.5" customHeight="1" x14ac:dyDescent="0.25">
      <c r="A257" s="76"/>
      <c r="B257" s="158" t="s">
        <v>1430</v>
      </c>
      <c r="C257" s="194" t="s">
        <v>1436</v>
      </c>
      <c r="D257" s="195"/>
      <c r="E257" s="408"/>
      <c r="F257" s="409"/>
      <c r="G257" s="397"/>
      <c r="H257" s="394"/>
      <c r="I257" s="162" t="s">
        <v>532</v>
      </c>
      <c r="J257" s="163">
        <v>15</v>
      </c>
      <c r="K257" s="164"/>
      <c r="L257" s="164"/>
      <c r="M257" s="164"/>
      <c r="N257" s="164"/>
      <c r="O257" s="164"/>
      <c r="P257" s="164"/>
      <c r="Q257" s="164"/>
      <c r="R257" s="164"/>
      <c r="S257" s="164"/>
      <c r="T257" s="164"/>
      <c r="U257" s="164"/>
      <c r="V257" s="164"/>
      <c r="W257" s="164"/>
      <c r="X257" s="164"/>
      <c r="Y257" s="164"/>
      <c r="Z257" s="164"/>
      <c r="AA257" s="164"/>
      <c r="AB257" s="164"/>
      <c r="AC257" s="164"/>
      <c r="AD257" s="164"/>
      <c r="AE257" s="164"/>
      <c r="AF257" s="164"/>
      <c r="AG257" s="164"/>
      <c r="AH257" s="164"/>
      <c r="AI257" s="164"/>
      <c r="AJ257" s="164"/>
      <c r="AK257" s="164"/>
      <c r="AL257" s="164"/>
      <c r="AM257" s="164"/>
      <c r="AN257" s="165"/>
      <c r="AO257" s="166">
        <f t="shared" si="89"/>
        <v>15</v>
      </c>
      <c r="AP257" s="12"/>
      <c r="AQ257" s="167">
        <f t="shared" si="98"/>
        <v>0</v>
      </c>
      <c r="AR257" s="12"/>
      <c r="AS257" s="167">
        <f t="shared" si="99"/>
        <v>0</v>
      </c>
      <c r="AT257" s="168">
        <f t="shared" si="100"/>
        <v>0</v>
      </c>
      <c r="AU257" s="167">
        <f t="shared" si="101"/>
        <v>0</v>
      </c>
    </row>
    <row r="258" spans="1:47" ht="37.5" customHeight="1" x14ac:dyDescent="0.25">
      <c r="A258" s="76"/>
      <c r="B258" s="158" t="s">
        <v>1431</v>
      </c>
      <c r="C258" s="194" t="s">
        <v>1437</v>
      </c>
      <c r="D258" s="195"/>
      <c r="E258" s="408"/>
      <c r="F258" s="409"/>
      <c r="G258" s="397"/>
      <c r="H258" s="394"/>
      <c r="I258" s="162" t="s">
        <v>532</v>
      </c>
      <c r="J258" s="163">
        <v>3</v>
      </c>
      <c r="K258" s="164"/>
      <c r="L258" s="164"/>
      <c r="M258" s="164"/>
      <c r="N258" s="164"/>
      <c r="O258" s="164"/>
      <c r="P258" s="164"/>
      <c r="Q258" s="164"/>
      <c r="R258" s="164"/>
      <c r="S258" s="164"/>
      <c r="T258" s="164"/>
      <c r="U258" s="164"/>
      <c r="V258" s="164"/>
      <c r="W258" s="164"/>
      <c r="X258" s="164"/>
      <c r="Y258" s="164"/>
      <c r="Z258" s="164"/>
      <c r="AA258" s="164"/>
      <c r="AB258" s="164"/>
      <c r="AC258" s="164"/>
      <c r="AD258" s="164"/>
      <c r="AE258" s="164"/>
      <c r="AF258" s="164"/>
      <c r="AG258" s="164"/>
      <c r="AH258" s="164"/>
      <c r="AI258" s="164"/>
      <c r="AJ258" s="164"/>
      <c r="AK258" s="164"/>
      <c r="AL258" s="164"/>
      <c r="AM258" s="164"/>
      <c r="AN258" s="165"/>
      <c r="AO258" s="166">
        <f t="shared" si="89"/>
        <v>3</v>
      </c>
      <c r="AP258" s="12"/>
      <c r="AQ258" s="167">
        <f t="shared" si="98"/>
        <v>0</v>
      </c>
      <c r="AR258" s="12"/>
      <c r="AS258" s="167">
        <f t="shared" si="99"/>
        <v>0</v>
      </c>
      <c r="AT258" s="168">
        <f t="shared" si="100"/>
        <v>0</v>
      </c>
      <c r="AU258" s="167">
        <f t="shared" si="101"/>
        <v>0</v>
      </c>
    </row>
    <row r="259" spans="1:47" ht="37.5" customHeight="1" x14ac:dyDescent="0.25">
      <c r="A259" s="76"/>
      <c r="B259" s="158" t="s">
        <v>1432</v>
      </c>
      <c r="C259" s="194" t="s">
        <v>1438</v>
      </c>
      <c r="D259" s="195"/>
      <c r="E259" s="408"/>
      <c r="F259" s="409"/>
      <c r="G259" s="397"/>
      <c r="H259" s="394"/>
      <c r="I259" s="162" t="s">
        <v>532</v>
      </c>
      <c r="J259" s="163">
        <v>5</v>
      </c>
      <c r="K259" s="164"/>
      <c r="L259" s="164"/>
      <c r="M259" s="164"/>
      <c r="N259" s="164"/>
      <c r="O259" s="164"/>
      <c r="P259" s="164"/>
      <c r="Q259" s="164"/>
      <c r="R259" s="164"/>
      <c r="S259" s="164"/>
      <c r="T259" s="164"/>
      <c r="U259" s="164"/>
      <c r="V259" s="164"/>
      <c r="W259" s="164"/>
      <c r="X259" s="164"/>
      <c r="Y259" s="164"/>
      <c r="Z259" s="164"/>
      <c r="AA259" s="164"/>
      <c r="AB259" s="164"/>
      <c r="AC259" s="164"/>
      <c r="AD259" s="164"/>
      <c r="AE259" s="164"/>
      <c r="AF259" s="164"/>
      <c r="AG259" s="164"/>
      <c r="AH259" s="164"/>
      <c r="AI259" s="164"/>
      <c r="AJ259" s="164"/>
      <c r="AK259" s="164"/>
      <c r="AL259" s="164"/>
      <c r="AM259" s="164"/>
      <c r="AN259" s="165"/>
      <c r="AO259" s="166">
        <f t="shared" si="89"/>
        <v>5</v>
      </c>
      <c r="AP259" s="12"/>
      <c r="AQ259" s="167">
        <f t="shared" si="98"/>
        <v>0</v>
      </c>
      <c r="AR259" s="12"/>
      <c r="AS259" s="167">
        <f t="shared" si="99"/>
        <v>0</v>
      </c>
      <c r="AT259" s="168">
        <f t="shared" si="100"/>
        <v>0</v>
      </c>
      <c r="AU259" s="167">
        <f t="shared" si="101"/>
        <v>0</v>
      </c>
    </row>
    <row r="260" spans="1:47" ht="37.5" customHeight="1" x14ac:dyDescent="0.25">
      <c r="A260" s="76"/>
      <c r="B260" s="169" t="s">
        <v>1433</v>
      </c>
      <c r="C260" s="196" t="s">
        <v>1439</v>
      </c>
      <c r="D260" s="197"/>
      <c r="E260" s="400"/>
      <c r="F260" s="402"/>
      <c r="G260" s="398"/>
      <c r="H260" s="395"/>
      <c r="I260" s="173" t="s">
        <v>532</v>
      </c>
      <c r="J260" s="174"/>
      <c r="K260" s="175"/>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c r="AH260" s="175"/>
      <c r="AI260" s="175"/>
      <c r="AJ260" s="175"/>
      <c r="AK260" s="175"/>
      <c r="AL260" s="175"/>
      <c r="AM260" s="175"/>
      <c r="AN260" s="176"/>
      <c r="AO260" s="177">
        <f t="shared" si="89"/>
        <v>0</v>
      </c>
      <c r="AP260" s="14"/>
      <c r="AQ260" s="178">
        <f t="shared" si="98"/>
        <v>0</v>
      </c>
      <c r="AR260" s="14"/>
      <c r="AS260" s="178">
        <f t="shared" si="99"/>
        <v>0</v>
      </c>
      <c r="AT260" s="179">
        <f t="shared" si="100"/>
        <v>0</v>
      </c>
      <c r="AU260" s="178">
        <f t="shared" si="101"/>
        <v>0</v>
      </c>
    </row>
    <row r="261" spans="1:47" ht="30" customHeight="1" x14ac:dyDescent="0.25">
      <c r="A261" s="76"/>
      <c r="B261" s="148" t="s">
        <v>1440</v>
      </c>
      <c r="C261" s="406" t="s">
        <v>1447</v>
      </c>
      <c r="D261" s="407"/>
      <c r="E261" s="399" t="s">
        <v>1454</v>
      </c>
      <c r="F261" s="401" t="s">
        <v>1406</v>
      </c>
      <c r="G261" s="424" t="s">
        <v>1079</v>
      </c>
      <c r="H261" s="403" t="s">
        <v>1079</v>
      </c>
      <c r="I261" s="151" t="s">
        <v>1138</v>
      </c>
      <c r="J261" s="152"/>
      <c r="K261" s="153"/>
      <c r="L261" s="153"/>
      <c r="M261" s="153"/>
      <c r="N261" s="153"/>
      <c r="O261" s="153"/>
      <c r="P261" s="153"/>
      <c r="Q261" s="153"/>
      <c r="R261" s="153"/>
      <c r="S261" s="153"/>
      <c r="T261" s="153"/>
      <c r="U261" s="153"/>
      <c r="V261" s="153"/>
      <c r="W261" s="153"/>
      <c r="X261" s="153"/>
      <c r="Y261" s="153"/>
      <c r="Z261" s="153"/>
      <c r="AA261" s="153"/>
      <c r="AB261" s="153"/>
      <c r="AC261" s="153"/>
      <c r="AD261" s="153"/>
      <c r="AE261" s="153"/>
      <c r="AF261" s="153"/>
      <c r="AG261" s="153"/>
      <c r="AH261" s="153"/>
      <c r="AI261" s="153"/>
      <c r="AJ261" s="153"/>
      <c r="AK261" s="153"/>
      <c r="AL261" s="153"/>
      <c r="AM261" s="153"/>
      <c r="AN261" s="154"/>
      <c r="AO261" s="155">
        <f t="shared" si="89"/>
        <v>0</v>
      </c>
      <c r="AP261" s="13"/>
      <c r="AQ261" s="156">
        <f t="shared" si="98"/>
        <v>0</v>
      </c>
      <c r="AR261" s="13"/>
      <c r="AS261" s="156">
        <f t="shared" si="99"/>
        <v>0</v>
      </c>
      <c r="AT261" s="157">
        <f t="shared" si="100"/>
        <v>0</v>
      </c>
      <c r="AU261" s="156">
        <f t="shared" si="101"/>
        <v>0</v>
      </c>
    </row>
    <row r="262" spans="1:47" ht="30" customHeight="1" x14ac:dyDescent="0.25">
      <c r="A262" s="76"/>
      <c r="B262" s="158" t="s">
        <v>1441</v>
      </c>
      <c r="C262" s="411" t="s">
        <v>1448</v>
      </c>
      <c r="D262" s="412"/>
      <c r="E262" s="408"/>
      <c r="F262" s="409"/>
      <c r="G262" s="397"/>
      <c r="H262" s="394"/>
      <c r="I262" s="162" t="s">
        <v>1138</v>
      </c>
      <c r="J262" s="163"/>
      <c r="K262" s="164"/>
      <c r="L262" s="164"/>
      <c r="M262" s="164"/>
      <c r="N262" s="164"/>
      <c r="O262" s="164"/>
      <c r="P262" s="164"/>
      <c r="Q262" s="164"/>
      <c r="R262" s="164"/>
      <c r="S262" s="164"/>
      <c r="T262" s="164"/>
      <c r="U262" s="164"/>
      <c r="V262" s="164"/>
      <c r="W262" s="164"/>
      <c r="X262" s="164"/>
      <c r="Y262" s="164"/>
      <c r="Z262" s="164"/>
      <c r="AA262" s="164"/>
      <c r="AB262" s="164"/>
      <c r="AC262" s="164"/>
      <c r="AD262" s="164"/>
      <c r="AE262" s="164"/>
      <c r="AF262" s="164"/>
      <c r="AG262" s="164"/>
      <c r="AH262" s="164"/>
      <c r="AI262" s="164"/>
      <c r="AJ262" s="164"/>
      <c r="AK262" s="164"/>
      <c r="AL262" s="164"/>
      <c r="AM262" s="164"/>
      <c r="AN262" s="165"/>
      <c r="AO262" s="166">
        <f t="shared" si="89"/>
        <v>0</v>
      </c>
      <c r="AP262" s="12"/>
      <c r="AQ262" s="167">
        <f t="shared" si="98"/>
        <v>0</v>
      </c>
      <c r="AR262" s="12"/>
      <c r="AS262" s="167">
        <f t="shared" si="99"/>
        <v>0</v>
      </c>
      <c r="AT262" s="168">
        <f t="shared" si="100"/>
        <v>0</v>
      </c>
      <c r="AU262" s="167">
        <f t="shared" si="101"/>
        <v>0</v>
      </c>
    </row>
    <row r="263" spans="1:47" ht="30" customHeight="1" x14ac:dyDescent="0.25">
      <c r="A263" s="76"/>
      <c r="B263" s="158" t="s">
        <v>1442</v>
      </c>
      <c r="C263" s="411" t="s">
        <v>1449</v>
      </c>
      <c r="D263" s="412"/>
      <c r="E263" s="408"/>
      <c r="F263" s="409"/>
      <c r="G263" s="397"/>
      <c r="H263" s="394"/>
      <c r="I263" s="162" t="s">
        <v>1138</v>
      </c>
      <c r="J263" s="163"/>
      <c r="K263" s="164"/>
      <c r="L263" s="164"/>
      <c r="M263" s="164"/>
      <c r="N263" s="164"/>
      <c r="O263" s="164"/>
      <c r="P263" s="164"/>
      <c r="Q263" s="164"/>
      <c r="R263" s="164"/>
      <c r="S263" s="164"/>
      <c r="T263" s="164"/>
      <c r="U263" s="164"/>
      <c r="V263" s="164"/>
      <c r="W263" s="164"/>
      <c r="X263" s="164"/>
      <c r="Y263" s="164"/>
      <c r="Z263" s="164"/>
      <c r="AA263" s="164"/>
      <c r="AB263" s="164"/>
      <c r="AC263" s="164"/>
      <c r="AD263" s="164"/>
      <c r="AE263" s="164"/>
      <c r="AF263" s="164"/>
      <c r="AG263" s="164"/>
      <c r="AH263" s="164"/>
      <c r="AI263" s="164"/>
      <c r="AJ263" s="164"/>
      <c r="AK263" s="164"/>
      <c r="AL263" s="164"/>
      <c r="AM263" s="164"/>
      <c r="AN263" s="165"/>
      <c r="AO263" s="166">
        <f t="shared" si="89"/>
        <v>0</v>
      </c>
      <c r="AP263" s="12"/>
      <c r="AQ263" s="167">
        <f t="shared" si="98"/>
        <v>0</v>
      </c>
      <c r="AR263" s="12"/>
      <c r="AS263" s="167">
        <f t="shared" si="99"/>
        <v>0</v>
      </c>
      <c r="AT263" s="168">
        <f t="shared" si="100"/>
        <v>0</v>
      </c>
      <c r="AU263" s="167">
        <f t="shared" si="101"/>
        <v>0</v>
      </c>
    </row>
    <row r="264" spans="1:47" ht="30" customHeight="1" x14ac:dyDescent="0.25">
      <c r="A264" s="76"/>
      <c r="B264" s="158" t="s">
        <v>1443</v>
      </c>
      <c r="C264" s="411" t="s">
        <v>1450</v>
      </c>
      <c r="D264" s="412"/>
      <c r="E264" s="408"/>
      <c r="F264" s="409"/>
      <c r="G264" s="397"/>
      <c r="H264" s="394"/>
      <c r="I264" s="162" t="s">
        <v>1138</v>
      </c>
      <c r="J264" s="163">
        <v>25</v>
      </c>
      <c r="K264" s="164"/>
      <c r="L264" s="164"/>
      <c r="M264" s="164"/>
      <c r="N264" s="164"/>
      <c r="O264" s="164"/>
      <c r="P264" s="164"/>
      <c r="Q264" s="164"/>
      <c r="R264" s="164"/>
      <c r="S264" s="164"/>
      <c r="T264" s="164"/>
      <c r="U264" s="164"/>
      <c r="V264" s="164"/>
      <c r="W264" s="164"/>
      <c r="X264" s="164"/>
      <c r="Y264" s="164"/>
      <c r="Z264" s="164"/>
      <c r="AA264" s="164"/>
      <c r="AB264" s="164"/>
      <c r="AC264" s="164"/>
      <c r="AD264" s="164"/>
      <c r="AE264" s="164"/>
      <c r="AF264" s="164"/>
      <c r="AG264" s="164"/>
      <c r="AH264" s="164"/>
      <c r="AI264" s="164"/>
      <c r="AJ264" s="164"/>
      <c r="AK264" s="164"/>
      <c r="AL264" s="164"/>
      <c r="AM264" s="164"/>
      <c r="AN264" s="165"/>
      <c r="AO264" s="166">
        <f t="shared" si="89"/>
        <v>25</v>
      </c>
      <c r="AP264" s="12"/>
      <c r="AQ264" s="167">
        <f t="shared" si="98"/>
        <v>0</v>
      </c>
      <c r="AR264" s="12"/>
      <c r="AS264" s="167">
        <f t="shared" si="99"/>
        <v>0</v>
      </c>
      <c r="AT264" s="168">
        <f t="shared" si="100"/>
        <v>0</v>
      </c>
      <c r="AU264" s="167">
        <f t="shared" si="101"/>
        <v>0</v>
      </c>
    </row>
    <row r="265" spans="1:47" ht="30" customHeight="1" x14ac:dyDescent="0.25">
      <c r="A265" s="76"/>
      <c r="B265" s="158" t="s">
        <v>1444</v>
      </c>
      <c r="C265" s="411" t="s">
        <v>1451</v>
      </c>
      <c r="D265" s="412"/>
      <c r="E265" s="408"/>
      <c r="F265" s="409"/>
      <c r="G265" s="397"/>
      <c r="H265" s="394"/>
      <c r="I265" s="162" t="s">
        <v>1138</v>
      </c>
      <c r="J265" s="163"/>
      <c r="K265" s="164"/>
      <c r="L265" s="164"/>
      <c r="M265" s="164"/>
      <c r="N265" s="164"/>
      <c r="O265" s="164"/>
      <c r="P265" s="164"/>
      <c r="Q265" s="164"/>
      <c r="R265" s="164"/>
      <c r="S265" s="164"/>
      <c r="T265" s="164"/>
      <c r="U265" s="164"/>
      <c r="V265" s="164"/>
      <c r="W265" s="164"/>
      <c r="X265" s="164"/>
      <c r="Y265" s="164"/>
      <c r="Z265" s="164"/>
      <c r="AA265" s="164"/>
      <c r="AB265" s="164"/>
      <c r="AC265" s="164"/>
      <c r="AD265" s="164"/>
      <c r="AE265" s="164"/>
      <c r="AF265" s="164"/>
      <c r="AG265" s="164"/>
      <c r="AH265" s="164"/>
      <c r="AI265" s="164"/>
      <c r="AJ265" s="164"/>
      <c r="AK265" s="164"/>
      <c r="AL265" s="164"/>
      <c r="AM265" s="164"/>
      <c r="AN265" s="165"/>
      <c r="AO265" s="166">
        <f t="shared" si="89"/>
        <v>0</v>
      </c>
      <c r="AP265" s="12"/>
      <c r="AQ265" s="167">
        <f t="shared" ref="AQ265" si="102">+AP265*AO265</f>
        <v>0</v>
      </c>
      <c r="AR265" s="12"/>
      <c r="AS265" s="167">
        <f t="shared" ref="AS265" si="103">+AR265*AO265</f>
        <v>0</v>
      </c>
      <c r="AT265" s="168">
        <f t="shared" ref="AT265" si="104">+AR265+AP265</f>
        <v>0</v>
      </c>
      <c r="AU265" s="167">
        <f t="shared" ref="AU265" si="105">+AT265*AO265</f>
        <v>0</v>
      </c>
    </row>
    <row r="266" spans="1:47" ht="30" customHeight="1" x14ac:dyDescent="0.25">
      <c r="A266" s="76"/>
      <c r="B266" s="158" t="s">
        <v>1445</v>
      </c>
      <c r="C266" s="411" t="s">
        <v>1452</v>
      </c>
      <c r="D266" s="412"/>
      <c r="E266" s="408"/>
      <c r="F266" s="409"/>
      <c r="G266" s="397"/>
      <c r="H266" s="394"/>
      <c r="I266" s="162" t="s">
        <v>1138</v>
      </c>
      <c r="J266" s="163"/>
      <c r="K266" s="164"/>
      <c r="L266" s="164"/>
      <c r="M266" s="164"/>
      <c r="N266" s="164"/>
      <c r="O266" s="164"/>
      <c r="P266" s="164"/>
      <c r="Q266" s="164"/>
      <c r="R266" s="164"/>
      <c r="S266" s="164"/>
      <c r="T266" s="164"/>
      <c r="U266" s="164"/>
      <c r="V266" s="164"/>
      <c r="W266" s="164"/>
      <c r="X266" s="164"/>
      <c r="Y266" s="164"/>
      <c r="Z266" s="164"/>
      <c r="AA266" s="164"/>
      <c r="AB266" s="164"/>
      <c r="AC266" s="164"/>
      <c r="AD266" s="164"/>
      <c r="AE266" s="164"/>
      <c r="AF266" s="164"/>
      <c r="AG266" s="164"/>
      <c r="AH266" s="164"/>
      <c r="AI266" s="164"/>
      <c r="AJ266" s="164"/>
      <c r="AK266" s="164"/>
      <c r="AL266" s="164"/>
      <c r="AM266" s="164"/>
      <c r="AN266" s="165"/>
      <c r="AO266" s="166">
        <f t="shared" si="89"/>
        <v>0</v>
      </c>
      <c r="AP266" s="12"/>
      <c r="AQ266" s="167">
        <f t="shared" si="98"/>
        <v>0</v>
      </c>
      <c r="AR266" s="12"/>
      <c r="AS266" s="167">
        <f t="shared" si="99"/>
        <v>0</v>
      </c>
      <c r="AT266" s="168">
        <f t="shared" si="100"/>
        <v>0</v>
      </c>
      <c r="AU266" s="167">
        <f t="shared" si="101"/>
        <v>0</v>
      </c>
    </row>
    <row r="267" spans="1:47" ht="30" customHeight="1" x14ac:dyDescent="0.25">
      <c r="A267" s="76"/>
      <c r="B267" s="169" t="s">
        <v>1446</v>
      </c>
      <c r="C267" s="404" t="s">
        <v>1453</v>
      </c>
      <c r="D267" s="405"/>
      <c r="E267" s="400"/>
      <c r="F267" s="402"/>
      <c r="G267" s="398"/>
      <c r="H267" s="395"/>
      <c r="I267" s="173" t="s">
        <v>1138</v>
      </c>
      <c r="J267" s="174"/>
      <c r="K267" s="175"/>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c r="AJ267" s="175"/>
      <c r="AK267" s="175"/>
      <c r="AL267" s="175"/>
      <c r="AM267" s="175"/>
      <c r="AN267" s="176"/>
      <c r="AO267" s="177">
        <f t="shared" si="89"/>
        <v>0</v>
      </c>
      <c r="AP267" s="14"/>
      <c r="AQ267" s="178">
        <f t="shared" si="98"/>
        <v>0</v>
      </c>
      <c r="AR267" s="14"/>
      <c r="AS267" s="178">
        <f t="shared" si="99"/>
        <v>0</v>
      </c>
      <c r="AT267" s="179">
        <f t="shared" si="100"/>
        <v>0</v>
      </c>
      <c r="AU267" s="178">
        <f t="shared" si="101"/>
        <v>0</v>
      </c>
    </row>
    <row r="268" spans="1:47" ht="30" customHeight="1" x14ac:dyDescent="0.25">
      <c r="A268" s="76"/>
      <c r="B268" s="148" t="s">
        <v>1455</v>
      </c>
      <c r="C268" s="406" t="s">
        <v>1459</v>
      </c>
      <c r="D268" s="407"/>
      <c r="E268" s="399" t="s">
        <v>1463</v>
      </c>
      <c r="F268" s="401"/>
      <c r="G268" s="424" t="s">
        <v>1079</v>
      </c>
      <c r="H268" s="403" t="s">
        <v>1079</v>
      </c>
      <c r="I268" s="151" t="s">
        <v>1138</v>
      </c>
      <c r="J268" s="152">
        <v>5</v>
      </c>
      <c r="K268" s="153"/>
      <c r="L268" s="153"/>
      <c r="M268" s="153"/>
      <c r="N268" s="153"/>
      <c r="O268" s="153"/>
      <c r="P268" s="153"/>
      <c r="Q268" s="153"/>
      <c r="R268" s="153"/>
      <c r="S268" s="153"/>
      <c r="T268" s="153"/>
      <c r="U268" s="153"/>
      <c r="V268" s="153"/>
      <c r="W268" s="153"/>
      <c r="X268" s="153"/>
      <c r="Y268" s="153"/>
      <c r="Z268" s="153"/>
      <c r="AA268" s="153"/>
      <c r="AB268" s="153"/>
      <c r="AC268" s="153"/>
      <c r="AD268" s="153"/>
      <c r="AE268" s="153"/>
      <c r="AF268" s="153"/>
      <c r="AG268" s="153"/>
      <c r="AH268" s="153"/>
      <c r="AI268" s="153"/>
      <c r="AJ268" s="153"/>
      <c r="AK268" s="153"/>
      <c r="AL268" s="153"/>
      <c r="AM268" s="153"/>
      <c r="AN268" s="154"/>
      <c r="AO268" s="155">
        <f t="shared" si="89"/>
        <v>5</v>
      </c>
      <c r="AP268" s="13"/>
      <c r="AQ268" s="156">
        <f t="shared" ref="AQ268:AQ276" si="106">+AP268*AO268</f>
        <v>0</v>
      </c>
      <c r="AR268" s="13"/>
      <c r="AS268" s="156">
        <f t="shared" ref="AS268:AS276" si="107">+AR268*AO268</f>
        <v>0</v>
      </c>
      <c r="AT268" s="157">
        <f t="shared" ref="AT268:AT276" si="108">+AR268+AP268</f>
        <v>0</v>
      </c>
      <c r="AU268" s="156">
        <f t="shared" ref="AU268:AU276" si="109">+AT268*AO268</f>
        <v>0</v>
      </c>
    </row>
    <row r="269" spans="1:47" ht="30" customHeight="1" x14ac:dyDescent="0.25">
      <c r="A269" s="76"/>
      <c r="B269" s="158" t="s">
        <v>1456</v>
      </c>
      <c r="C269" s="411" t="s">
        <v>1460</v>
      </c>
      <c r="D269" s="412"/>
      <c r="E269" s="408"/>
      <c r="F269" s="409"/>
      <c r="G269" s="397"/>
      <c r="H269" s="394"/>
      <c r="I269" s="162" t="s">
        <v>1138</v>
      </c>
      <c r="J269" s="163"/>
      <c r="K269" s="164"/>
      <c r="L269" s="164"/>
      <c r="M269" s="164"/>
      <c r="N269" s="164"/>
      <c r="O269" s="164"/>
      <c r="P269" s="164"/>
      <c r="Q269" s="164"/>
      <c r="R269" s="164"/>
      <c r="S269" s="164"/>
      <c r="T269" s="164"/>
      <c r="U269" s="164"/>
      <c r="V269" s="164"/>
      <c r="W269" s="164"/>
      <c r="X269" s="164"/>
      <c r="Y269" s="164"/>
      <c r="Z269" s="164"/>
      <c r="AA269" s="164"/>
      <c r="AB269" s="164"/>
      <c r="AC269" s="164"/>
      <c r="AD269" s="164"/>
      <c r="AE269" s="164"/>
      <c r="AF269" s="164"/>
      <c r="AG269" s="164"/>
      <c r="AH269" s="164"/>
      <c r="AI269" s="164"/>
      <c r="AJ269" s="164"/>
      <c r="AK269" s="164"/>
      <c r="AL269" s="164"/>
      <c r="AM269" s="164"/>
      <c r="AN269" s="165"/>
      <c r="AO269" s="166">
        <f t="shared" si="89"/>
        <v>0</v>
      </c>
      <c r="AP269" s="12"/>
      <c r="AQ269" s="167">
        <f t="shared" si="106"/>
        <v>0</v>
      </c>
      <c r="AR269" s="12"/>
      <c r="AS269" s="167">
        <f t="shared" si="107"/>
        <v>0</v>
      </c>
      <c r="AT269" s="168">
        <f t="shared" si="108"/>
        <v>0</v>
      </c>
      <c r="AU269" s="167">
        <f t="shared" si="109"/>
        <v>0</v>
      </c>
    </row>
    <row r="270" spans="1:47" ht="30" customHeight="1" x14ac:dyDescent="0.25">
      <c r="A270" s="76"/>
      <c r="B270" s="158" t="s">
        <v>1457</v>
      </c>
      <c r="C270" s="411" t="s">
        <v>1461</v>
      </c>
      <c r="D270" s="412"/>
      <c r="E270" s="408"/>
      <c r="F270" s="409"/>
      <c r="G270" s="397"/>
      <c r="H270" s="394"/>
      <c r="I270" s="162" t="s">
        <v>1138</v>
      </c>
      <c r="J270" s="163"/>
      <c r="K270" s="164"/>
      <c r="L270" s="164"/>
      <c r="M270" s="164"/>
      <c r="N270" s="164"/>
      <c r="O270" s="164"/>
      <c r="P270" s="164"/>
      <c r="Q270" s="164"/>
      <c r="R270" s="164"/>
      <c r="S270" s="164"/>
      <c r="T270" s="164"/>
      <c r="U270" s="164"/>
      <c r="V270" s="164"/>
      <c r="W270" s="164"/>
      <c r="X270" s="164"/>
      <c r="Y270" s="164"/>
      <c r="Z270" s="164"/>
      <c r="AA270" s="164"/>
      <c r="AB270" s="164"/>
      <c r="AC270" s="164"/>
      <c r="AD270" s="164"/>
      <c r="AE270" s="164"/>
      <c r="AF270" s="164"/>
      <c r="AG270" s="164"/>
      <c r="AH270" s="164"/>
      <c r="AI270" s="164"/>
      <c r="AJ270" s="164"/>
      <c r="AK270" s="164"/>
      <c r="AL270" s="164"/>
      <c r="AM270" s="164"/>
      <c r="AN270" s="165"/>
      <c r="AO270" s="166">
        <f t="shared" si="89"/>
        <v>0</v>
      </c>
      <c r="AP270" s="12"/>
      <c r="AQ270" s="167">
        <f t="shared" si="106"/>
        <v>0</v>
      </c>
      <c r="AR270" s="12"/>
      <c r="AS270" s="167">
        <f t="shared" si="107"/>
        <v>0</v>
      </c>
      <c r="AT270" s="168">
        <f t="shared" si="108"/>
        <v>0</v>
      </c>
      <c r="AU270" s="167">
        <f t="shared" si="109"/>
        <v>0</v>
      </c>
    </row>
    <row r="271" spans="1:47" ht="30" customHeight="1" x14ac:dyDescent="0.25">
      <c r="A271" s="76"/>
      <c r="B271" s="169" t="s">
        <v>1458</v>
      </c>
      <c r="C271" s="404" t="s">
        <v>1462</v>
      </c>
      <c r="D271" s="405"/>
      <c r="E271" s="400"/>
      <c r="F271" s="402"/>
      <c r="G271" s="398"/>
      <c r="H271" s="395"/>
      <c r="I271" s="173" t="s">
        <v>1138</v>
      </c>
      <c r="J271" s="174"/>
      <c r="K271" s="175"/>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c r="AH271" s="175"/>
      <c r="AI271" s="175"/>
      <c r="AJ271" s="175"/>
      <c r="AK271" s="175"/>
      <c r="AL271" s="175"/>
      <c r="AM271" s="175"/>
      <c r="AN271" s="176"/>
      <c r="AO271" s="177">
        <f t="shared" si="89"/>
        <v>0</v>
      </c>
      <c r="AP271" s="14"/>
      <c r="AQ271" s="178">
        <f t="shared" si="106"/>
        <v>0</v>
      </c>
      <c r="AR271" s="14"/>
      <c r="AS271" s="178">
        <f t="shared" si="107"/>
        <v>0</v>
      </c>
      <c r="AT271" s="179">
        <f t="shared" si="108"/>
        <v>0</v>
      </c>
      <c r="AU271" s="178">
        <f t="shared" si="109"/>
        <v>0</v>
      </c>
    </row>
    <row r="272" spans="1:47" ht="37.5" customHeight="1" x14ac:dyDescent="0.25">
      <c r="A272" s="76"/>
      <c r="B272" s="148" t="s">
        <v>1464</v>
      </c>
      <c r="C272" s="192" t="s">
        <v>1469</v>
      </c>
      <c r="D272" s="193"/>
      <c r="E272" s="399" t="s">
        <v>1474</v>
      </c>
      <c r="F272" s="401"/>
      <c r="G272" s="424" t="s">
        <v>1079</v>
      </c>
      <c r="H272" s="403" t="s">
        <v>1079</v>
      </c>
      <c r="I272" s="151" t="s">
        <v>1138</v>
      </c>
      <c r="J272" s="152"/>
      <c r="K272" s="153"/>
      <c r="L272" s="153"/>
      <c r="M272" s="153"/>
      <c r="N272" s="153"/>
      <c r="O272" s="153"/>
      <c r="P272" s="153"/>
      <c r="Q272" s="153"/>
      <c r="R272" s="153"/>
      <c r="S272" s="153"/>
      <c r="T272" s="153"/>
      <c r="U272" s="153"/>
      <c r="V272" s="153"/>
      <c r="W272" s="153"/>
      <c r="X272" s="153"/>
      <c r="Y272" s="153"/>
      <c r="Z272" s="153"/>
      <c r="AA272" s="153"/>
      <c r="AB272" s="153"/>
      <c r="AC272" s="153"/>
      <c r="AD272" s="153"/>
      <c r="AE272" s="153"/>
      <c r="AF272" s="153"/>
      <c r="AG272" s="153"/>
      <c r="AH272" s="153"/>
      <c r="AI272" s="153"/>
      <c r="AJ272" s="153"/>
      <c r="AK272" s="153"/>
      <c r="AL272" s="153"/>
      <c r="AM272" s="153"/>
      <c r="AN272" s="154"/>
      <c r="AO272" s="155">
        <f t="shared" si="89"/>
        <v>0</v>
      </c>
      <c r="AP272" s="13"/>
      <c r="AQ272" s="156">
        <f t="shared" si="106"/>
        <v>0</v>
      </c>
      <c r="AR272" s="13"/>
      <c r="AS272" s="156">
        <f t="shared" si="107"/>
        <v>0</v>
      </c>
      <c r="AT272" s="157">
        <f t="shared" si="108"/>
        <v>0</v>
      </c>
      <c r="AU272" s="156">
        <f t="shared" si="109"/>
        <v>0</v>
      </c>
    </row>
    <row r="273" spans="1:47" ht="37.5" customHeight="1" x14ac:dyDescent="0.25">
      <c r="A273" s="76"/>
      <c r="B273" s="158" t="s">
        <v>1465</v>
      </c>
      <c r="C273" s="194" t="s">
        <v>1470</v>
      </c>
      <c r="D273" s="195"/>
      <c r="E273" s="408"/>
      <c r="F273" s="409"/>
      <c r="G273" s="397"/>
      <c r="H273" s="394"/>
      <c r="I273" s="162" t="s">
        <v>1138</v>
      </c>
      <c r="J273" s="163"/>
      <c r="K273" s="164"/>
      <c r="L273" s="164"/>
      <c r="M273" s="164"/>
      <c r="N273" s="164"/>
      <c r="O273" s="164"/>
      <c r="P273" s="164"/>
      <c r="Q273" s="164"/>
      <c r="R273" s="164"/>
      <c r="S273" s="164"/>
      <c r="T273" s="164"/>
      <c r="U273" s="164"/>
      <c r="V273" s="164"/>
      <c r="W273" s="164"/>
      <c r="X273" s="164"/>
      <c r="Y273" s="164"/>
      <c r="Z273" s="164"/>
      <c r="AA273" s="164"/>
      <c r="AB273" s="164"/>
      <c r="AC273" s="164"/>
      <c r="AD273" s="164"/>
      <c r="AE273" s="164"/>
      <c r="AF273" s="164"/>
      <c r="AG273" s="164"/>
      <c r="AH273" s="164"/>
      <c r="AI273" s="164"/>
      <c r="AJ273" s="164"/>
      <c r="AK273" s="164"/>
      <c r="AL273" s="164"/>
      <c r="AM273" s="164"/>
      <c r="AN273" s="165"/>
      <c r="AO273" s="166">
        <f t="shared" si="89"/>
        <v>0</v>
      </c>
      <c r="AP273" s="12"/>
      <c r="AQ273" s="167">
        <f t="shared" si="106"/>
        <v>0</v>
      </c>
      <c r="AR273" s="12"/>
      <c r="AS273" s="167">
        <f t="shared" si="107"/>
        <v>0</v>
      </c>
      <c r="AT273" s="168">
        <f t="shared" si="108"/>
        <v>0</v>
      </c>
      <c r="AU273" s="167">
        <f t="shared" si="109"/>
        <v>0</v>
      </c>
    </row>
    <row r="274" spans="1:47" ht="37.5" customHeight="1" x14ac:dyDescent="0.25">
      <c r="A274" s="76"/>
      <c r="B274" s="158" t="s">
        <v>1466</v>
      </c>
      <c r="C274" s="194" t="s">
        <v>1471</v>
      </c>
      <c r="D274" s="195"/>
      <c r="E274" s="408"/>
      <c r="F274" s="409"/>
      <c r="G274" s="397"/>
      <c r="H274" s="394"/>
      <c r="I274" s="162" t="s">
        <v>1138</v>
      </c>
      <c r="J274" s="163"/>
      <c r="K274" s="164"/>
      <c r="L274" s="164"/>
      <c r="M274" s="164"/>
      <c r="N274" s="164"/>
      <c r="O274" s="164"/>
      <c r="P274" s="164"/>
      <c r="Q274" s="164"/>
      <c r="R274" s="164"/>
      <c r="S274" s="164"/>
      <c r="T274" s="164"/>
      <c r="U274" s="164"/>
      <c r="V274" s="164"/>
      <c r="W274" s="164"/>
      <c r="X274" s="164"/>
      <c r="Y274" s="164"/>
      <c r="Z274" s="164"/>
      <c r="AA274" s="164"/>
      <c r="AB274" s="164"/>
      <c r="AC274" s="164"/>
      <c r="AD274" s="164"/>
      <c r="AE274" s="164"/>
      <c r="AF274" s="164"/>
      <c r="AG274" s="164"/>
      <c r="AH274" s="164"/>
      <c r="AI274" s="164"/>
      <c r="AJ274" s="164"/>
      <c r="AK274" s="164"/>
      <c r="AL274" s="164"/>
      <c r="AM274" s="164"/>
      <c r="AN274" s="165"/>
      <c r="AO274" s="166">
        <f t="shared" si="89"/>
        <v>0</v>
      </c>
      <c r="AP274" s="12"/>
      <c r="AQ274" s="167">
        <f t="shared" si="106"/>
        <v>0</v>
      </c>
      <c r="AR274" s="12"/>
      <c r="AS274" s="167">
        <f t="shared" si="107"/>
        <v>0</v>
      </c>
      <c r="AT274" s="168">
        <f t="shared" si="108"/>
        <v>0</v>
      </c>
      <c r="AU274" s="167">
        <f t="shared" si="109"/>
        <v>0</v>
      </c>
    </row>
    <row r="275" spans="1:47" ht="37.5" customHeight="1" x14ac:dyDescent="0.25">
      <c r="A275" s="76"/>
      <c r="B275" s="158" t="s">
        <v>1467</v>
      </c>
      <c r="C275" s="194" t="s">
        <v>1472</v>
      </c>
      <c r="D275" s="195"/>
      <c r="E275" s="408"/>
      <c r="F275" s="409"/>
      <c r="G275" s="397"/>
      <c r="H275" s="394"/>
      <c r="I275" s="162" t="s">
        <v>1138</v>
      </c>
      <c r="J275" s="163"/>
      <c r="K275" s="164"/>
      <c r="L275" s="164"/>
      <c r="M275" s="164"/>
      <c r="N275" s="164"/>
      <c r="O275" s="164"/>
      <c r="P275" s="164"/>
      <c r="Q275" s="164"/>
      <c r="R275" s="164"/>
      <c r="S275" s="164"/>
      <c r="T275" s="164"/>
      <c r="U275" s="164"/>
      <c r="V275" s="164"/>
      <c r="W275" s="164"/>
      <c r="X275" s="164"/>
      <c r="Y275" s="164"/>
      <c r="Z275" s="164"/>
      <c r="AA275" s="164"/>
      <c r="AB275" s="164"/>
      <c r="AC275" s="164"/>
      <c r="AD275" s="164"/>
      <c r="AE275" s="164"/>
      <c r="AF275" s="164"/>
      <c r="AG275" s="164"/>
      <c r="AH275" s="164"/>
      <c r="AI275" s="164"/>
      <c r="AJ275" s="164"/>
      <c r="AK275" s="164"/>
      <c r="AL275" s="164"/>
      <c r="AM275" s="164"/>
      <c r="AN275" s="165"/>
      <c r="AO275" s="166">
        <f t="shared" si="89"/>
        <v>0</v>
      </c>
      <c r="AP275" s="12"/>
      <c r="AQ275" s="167">
        <f t="shared" si="106"/>
        <v>0</v>
      </c>
      <c r="AR275" s="12"/>
      <c r="AS275" s="167">
        <f t="shared" si="107"/>
        <v>0</v>
      </c>
      <c r="AT275" s="168">
        <f t="shared" si="108"/>
        <v>0</v>
      </c>
      <c r="AU275" s="167">
        <f t="shared" si="109"/>
        <v>0</v>
      </c>
    </row>
    <row r="276" spans="1:47" ht="37.5" customHeight="1" x14ac:dyDescent="0.25">
      <c r="A276" s="76"/>
      <c r="B276" s="169" t="s">
        <v>1468</v>
      </c>
      <c r="C276" s="196" t="s">
        <v>1473</v>
      </c>
      <c r="D276" s="197"/>
      <c r="E276" s="400"/>
      <c r="F276" s="402"/>
      <c r="G276" s="398"/>
      <c r="H276" s="395"/>
      <c r="I276" s="173" t="s">
        <v>1138</v>
      </c>
      <c r="J276" s="174"/>
      <c r="K276" s="175"/>
      <c r="L276" s="175"/>
      <c r="M276" s="175"/>
      <c r="N276" s="175"/>
      <c r="O276" s="175"/>
      <c r="P276" s="175"/>
      <c r="Q276" s="175"/>
      <c r="R276" s="175"/>
      <c r="S276" s="175"/>
      <c r="T276" s="175"/>
      <c r="U276" s="175"/>
      <c r="V276" s="175"/>
      <c r="W276" s="175"/>
      <c r="X276" s="175"/>
      <c r="Y276" s="175"/>
      <c r="Z276" s="175"/>
      <c r="AA276" s="175"/>
      <c r="AB276" s="175"/>
      <c r="AC276" s="175"/>
      <c r="AD276" s="175"/>
      <c r="AE276" s="175"/>
      <c r="AF276" s="175"/>
      <c r="AG276" s="175"/>
      <c r="AH276" s="175"/>
      <c r="AI276" s="175"/>
      <c r="AJ276" s="175"/>
      <c r="AK276" s="175"/>
      <c r="AL276" s="175"/>
      <c r="AM276" s="175"/>
      <c r="AN276" s="176"/>
      <c r="AO276" s="177">
        <f t="shared" si="89"/>
        <v>0</v>
      </c>
      <c r="AP276" s="14"/>
      <c r="AQ276" s="178">
        <f t="shared" si="106"/>
        <v>0</v>
      </c>
      <c r="AR276" s="14"/>
      <c r="AS276" s="178">
        <f t="shared" si="107"/>
        <v>0</v>
      </c>
      <c r="AT276" s="179">
        <f t="shared" si="108"/>
        <v>0</v>
      </c>
      <c r="AU276" s="178">
        <f t="shared" si="109"/>
        <v>0</v>
      </c>
    </row>
    <row r="277" spans="1:47" ht="73.5" customHeight="1" x14ac:dyDescent="0.25">
      <c r="A277" s="140"/>
      <c r="B277" s="37">
        <v>9</v>
      </c>
      <c r="C277" s="270" t="s">
        <v>1475</v>
      </c>
      <c r="D277" s="271"/>
      <c r="E277" s="271"/>
      <c r="F277" s="356"/>
      <c r="G277" s="97"/>
      <c r="H277" s="84"/>
      <c r="I277" s="97"/>
      <c r="J277" s="83"/>
      <c r="K277" s="83"/>
      <c r="L277" s="83"/>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4"/>
      <c r="AP277" s="78"/>
      <c r="AQ277" s="79">
        <f>SUM(AQ278:AQ313)</f>
        <v>0</v>
      </c>
      <c r="AR277" s="78"/>
      <c r="AS277" s="79">
        <f>SUM(AS278:AS313)</f>
        <v>0</v>
      </c>
      <c r="AT277" s="78"/>
      <c r="AU277" s="79">
        <f>SUM(AU278:AU313)</f>
        <v>0</v>
      </c>
    </row>
    <row r="278" spans="1:47" ht="37.5" customHeight="1" x14ac:dyDescent="0.25">
      <c r="A278" s="76"/>
      <c r="B278" s="148" t="s">
        <v>1476</v>
      </c>
      <c r="C278" s="406" t="s">
        <v>1481</v>
      </c>
      <c r="D278" s="407"/>
      <c r="E278" s="399" t="s">
        <v>1486</v>
      </c>
      <c r="F278" s="401" t="s">
        <v>1487</v>
      </c>
      <c r="G278" s="424" t="s">
        <v>1079</v>
      </c>
      <c r="H278" s="403" t="s">
        <v>1079</v>
      </c>
      <c r="I278" s="151" t="s">
        <v>532</v>
      </c>
      <c r="J278" s="152"/>
      <c r="K278" s="153"/>
      <c r="L278" s="153"/>
      <c r="M278" s="153"/>
      <c r="N278" s="153"/>
      <c r="O278" s="153"/>
      <c r="P278" s="153"/>
      <c r="Q278" s="153"/>
      <c r="R278" s="153"/>
      <c r="S278" s="153"/>
      <c r="T278" s="153"/>
      <c r="U278" s="153"/>
      <c r="V278" s="153"/>
      <c r="W278" s="153"/>
      <c r="X278" s="153"/>
      <c r="Y278" s="153"/>
      <c r="Z278" s="153"/>
      <c r="AA278" s="153"/>
      <c r="AB278" s="153"/>
      <c r="AC278" s="153"/>
      <c r="AD278" s="153"/>
      <c r="AE278" s="153"/>
      <c r="AF278" s="153"/>
      <c r="AG278" s="153"/>
      <c r="AH278" s="153"/>
      <c r="AI278" s="153"/>
      <c r="AJ278" s="153"/>
      <c r="AK278" s="153"/>
      <c r="AL278" s="153"/>
      <c r="AM278" s="153"/>
      <c r="AN278" s="154"/>
      <c r="AO278" s="155">
        <f t="shared" ref="AO278:AO313" si="110">SUM(J278:AN278)</f>
        <v>0</v>
      </c>
      <c r="AP278" s="13"/>
      <c r="AQ278" s="156">
        <f t="shared" ref="AQ278:AQ289" si="111">+AP278*AO278</f>
        <v>0</v>
      </c>
      <c r="AR278" s="13"/>
      <c r="AS278" s="156">
        <f t="shared" ref="AS278:AS289" si="112">+AR278*AO278</f>
        <v>0</v>
      </c>
      <c r="AT278" s="157">
        <f t="shared" ref="AT278:AT289" si="113">+AR278+AP278</f>
        <v>0</v>
      </c>
      <c r="AU278" s="156">
        <f t="shared" ref="AU278:AU289" si="114">+AT278*AO278</f>
        <v>0</v>
      </c>
    </row>
    <row r="279" spans="1:47" ht="37.5" customHeight="1" x14ac:dyDescent="0.25">
      <c r="A279" s="76"/>
      <c r="B279" s="158" t="s">
        <v>1477</v>
      </c>
      <c r="C279" s="411" t="s">
        <v>1482</v>
      </c>
      <c r="D279" s="412"/>
      <c r="E279" s="408"/>
      <c r="F279" s="409"/>
      <c r="G279" s="397"/>
      <c r="H279" s="394"/>
      <c r="I279" s="162" t="s">
        <v>532</v>
      </c>
      <c r="J279" s="163"/>
      <c r="K279" s="164"/>
      <c r="L279" s="164"/>
      <c r="M279" s="164"/>
      <c r="N279" s="164"/>
      <c r="O279" s="164"/>
      <c r="P279" s="164"/>
      <c r="Q279" s="164"/>
      <c r="R279" s="164"/>
      <c r="S279" s="164"/>
      <c r="T279" s="164"/>
      <c r="U279" s="164"/>
      <c r="V279" s="164"/>
      <c r="W279" s="164"/>
      <c r="X279" s="164"/>
      <c r="Y279" s="164"/>
      <c r="Z279" s="164"/>
      <c r="AA279" s="164"/>
      <c r="AB279" s="164"/>
      <c r="AC279" s="164"/>
      <c r="AD279" s="164"/>
      <c r="AE279" s="164"/>
      <c r="AF279" s="164"/>
      <c r="AG279" s="164"/>
      <c r="AH279" s="164"/>
      <c r="AI279" s="164"/>
      <c r="AJ279" s="164"/>
      <c r="AK279" s="164"/>
      <c r="AL279" s="164"/>
      <c r="AM279" s="164"/>
      <c r="AN279" s="165"/>
      <c r="AO279" s="166">
        <f t="shared" si="110"/>
        <v>0</v>
      </c>
      <c r="AP279" s="12"/>
      <c r="AQ279" s="167">
        <f t="shared" si="111"/>
        <v>0</v>
      </c>
      <c r="AR279" s="12"/>
      <c r="AS279" s="167">
        <f t="shared" si="112"/>
        <v>0</v>
      </c>
      <c r="AT279" s="168">
        <f t="shared" si="113"/>
        <v>0</v>
      </c>
      <c r="AU279" s="167">
        <f t="shared" si="114"/>
        <v>0</v>
      </c>
    </row>
    <row r="280" spans="1:47" ht="37.5" customHeight="1" x14ac:dyDescent="0.25">
      <c r="A280" s="76"/>
      <c r="B280" s="158" t="s">
        <v>1478</v>
      </c>
      <c r="C280" s="411" t="s">
        <v>1483</v>
      </c>
      <c r="D280" s="412"/>
      <c r="E280" s="408"/>
      <c r="F280" s="409"/>
      <c r="G280" s="397"/>
      <c r="H280" s="394"/>
      <c r="I280" s="162" t="s">
        <v>532</v>
      </c>
      <c r="J280" s="163"/>
      <c r="K280" s="164"/>
      <c r="L280" s="164"/>
      <c r="M280" s="164"/>
      <c r="N280" s="164"/>
      <c r="O280" s="164"/>
      <c r="P280" s="164"/>
      <c r="Q280" s="164"/>
      <c r="R280" s="164"/>
      <c r="S280" s="164"/>
      <c r="T280" s="164"/>
      <c r="U280" s="164"/>
      <c r="V280" s="164"/>
      <c r="W280" s="164"/>
      <c r="X280" s="164"/>
      <c r="Y280" s="164"/>
      <c r="Z280" s="164"/>
      <c r="AA280" s="164"/>
      <c r="AB280" s="164"/>
      <c r="AC280" s="164"/>
      <c r="AD280" s="164"/>
      <c r="AE280" s="164"/>
      <c r="AF280" s="164"/>
      <c r="AG280" s="164"/>
      <c r="AH280" s="164"/>
      <c r="AI280" s="164"/>
      <c r="AJ280" s="164"/>
      <c r="AK280" s="164"/>
      <c r="AL280" s="164"/>
      <c r="AM280" s="164"/>
      <c r="AN280" s="165"/>
      <c r="AO280" s="166">
        <f t="shared" si="110"/>
        <v>0</v>
      </c>
      <c r="AP280" s="12"/>
      <c r="AQ280" s="167">
        <f t="shared" si="111"/>
        <v>0</v>
      </c>
      <c r="AR280" s="12"/>
      <c r="AS280" s="167">
        <f t="shared" si="112"/>
        <v>0</v>
      </c>
      <c r="AT280" s="168">
        <f t="shared" si="113"/>
        <v>0</v>
      </c>
      <c r="AU280" s="167">
        <f t="shared" si="114"/>
        <v>0</v>
      </c>
    </row>
    <row r="281" spans="1:47" ht="37.5" customHeight="1" x14ac:dyDescent="0.25">
      <c r="A281" s="76"/>
      <c r="B281" s="158" t="s">
        <v>1479</v>
      </c>
      <c r="C281" s="411" t="s">
        <v>1484</v>
      </c>
      <c r="D281" s="412"/>
      <c r="E281" s="408"/>
      <c r="F281" s="409"/>
      <c r="G281" s="397"/>
      <c r="H281" s="394"/>
      <c r="I281" s="162" t="s">
        <v>532</v>
      </c>
      <c r="J281" s="163"/>
      <c r="K281" s="164"/>
      <c r="L281" s="164"/>
      <c r="M281" s="164"/>
      <c r="N281" s="164"/>
      <c r="O281" s="164"/>
      <c r="P281" s="164"/>
      <c r="Q281" s="164"/>
      <c r="R281" s="164"/>
      <c r="S281" s="164"/>
      <c r="T281" s="164"/>
      <c r="U281" s="164"/>
      <c r="V281" s="164"/>
      <c r="W281" s="164"/>
      <c r="X281" s="164"/>
      <c r="Y281" s="164"/>
      <c r="Z281" s="164"/>
      <c r="AA281" s="164"/>
      <c r="AB281" s="164"/>
      <c r="AC281" s="164"/>
      <c r="AD281" s="164"/>
      <c r="AE281" s="164"/>
      <c r="AF281" s="164"/>
      <c r="AG281" s="164"/>
      <c r="AH281" s="164"/>
      <c r="AI281" s="164"/>
      <c r="AJ281" s="164"/>
      <c r="AK281" s="164"/>
      <c r="AL281" s="164"/>
      <c r="AM281" s="164"/>
      <c r="AN281" s="165"/>
      <c r="AO281" s="166">
        <f t="shared" si="110"/>
        <v>0</v>
      </c>
      <c r="AP281" s="12"/>
      <c r="AQ281" s="167">
        <f t="shared" si="111"/>
        <v>0</v>
      </c>
      <c r="AR281" s="12"/>
      <c r="AS281" s="167">
        <f t="shared" si="112"/>
        <v>0</v>
      </c>
      <c r="AT281" s="168">
        <f t="shared" si="113"/>
        <v>0</v>
      </c>
      <c r="AU281" s="167">
        <f t="shared" si="114"/>
        <v>0</v>
      </c>
    </row>
    <row r="282" spans="1:47" ht="37.5" customHeight="1" x14ac:dyDescent="0.25">
      <c r="A282" s="76"/>
      <c r="B282" s="169" t="s">
        <v>1480</v>
      </c>
      <c r="C282" s="404" t="s">
        <v>1485</v>
      </c>
      <c r="D282" s="405"/>
      <c r="E282" s="400"/>
      <c r="F282" s="402"/>
      <c r="G282" s="398"/>
      <c r="H282" s="395"/>
      <c r="I282" s="173" t="s">
        <v>532</v>
      </c>
      <c r="J282" s="174"/>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5"/>
      <c r="AJ282" s="175"/>
      <c r="AK282" s="175"/>
      <c r="AL282" s="175"/>
      <c r="AM282" s="175"/>
      <c r="AN282" s="176"/>
      <c r="AO282" s="177">
        <f t="shared" si="110"/>
        <v>0</v>
      </c>
      <c r="AP282" s="14"/>
      <c r="AQ282" s="178">
        <f t="shared" si="111"/>
        <v>0</v>
      </c>
      <c r="AR282" s="14"/>
      <c r="AS282" s="178">
        <f t="shared" si="112"/>
        <v>0</v>
      </c>
      <c r="AT282" s="179">
        <f t="shared" si="113"/>
        <v>0</v>
      </c>
      <c r="AU282" s="178">
        <f t="shared" si="114"/>
        <v>0</v>
      </c>
    </row>
    <row r="283" spans="1:47" ht="30" customHeight="1" x14ac:dyDescent="0.25">
      <c r="A283" s="76"/>
      <c r="B283" s="148" t="s">
        <v>1488</v>
      </c>
      <c r="C283" s="406" t="s">
        <v>1496</v>
      </c>
      <c r="D283" s="407"/>
      <c r="E283" s="399" t="s">
        <v>1495</v>
      </c>
      <c r="F283" s="401" t="s">
        <v>1487</v>
      </c>
      <c r="G283" s="424" t="s">
        <v>1079</v>
      </c>
      <c r="H283" s="403" t="s">
        <v>1079</v>
      </c>
      <c r="I283" s="151" t="s">
        <v>532</v>
      </c>
      <c r="J283" s="152"/>
      <c r="K283" s="153"/>
      <c r="L283" s="153"/>
      <c r="M283" s="153"/>
      <c r="N283" s="153"/>
      <c r="O283" s="153"/>
      <c r="P283" s="153"/>
      <c r="Q283" s="153"/>
      <c r="R283" s="153"/>
      <c r="S283" s="153"/>
      <c r="T283" s="153"/>
      <c r="U283" s="153"/>
      <c r="V283" s="153"/>
      <c r="W283" s="153"/>
      <c r="X283" s="153"/>
      <c r="Y283" s="153"/>
      <c r="Z283" s="153"/>
      <c r="AA283" s="153"/>
      <c r="AB283" s="153"/>
      <c r="AC283" s="153"/>
      <c r="AD283" s="153"/>
      <c r="AE283" s="153"/>
      <c r="AF283" s="153"/>
      <c r="AG283" s="153"/>
      <c r="AH283" s="153"/>
      <c r="AI283" s="153"/>
      <c r="AJ283" s="153"/>
      <c r="AK283" s="153"/>
      <c r="AL283" s="153"/>
      <c r="AM283" s="153"/>
      <c r="AN283" s="154"/>
      <c r="AO283" s="155">
        <f t="shared" si="110"/>
        <v>0</v>
      </c>
      <c r="AP283" s="13"/>
      <c r="AQ283" s="156">
        <f t="shared" si="111"/>
        <v>0</v>
      </c>
      <c r="AR283" s="13"/>
      <c r="AS283" s="156">
        <f t="shared" si="112"/>
        <v>0</v>
      </c>
      <c r="AT283" s="157">
        <f t="shared" si="113"/>
        <v>0</v>
      </c>
      <c r="AU283" s="156">
        <f t="shared" si="114"/>
        <v>0</v>
      </c>
    </row>
    <row r="284" spans="1:47" ht="30" customHeight="1" x14ac:dyDescent="0.25">
      <c r="A284" s="76"/>
      <c r="B284" s="158" t="s">
        <v>1489</v>
      </c>
      <c r="C284" s="411" t="s">
        <v>1497</v>
      </c>
      <c r="D284" s="412"/>
      <c r="E284" s="408"/>
      <c r="F284" s="409"/>
      <c r="G284" s="397"/>
      <c r="H284" s="394"/>
      <c r="I284" s="162" t="s">
        <v>532</v>
      </c>
      <c r="J284" s="163">
        <v>111</v>
      </c>
      <c r="K284" s="164">
        <v>225</v>
      </c>
      <c r="L284" s="164">
        <v>1080</v>
      </c>
      <c r="M284" s="164"/>
      <c r="N284" s="164"/>
      <c r="O284" s="164"/>
      <c r="P284" s="164"/>
      <c r="Q284" s="164"/>
      <c r="R284" s="164"/>
      <c r="S284" s="164"/>
      <c r="T284" s="164"/>
      <c r="U284" s="164"/>
      <c r="V284" s="164"/>
      <c r="W284" s="164"/>
      <c r="X284" s="164"/>
      <c r="Y284" s="164"/>
      <c r="Z284" s="164"/>
      <c r="AA284" s="164"/>
      <c r="AB284" s="164"/>
      <c r="AC284" s="164"/>
      <c r="AD284" s="164"/>
      <c r="AE284" s="164"/>
      <c r="AF284" s="164"/>
      <c r="AG284" s="164"/>
      <c r="AH284" s="164"/>
      <c r="AI284" s="164"/>
      <c r="AJ284" s="164"/>
      <c r="AK284" s="164"/>
      <c r="AL284" s="164"/>
      <c r="AM284" s="164"/>
      <c r="AN284" s="165"/>
      <c r="AO284" s="166">
        <f t="shared" si="110"/>
        <v>1416</v>
      </c>
      <c r="AP284" s="12"/>
      <c r="AQ284" s="167">
        <f t="shared" si="111"/>
        <v>0</v>
      </c>
      <c r="AR284" s="12"/>
      <c r="AS284" s="167">
        <f t="shared" si="112"/>
        <v>0</v>
      </c>
      <c r="AT284" s="168">
        <f t="shared" si="113"/>
        <v>0</v>
      </c>
      <c r="AU284" s="167">
        <f t="shared" si="114"/>
        <v>0</v>
      </c>
    </row>
    <row r="285" spans="1:47" ht="30" customHeight="1" x14ac:dyDescent="0.25">
      <c r="A285" s="76"/>
      <c r="B285" s="158" t="s">
        <v>1490</v>
      </c>
      <c r="C285" s="411" t="s">
        <v>1498</v>
      </c>
      <c r="D285" s="412"/>
      <c r="E285" s="408"/>
      <c r="F285" s="409"/>
      <c r="G285" s="397"/>
      <c r="H285" s="394"/>
      <c r="I285" s="162" t="s">
        <v>532</v>
      </c>
      <c r="J285" s="163">
        <v>100</v>
      </c>
      <c r="K285" s="164">
        <v>28</v>
      </c>
      <c r="L285" s="164">
        <v>330</v>
      </c>
      <c r="M285" s="164"/>
      <c r="N285" s="164"/>
      <c r="O285" s="164"/>
      <c r="P285" s="164"/>
      <c r="Q285" s="164"/>
      <c r="R285" s="164"/>
      <c r="S285" s="164"/>
      <c r="T285" s="164"/>
      <c r="U285" s="164"/>
      <c r="V285" s="164"/>
      <c r="W285" s="164"/>
      <c r="X285" s="164"/>
      <c r="Y285" s="164"/>
      <c r="Z285" s="164"/>
      <c r="AA285" s="164"/>
      <c r="AB285" s="164"/>
      <c r="AC285" s="164"/>
      <c r="AD285" s="164"/>
      <c r="AE285" s="164"/>
      <c r="AF285" s="164"/>
      <c r="AG285" s="164"/>
      <c r="AH285" s="164"/>
      <c r="AI285" s="164"/>
      <c r="AJ285" s="164"/>
      <c r="AK285" s="164"/>
      <c r="AL285" s="164"/>
      <c r="AM285" s="164"/>
      <c r="AN285" s="165"/>
      <c r="AO285" s="166">
        <f t="shared" si="110"/>
        <v>458</v>
      </c>
      <c r="AP285" s="12"/>
      <c r="AQ285" s="167">
        <f t="shared" si="111"/>
        <v>0</v>
      </c>
      <c r="AR285" s="12"/>
      <c r="AS285" s="167">
        <f t="shared" si="112"/>
        <v>0</v>
      </c>
      <c r="AT285" s="168">
        <f t="shared" si="113"/>
        <v>0</v>
      </c>
      <c r="AU285" s="167">
        <f t="shared" si="114"/>
        <v>0</v>
      </c>
    </row>
    <row r="286" spans="1:47" ht="30" customHeight="1" x14ac:dyDescent="0.25">
      <c r="A286" s="76"/>
      <c r="B286" s="158" t="s">
        <v>1491</v>
      </c>
      <c r="C286" s="411" t="s">
        <v>1499</v>
      </c>
      <c r="D286" s="412"/>
      <c r="E286" s="408"/>
      <c r="F286" s="409"/>
      <c r="G286" s="397"/>
      <c r="H286" s="394"/>
      <c r="I286" s="162" t="s">
        <v>532</v>
      </c>
      <c r="J286" s="163">
        <v>4</v>
      </c>
      <c r="K286" s="164">
        <v>30</v>
      </c>
      <c r="L286" s="164">
        <v>100</v>
      </c>
      <c r="M286" s="164"/>
      <c r="N286" s="164"/>
      <c r="O286" s="164"/>
      <c r="P286" s="164"/>
      <c r="Q286" s="164"/>
      <c r="R286" s="164"/>
      <c r="S286" s="164"/>
      <c r="T286" s="164"/>
      <c r="U286" s="164"/>
      <c r="V286" s="164"/>
      <c r="W286" s="164"/>
      <c r="X286" s="164"/>
      <c r="Y286" s="164"/>
      <c r="Z286" s="164"/>
      <c r="AA286" s="164"/>
      <c r="AB286" s="164"/>
      <c r="AC286" s="164"/>
      <c r="AD286" s="164"/>
      <c r="AE286" s="164"/>
      <c r="AF286" s="164"/>
      <c r="AG286" s="164"/>
      <c r="AH286" s="164"/>
      <c r="AI286" s="164"/>
      <c r="AJ286" s="164"/>
      <c r="AK286" s="164"/>
      <c r="AL286" s="164"/>
      <c r="AM286" s="164"/>
      <c r="AN286" s="165"/>
      <c r="AO286" s="166">
        <f t="shared" si="110"/>
        <v>134</v>
      </c>
      <c r="AP286" s="12"/>
      <c r="AQ286" s="167">
        <f t="shared" si="111"/>
        <v>0</v>
      </c>
      <c r="AR286" s="12"/>
      <c r="AS286" s="167">
        <f t="shared" si="112"/>
        <v>0</v>
      </c>
      <c r="AT286" s="168">
        <f t="shared" si="113"/>
        <v>0</v>
      </c>
      <c r="AU286" s="167">
        <f t="shared" si="114"/>
        <v>0</v>
      </c>
    </row>
    <row r="287" spans="1:47" ht="30" customHeight="1" x14ac:dyDescent="0.25">
      <c r="A287" s="76"/>
      <c r="B287" s="158" t="s">
        <v>1492</v>
      </c>
      <c r="C287" s="411" t="s">
        <v>1500</v>
      </c>
      <c r="D287" s="412"/>
      <c r="E287" s="408"/>
      <c r="F287" s="409"/>
      <c r="G287" s="397"/>
      <c r="H287" s="394"/>
      <c r="I287" s="162" t="s">
        <v>532</v>
      </c>
      <c r="J287" s="163">
        <v>5</v>
      </c>
      <c r="K287" s="164">
        <v>24</v>
      </c>
      <c r="L287" s="164">
        <v>59</v>
      </c>
      <c r="M287" s="164"/>
      <c r="N287" s="164"/>
      <c r="O287" s="164"/>
      <c r="P287" s="164"/>
      <c r="Q287" s="164"/>
      <c r="R287" s="164"/>
      <c r="S287" s="164"/>
      <c r="T287" s="164"/>
      <c r="U287" s="164"/>
      <c r="V287" s="164"/>
      <c r="W287" s="164"/>
      <c r="X287" s="164"/>
      <c r="Y287" s="164"/>
      <c r="Z287" s="164"/>
      <c r="AA287" s="164"/>
      <c r="AB287" s="164"/>
      <c r="AC287" s="164"/>
      <c r="AD287" s="164"/>
      <c r="AE287" s="164"/>
      <c r="AF287" s="164"/>
      <c r="AG287" s="164"/>
      <c r="AH287" s="164"/>
      <c r="AI287" s="164"/>
      <c r="AJ287" s="164"/>
      <c r="AK287" s="164"/>
      <c r="AL287" s="164"/>
      <c r="AM287" s="164"/>
      <c r="AN287" s="165"/>
      <c r="AO287" s="166">
        <f t="shared" si="110"/>
        <v>88</v>
      </c>
      <c r="AP287" s="12"/>
      <c r="AQ287" s="167">
        <f t="shared" si="111"/>
        <v>0</v>
      </c>
      <c r="AR287" s="12"/>
      <c r="AS287" s="167">
        <f t="shared" si="112"/>
        <v>0</v>
      </c>
      <c r="AT287" s="168">
        <f t="shared" si="113"/>
        <v>0</v>
      </c>
      <c r="AU287" s="167">
        <f t="shared" si="114"/>
        <v>0</v>
      </c>
    </row>
    <row r="288" spans="1:47" ht="30" customHeight="1" x14ac:dyDescent="0.25">
      <c r="A288" s="76"/>
      <c r="B288" s="158" t="s">
        <v>1493</v>
      </c>
      <c r="C288" s="411" t="s">
        <v>1501</v>
      </c>
      <c r="D288" s="412"/>
      <c r="E288" s="408"/>
      <c r="F288" s="409"/>
      <c r="G288" s="397"/>
      <c r="H288" s="394"/>
      <c r="I288" s="162" t="s">
        <v>532</v>
      </c>
      <c r="J288" s="163"/>
      <c r="K288" s="164"/>
      <c r="L288" s="164">
        <v>6</v>
      </c>
      <c r="M288" s="164"/>
      <c r="N288" s="164"/>
      <c r="O288" s="164"/>
      <c r="P288" s="164"/>
      <c r="Q288" s="164"/>
      <c r="R288" s="164"/>
      <c r="S288" s="164"/>
      <c r="T288" s="164"/>
      <c r="U288" s="164"/>
      <c r="V288" s="164"/>
      <c r="W288" s="164"/>
      <c r="X288" s="164"/>
      <c r="Y288" s="164"/>
      <c r="Z288" s="164"/>
      <c r="AA288" s="164"/>
      <c r="AB288" s="164"/>
      <c r="AC288" s="164"/>
      <c r="AD288" s="164"/>
      <c r="AE288" s="164"/>
      <c r="AF288" s="164"/>
      <c r="AG288" s="164"/>
      <c r="AH288" s="164"/>
      <c r="AI288" s="164"/>
      <c r="AJ288" s="164"/>
      <c r="AK288" s="164"/>
      <c r="AL288" s="164"/>
      <c r="AM288" s="164"/>
      <c r="AN288" s="165"/>
      <c r="AO288" s="166">
        <f t="shared" si="110"/>
        <v>6</v>
      </c>
      <c r="AP288" s="12"/>
      <c r="AQ288" s="167">
        <f t="shared" si="111"/>
        <v>0</v>
      </c>
      <c r="AR288" s="12"/>
      <c r="AS288" s="167">
        <f t="shared" si="112"/>
        <v>0</v>
      </c>
      <c r="AT288" s="168">
        <f t="shared" si="113"/>
        <v>0</v>
      </c>
      <c r="AU288" s="167">
        <f t="shared" si="114"/>
        <v>0</v>
      </c>
    </row>
    <row r="289" spans="1:47" ht="30" customHeight="1" x14ac:dyDescent="0.25">
      <c r="A289" s="76"/>
      <c r="B289" s="169" t="s">
        <v>1494</v>
      </c>
      <c r="C289" s="404" t="s">
        <v>1502</v>
      </c>
      <c r="D289" s="405"/>
      <c r="E289" s="400"/>
      <c r="F289" s="402"/>
      <c r="G289" s="398"/>
      <c r="H289" s="395"/>
      <c r="I289" s="173" t="s">
        <v>532</v>
      </c>
      <c r="J289" s="174"/>
      <c r="K289" s="175"/>
      <c r="L289" s="175"/>
      <c r="M289" s="175"/>
      <c r="N289" s="175"/>
      <c r="O289" s="175"/>
      <c r="P289" s="175"/>
      <c r="Q289" s="175"/>
      <c r="R289" s="175"/>
      <c r="S289" s="175"/>
      <c r="T289" s="175"/>
      <c r="U289" s="175"/>
      <c r="V289" s="175"/>
      <c r="W289" s="175"/>
      <c r="X289" s="175"/>
      <c r="Y289" s="175"/>
      <c r="Z289" s="175"/>
      <c r="AA289" s="175"/>
      <c r="AB289" s="175"/>
      <c r="AC289" s="175"/>
      <c r="AD289" s="175"/>
      <c r="AE289" s="175"/>
      <c r="AF289" s="175"/>
      <c r="AG289" s="175"/>
      <c r="AH289" s="175"/>
      <c r="AI289" s="175"/>
      <c r="AJ289" s="175"/>
      <c r="AK289" s="175"/>
      <c r="AL289" s="175"/>
      <c r="AM289" s="175"/>
      <c r="AN289" s="176"/>
      <c r="AO289" s="177">
        <f t="shared" si="110"/>
        <v>0</v>
      </c>
      <c r="AP289" s="14"/>
      <c r="AQ289" s="178">
        <f t="shared" si="111"/>
        <v>0</v>
      </c>
      <c r="AR289" s="14"/>
      <c r="AS289" s="178">
        <f t="shared" si="112"/>
        <v>0</v>
      </c>
      <c r="AT289" s="179">
        <f t="shared" si="113"/>
        <v>0</v>
      </c>
      <c r="AU289" s="178">
        <f t="shared" si="114"/>
        <v>0</v>
      </c>
    </row>
    <row r="290" spans="1:47" ht="34.5" customHeight="1" x14ac:dyDescent="0.25">
      <c r="A290" s="76"/>
      <c r="B290" s="148" t="s">
        <v>310</v>
      </c>
      <c r="C290" s="406" t="s">
        <v>1503</v>
      </c>
      <c r="D290" s="407"/>
      <c r="E290" s="399" t="s">
        <v>1508</v>
      </c>
      <c r="F290" s="401" t="s">
        <v>1487</v>
      </c>
      <c r="G290" s="424" t="s">
        <v>1079</v>
      </c>
      <c r="H290" s="403" t="s">
        <v>1079</v>
      </c>
      <c r="I290" s="151" t="s">
        <v>532</v>
      </c>
      <c r="J290" s="152"/>
      <c r="K290" s="153"/>
      <c r="L290" s="153"/>
      <c r="M290" s="153"/>
      <c r="N290" s="153"/>
      <c r="O290" s="153"/>
      <c r="P290" s="153"/>
      <c r="Q290" s="153"/>
      <c r="R290" s="153"/>
      <c r="S290" s="153"/>
      <c r="T290" s="153"/>
      <c r="U290" s="153"/>
      <c r="V290" s="153"/>
      <c r="W290" s="153"/>
      <c r="X290" s="153"/>
      <c r="Y290" s="153"/>
      <c r="Z290" s="153"/>
      <c r="AA290" s="153"/>
      <c r="AB290" s="153"/>
      <c r="AC290" s="153"/>
      <c r="AD290" s="153"/>
      <c r="AE290" s="153"/>
      <c r="AF290" s="153"/>
      <c r="AG290" s="153"/>
      <c r="AH290" s="153"/>
      <c r="AI290" s="153"/>
      <c r="AJ290" s="153"/>
      <c r="AK290" s="153"/>
      <c r="AL290" s="153"/>
      <c r="AM290" s="153"/>
      <c r="AN290" s="154"/>
      <c r="AO290" s="155">
        <f t="shared" si="110"/>
        <v>0</v>
      </c>
      <c r="AP290" s="13"/>
      <c r="AQ290" s="156">
        <f t="shared" ref="AQ290:AQ302" si="115">+AP290*AO290</f>
        <v>0</v>
      </c>
      <c r="AR290" s="13"/>
      <c r="AS290" s="156">
        <f t="shared" ref="AS290:AS302" si="116">+AR290*AO290</f>
        <v>0</v>
      </c>
      <c r="AT290" s="157">
        <f t="shared" ref="AT290:AT302" si="117">+AR290+AP290</f>
        <v>0</v>
      </c>
      <c r="AU290" s="156">
        <f t="shared" ref="AU290:AU302" si="118">+AT290*AO290</f>
        <v>0</v>
      </c>
    </row>
    <row r="291" spans="1:47" ht="34.5" customHeight="1" x14ac:dyDescent="0.25">
      <c r="A291" s="76"/>
      <c r="B291" s="158" t="s">
        <v>312</v>
      </c>
      <c r="C291" s="411" t="s">
        <v>1504</v>
      </c>
      <c r="D291" s="412"/>
      <c r="E291" s="408"/>
      <c r="F291" s="409"/>
      <c r="G291" s="397"/>
      <c r="H291" s="394"/>
      <c r="I291" s="162" t="s">
        <v>532</v>
      </c>
      <c r="J291" s="163">
        <v>8</v>
      </c>
      <c r="K291" s="164">
        <v>3</v>
      </c>
      <c r="L291" s="164">
        <v>32</v>
      </c>
      <c r="M291" s="164"/>
      <c r="N291" s="164"/>
      <c r="O291" s="164"/>
      <c r="P291" s="164"/>
      <c r="Q291" s="164"/>
      <c r="R291" s="164"/>
      <c r="S291" s="164"/>
      <c r="T291" s="164"/>
      <c r="U291" s="164"/>
      <c r="V291" s="164"/>
      <c r="W291" s="164"/>
      <c r="X291" s="164"/>
      <c r="Y291" s="164"/>
      <c r="Z291" s="164"/>
      <c r="AA291" s="164"/>
      <c r="AB291" s="164"/>
      <c r="AC291" s="164"/>
      <c r="AD291" s="164"/>
      <c r="AE291" s="164"/>
      <c r="AF291" s="164"/>
      <c r="AG291" s="164"/>
      <c r="AH291" s="164"/>
      <c r="AI291" s="164"/>
      <c r="AJ291" s="164"/>
      <c r="AK291" s="164"/>
      <c r="AL291" s="164"/>
      <c r="AM291" s="164"/>
      <c r="AN291" s="165"/>
      <c r="AO291" s="166">
        <f t="shared" si="110"/>
        <v>43</v>
      </c>
      <c r="AP291" s="12"/>
      <c r="AQ291" s="167">
        <f t="shared" si="115"/>
        <v>0</v>
      </c>
      <c r="AR291" s="12"/>
      <c r="AS291" s="167">
        <f t="shared" si="116"/>
        <v>0</v>
      </c>
      <c r="AT291" s="168">
        <f t="shared" si="117"/>
        <v>0</v>
      </c>
      <c r="AU291" s="167">
        <f t="shared" si="118"/>
        <v>0</v>
      </c>
    </row>
    <row r="292" spans="1:47" ht="34.5" customHeight="1" x14ac:dyDescent="0.25">
      <c r="A292" s="76"/>
      <c r="B292" s="158" t="s">
        <v>314</v>
      </c>
      <c r="C292" s="411" t="s">
        <v>1505</v>
      </c>
      <c r="D292" s="412"/>
      <c r="E292" s="408"/>
      <c r="F292" s="409"/>
      <c r="G292" s="397"/>
      <c r="H292" s="394"/>
      <c r="I292" s="162" t="s">
        <v>532</v>
      </c>
      <c r="J292" s="163">
        <v>23</v>
      </c>
      <c r="K292" s="164">
        <v>16</v>
      </c>
      <c r="L292" s="164">
        <v>31</v>
      </c>
      <c r="M292" s="164"/>
      <c r="N292" s="164"/>
      <c r="O292" s="164"/>
      <c r="P292" s="164"/>
      <c r="Q292" s="164"/>
      <c r="R292" s="164"/>
      <c r="S292" s="164"/>
      <c r="T292" s="164"/>
      <c r="U292" s="164"/>
      <c r="V292" s="164"/>
      <c r="W292" s="164"/>
      <c r="X292" s="164"/>
      <c r="Y292" s="164"/>
      <c r="Z292" s="164"/>
      <c r="AA292" s="164"/>
      <c r="AB292" s="164"/>
      <c r="AC292" s="164"/>
      <c r="AD292" s="164"/>
      <c r="AE292" s="164"/>
      <c r="AF292" s="164"/>
      <c r="AG292" s="164"/>
      <c r="AH292" s="164"/>
      <c r="AI292" s="164"/>
      <c r="AJ292" s="164"/>
      <c r="AK292" s="164"/>
      <c r="AL292" s="164"/>
      <c r="AM292" s="164"/>
      <c r="AN292" s="165"/>
      <c r="AO292" s="166">
        <f t="shared" si="110"/>
        <v>70</v>
      </c>
      <c r="AP292" s="12"/>
      <c r="AQ292" s="167">
        <f t="shared" si="115"/>
        <v>0</v>
      </c>
      <c r="AR292" s="12"/>
      <c r="AS292" s="167">
        <f t="shared" si="116"/>
        <v>0</v>
      </c>
      <c r="AT292" s="168">
        <f t="shared" si="117"/>
        <v>0</v>
      </c>
      <c r="AU292" s="167">
        <f t="shared" si="118"/>
        <v>0</v>
      </c>
    </row>
    <row r="293" spans="1:47" ht="34.5" customHeight="1" x14ac:dyDescent="0.25">
      <c r="A293" s="76"/>
      <c r="B293" s="158" t="s">
        <v>316</v>
      </c>
      <c r="C293" s="411" t="s">
        <v>1506</v>
      </c>
      <c r="D293" s="412"/>
      <c r="E293" s="408"/>
      <c r="F293" s="409"/>
      <c r="G293" s="397"/>
      <c r="H293" s="394"/>
      <c r="I293" s="162" t="s">
        <v>532</v>
      </c>
      <c r="J293" s="163"/>
      <c r="K293" s="164">
        <v>12</v>
      </c>
      <c r="L293" s="164">
        <v>6</v>
      </c>
      <c r="M293" s="164"/>
      <c r="N293" s="164"/>
      <c r="O293" s="164"/>
      <c r="P293" s="164"/>
      <c r="Q293" s="164"/>
      <c r="R293" s="164"/>
      <c r="S293" s="164"/>
      <c r="T293" s="164"/>
      <c r="U293" s="164"/>
      <c r="V293" s="164"/>
      <c r="W293" s="164"/>
      <c r="X293" s="164"/>
      <c r="Y293" s="164"/>
      <c r="Z293" s="164"/>
      <c r="AA293" s="164"/>
      <c r="AB293" s="164"/>
      <c r="AC293" s="164"/>
      <c r="AD293" s="164"/>
      <c r="AE293" s="164"/>
      <c r="AF293" s="164"/>
      <c r="AG293" s="164"/>
      <c r="AH293" s="164"/>
      <c r="AI293" s="164"/>
      <c r="AJ293" s="164"/>
      <c r="AK293" s="164"/>
      <c r="AL293" s="164"/>
      <c r="AM293" s="164"/>
      <c r="AN293" s="165"/>
      <c r="AO293" s="166">
        <f t="shared" si="110"/>
        <v>18</v>
      </c>
      <c r="AP293" s="12"/>
      <c r="AQ293" s="167">
        <f t="shared" si="115"/>
        <v>0</v>
      </c>
      <c r="AR293" s="12"/>
      <c r="AS293" s="167">
        <f t="shared" si="116"/>
        <v>0</v>
      </c>
      <c r="AT293" s="168">
        <f t="shared" si="117"/>
        <v>0</v>
      </c>
      <c r="AU293" s="167">
        <f t="shared" si="118"/>
        <v>0</v>
      </c>
    </row>
    <row r="294" spans="1:47" ht="34.5" customHeight="1" x14ac:dyDescent="0.25">
      <c r="A294" s="76"/>
      <c r="B294" s="169" t="s">
        <v>318</v>
      </c>
      <c r="C294" s="404" t="s">
        <v>1507</v>
      </c>
      <c r="D294" s="405"/>
      <c r="E294" s="400"/>
      <c r="F294" s="402"/>
      <c r="G294" s="398"/>
      <c r="H294" s="395"/>
      <c r="I294" s="173" t="s">
        <v>532</v>
      </c>
      <c r="J294" s="174"/>
      <c r="K294" s="175"/>
      <c r="L294" s="175"/>
      <c r="M294" s="175"/>
      <c r="N294" s="175"/>
      <c r="O294" s="175"/>
      <c r="P294" s="175"/>
      <c r="Q294" s="175"/>
      <c r="R294" s="175"/>
      <c r="S294" s="175"/>
      <c r="T294" s="175"/>
      <c r="U294" s="175"/>
      <c r="V294" s="175"/>
      <c r="W294" s="175"/>
      <c r="X294" s="175"/>
      <c r="Y294" s="175"/>
      <c r="Z294" s="175"/>
      <c r="AA294" s="175"/>
      <c r="AB294" s="175"/>
      <c r="AC294" s="175"/>
      <c r="AD294" s="175"/>
      <c r="AE294" s="175"/>
      <c r="AF294" s="175"/>
      <c r="AG294" s="175"/>
      <c r="AH294" s="175"/>
      <c r="AI294" s="175"/>
      <c r="AJ294" s="175"/>
      <c r="AK294" s="175"/>
      <c r="AL294" s="175"/>
      <c r="AM294" s="175"/>
      <c r="AN294" s="176"/>
      <c r="AO294" s="177">
        <f t="shared" si="110"/>
        <v>0</v>
      </c>
      <c r="AP294" s="14"/>
      <c r="AQ294" s="178">
        <f t="shared" si="115"/>
        <v>0</v>
      </c>
      <c r="AR294" s="14"/>
      <c r="AS294" s="178">
        <f t="shared" si="116"/>
        <v>0</v>
      </c>
      <c r="AT294" s="179">
        <f t="shared" si="117"/>
        <v>0</v>
      </c>
      <c r="AU294" s="178">
        <f t="shared" si="118"/>
        <v>0</v>
      </c>
    </row>
    <row r="295" spans="1:47" ht="30" customHeight="1" x14ac:dyDescent="0.25">
      <c r="A295" s="76"/>
      <c r="B295" s="148" t="s">
        <v>1509</v>
      </c>
      <c r="C295" s="406" t="s">
        <v>1517</v>
      </c>
      <c r="D295" s="407"/>
      <c r="E295" s="399" t="s">
        <v>1525</v>
      </c>
      <c r="F295" s="401" t="s">
        <v>1487</v>
      </c>
      <c r="G295" s="424" t="s">
        <v>1079</v>
      </c>
      <c r="H295" s="403" t="s">
        <v>1079</v>
      </c>
      <c r="I295" s="151" t="s">
        <v>532</v>
      </c>
      <c r="J295" s="152"/>
      <c r="K295" s="153"/>
      <c r="L295" s="153"/>
      <c r="M295" s="153"/>
      <c r="N295" s="153"/>
      <c r="O295" s="153"/>
      <c r="P295" s="153"/>
      <c r="Q295" s="153"/>
      <c r="R295" s="153"/>
      <c r="S295" s="153"/>
      <c r="T295" s="153"/>
      <c r="U295" s="153"/>
      <c r="V295" s="153"/>
      <c r="W295" s="153"/>
      <c r="X295" s="153"/>
      <c r="Y295" s="153"/>
      <c r="Z295" s="153"/>
      <c r="AA295" s="153"/>
      <c r="AB295" s="153"/>
      <c r="AC295" s="153"/>
      <c r="AD295" s="153"/>
      <c r="AE295" s="153"/>
      <c r="AF295" s="153"/>
      <c r="AG295" s="153"/>
      <c r="AH295" s="153"/>
      <c r="AI295" s="153"/>
      <c r="AJ295" s="153"/>
      <c r="AK295" s="153"/>
      <c r="AL295" s="153"/>
      <c r="AM295" s="153"/>
      <c r="AN295" s="154"/>
      <c r="AO295" s="155">
        <f t="shared" si="110"/>
        <v>0</v>
      </c>
      <c r="AP295" s="13"/>
      <c r="AQ295" s="156">
        <f t="shared" si="115"/>
        <v>0</v>
      </c>
      <c r="AR295" s="13"/>
      <c r="AS295" s="156">
        <f t="shared" si="116"/>
        <v>0</v>
      </c>
      <c r="AT295" s="157">
        <f t="shared" si="117"/>
        <v>0</v>
      </c>
      <c r="AU295" s="156">
        <f t="shared" si="118"/>
        <v>0</v>
      </c>
    </row>
    <row r="296" spans="1:47" ht="30" customHeight="1" x14ac:dyDescent="0.25">
      <c r="A296" s="76"/>
      <c r="B296" s="158" t="s">
        <v>1510</v>
      </c>
      <c r="C296" s="411" t="s">
        <v>1518</v>
      </c>
      <c r="D296" s="412"/>
      <c r="E296" s="408"/>
      <c r="F296" s="409"/>
      <c r="G296" s="397"/>
      <c r="H296" s="394"/>
      <c r="I296" s="162" t="s">
        <v>532</v>
      </c>
      <c r="J296" s="163"/>
      <c r="K296" s="164"/>
      <c r="L296" s="164"/>
      <c r="M296" s="164"/>
      <c r="N296" s="164"/>
      <c r="O296" s="164"/>
      <c r="P296" s="164"/>
      <c r="Q296" s="164"/>
      <c r="R296" s="164"/>
      <c r="S296" s="164"/>
      <c r="T296" s="164"/>
      <c r="U296" s="164"/>
      <c r="V296" s="164"/>
      <c r="W296" s="164"/>
      <c r="X296" s="164"/>
      <c r="Y296" s="164"/>
      <c r="Z296" s="164"/>
      <c r="AA296" s="164"/>
      <c r="AB296" s="164"/>
      <c r="AC296" s="164"/>
      <c r="AD296" s="164"/>
      <c r="AE296" s="164"/>
      <c r="AF296" s="164"/>
      <c r="AG296" s="164"/>
      <c r="AH296" s="164"/>
      <c r="AI296" s="164"/>
      <c r="AJ296" s="164"/>
      <c r="AK296" s="164"/>
      <c r="AL296" s="164"/>
      <c r="AM296" s="164"/>
      <c r="AN296" s="165"/>
      <c r="AO296" s="166">
        <f t="shared" si="110"/>
        <v>0</v>
      </c>
      <c r="AP296" s="12"/>
      <c r="AQ296" s="167">
        <f t="shared" si="115"/>
        <v>0</v>
      </c>
      <c r="AR296" s="12"/>
      <c r="AS296" s="167">
        <f t="shared" si="116"/>
        <v>0</v>
      </c>
      <c r="AT296" s="168">
        <f t="shared" si="117"/>
        <v>0</v>
      </c>
      <c r="AU296" s="167">
        <f t="shared" si="118"/>
        <v>0</v>
      </c>
    </row>
    <row r="297" spans="1:47" ht="30" customHeight="1" x14ac:dyDescent="0.25">
      <c r="A297" s="76"/>
      <c r="B297" s="158" t="s">
        <v>1511</v>
      </c>
      <c r="C297" s="411" t="s">
        <v>1519</v>
      </c>
      <c r="D297" s="412"/>
      <c r="E297" s="408"/>
      <c r="F297" s="409"/>
      <c r="G297" s="397"/>
      <c r="H297" s="394"/>
      <c r="I297" s="162" t="s">
        <v>532</v>
      </c>
      <c r="J297" s="163">
        <v>4</v>
      </c>
      <c r="K297" s="164">
        <v>3</v>
      </c>
      <c r="L297" s="164">
        <v>21</v>
      </c>
      <c r="M297" s="164"/>
      <c r="N297" s="164"/>
      <c r="O297" s="164"/>
      <c r="P297" s="164"/>
      <c r="Q297" s="164"/>
      <c r="R297" s="164"/>
      <c r="S297" s="164"/>
      <c r="T297" s="164"/>
      <c r="U297" s="164"/>
      <c r="V297" s="164"/>
      <c r="W297" s="164"/>
      <c r="X297" s="164"/>
      <c r="Y297" s="164"/>
      <c r="Z297" s="164"/>
      <c r="AA297" s="164"/>
      <c r="AB297" s="164"/>
      <c r="AC297" s="164"/>
      <c r="AD297" s="164"/>
      <c r="AE297" s="164"/>
      <c r="AF297" s="164"/>
      <c r="AG297" s="164"/>
      <c r="AH297" s="164"/>
      <c r="AI297" s="164"/>
      <c r="AJ297" s="164"/>
      <c r="AK297" s="164"/>
      <c r="AL297" s="164"/>
      <c r="AM297" s="164"/>
      <c r="AN297" s="165"/>
      <c r="AO297" s="166">
        <f t="shared" si="110"/>
        <v>28</v>
      </c>
      <c r="AP297" s="12"/>
      <c r="AQ297" s="167">
        <f t="shared" ref="AQ297" si="119">+AP297*AO297</f>
        <v>0</v>
      </c>
      <c r="AR297" s="12"/>
      <c r="AS297" s="167">
        <f t="shared" ref="AS297" si="120">+AR297*AO297</f>
        <v>0</v>
      </c>
      <c r="AT297" s="168">
        <f t="shared" ref="AT297" si="121">+AR297+AP297</f>
        <v>0</v>
      </c>
      <c r="AU297" s="167">
        <f t="shared" ref="AU297" si="122">+AT297*AO297</f>
        <v>0</v>
      </c>
    </row>
    <row r="298" spans="1:47" ht="30" customHeight="1" x14ac:dyDescent="0.25">
      <c r="A298" s="76"/>
      <c r="B298" s="158" t="s">
        <v>1512</v>
      </c>
      <c r="C298" s="411" t="s">
        <v>1520</v>
      </c>
      <c r="D298" s="412"/>
      <c r="E298" s="408"/>
      <c r="F298" s="409"/>
      <c r="G298" s="397"/>
      <c r="H298" s="394"/>
      <c r="I298" s="162" t="s">
        <v>532</v>
      </c>
      <c r="J298" s="163">
        <v>8</v>
      </c>
      <c r="K298" s="164">
        <v>6</v>
      </c>
      <c r="L298" s="164">
        <v>9</v>
      </c>
      <c r="M298" s="164"/>
      <c r="N298" s="164"/>
      <c r="O298" s="164"/>
      <c r="P298" s="164"/>
      <c r="Q298" s="164"/>
      <c r="R298" s="164"/>
      <c r="S298" s="164"/>
      <c r="T298" s="164"/>
      <c r="U298" s="164"/>
      <c r="V298" s="164"/>
      <c r="W298" s="164"/>
      <c r="X298" s="164"/>
      <c r="Y298" s="164"/>
      <c r="Z298" s="164"/>
      <c r="AA298" s="164"/>
      <c r="AB298" s="164"/>
      <c r="AC298" s="164"/>
      <c r="AD298" s="164"/>
      <c r="AE298" s="164"/>
      <c r="AF298" s="164"/>
      <c r="AG298" s="164"/>
      <c r="AH298" s="164"/>
      <c r="AI298" s="164"/>
      <c r="AJ298" s="164"/>
      <c r="AK298" s="164"/>
      <c r="AL298" s="164"/>
      <c r="AM298" s="164"/>
      <c r="AN298" s="165"/>
      <c r="AO298" s="166">
        <f t="shared" si="110"/>
        <v>23</v>
      </c>
      <c r="AP298" s="12"/>
      <c r="AQ298" s="167">
        <f t="shared" si="115"/>
        <v>0</v>
      </c>
      <c r="AR298" s="12"/>
      <c r="AS298" s="167">
        <f t="shared" si="116"/>
        <v>0</v>
      </c>
      <c r="AT298" s="168">
        <f t="shared" si="117"/>
        <v>0</v>
      </c>
      <c r="AU298" s="167">
        <f t="shared" si="118"/>
        <v>0</v>
      </c>
    </row>
    <row r="299" spans="1:47" ht="30" customHeight="1" x14ac:dyDescent="0.25">
      <c r="A299" s="76"/>
      <c r="B299" s="158" t="s">
        <v>1513</v>
      </c>
      <c r="C299" s="411" t="s">
        <v>1521</v>
      </c>
      <c r="D299" s="412"/>
      <c r="E299" s="408"/>
      <c r="F299" s="409"/>
      <c r="G299" s="397"/>
      <c r="H299" s="394"/>
      <c r="I299" s="162" t="s">
        <v>532</v>
      </c>
      <c r="J299" s="163"/>
      <c r="K299" s="164">
        <v>6</v>
      </c>
      <c r="L299" s="164">
        <v>3</v>
      </c>
      <c r="M299" s="164"/>
      <c r="N299" s="164"/>
      <c r="O299" s="164"/>
      <c r="P299" s="164"/>
      <c r="Q299" s="164"/>
      <c r="R299" s="164"/>
      <c r="S299" s="164"/>
      <c r="T299" s="164"/>
      <c r="U299" s="164"/>
      <c r="V299" s="164"/>
      <c r="W299" s="164"/>
      <c r="X299" s="164"/>
      <c r="Y299" s="164"/>
      <c r="Z299" s="164"/>
      <c r="AA299" s="164"/>
      <c r="AB299" s="164"/>
      <c r="AC299" s="164"/>
      <c r="AD299" s="164"/>
      <c r="AE299" s="164"/>
      <c r="AF299" s="164"/>
      <c r="AG299" s="164"/>
      <c r="AH299" s="164"/>
      <c r="AI299" s="164"/>
      <c r="AJ299" s="164"/>
      <c r="AK299" s="164"/>
      <c r="AL299" s="164"/>
      <c r="AM299" s="164"/>
      <c r="AN299" s="165"/>
      <c r="AO299" s="166">
        <f t="shared" si="110"/>
        <v>9</v>
      </c>
      <c r="AP299" s="12"/>
      <c r="AQ299" s="167">
        <f t="shared" si="115"/>
        <v>0</v>
      </c>
      <c r="AR299" s="12"/>
      <c r="AS299" s="167">
        <f t="shared" si="116"/>
        <v>0</v>
      </c>
      <c r="AT299" s="168">
        <f t="shared" si="117"/>
        <v>0</v>
      </c>
      <c r="AU299" s="167">
        <f t="shared" si="118"/>
        <v>0</v>
      </c>
    </row>
    <row r="300" spans="1:47" ht="30" customHeight="1" x14ac:dyDescent="0.25">
      <c r="A300" s="76"/>
      <c r="B300" s="158" t="s">
        <v>1514</v>
      </c>
      <c r="C300" s="411" t="s">
        <v>1522</v>
      </c>
      <c r="D300" s="412"/>
      <c r="E300" s="408"/>
      <c r="F300" s="409"/>
      <c r="G300" s="397"/>
      <c r="H300" s="394"/>
      <c r="I300" s="162" t="s">
        <v>532</v>
      </c>
      <c r="J300" s="163"/>
      <c r="K300" s="164"/>
      <c r="L300" s="164"/>
      <c r="M300" s="164"/>
      <c r="N300" s="164"/>
      <c r="O300" s="164"/>
      <c r="P300" s="164"/>
      <c r="Q300" s="164"/>
      <c r="R300" s="164"/>
      <c r="S300" s="164"/>
      <c r="T300" s="164"/>
      <c r="U300" s="164"/>
      <c r="V300" s="164"/>
      <c r="W300" s="164"/>
      <c r="X300" s="164"/>
      <c r="Y300" s="164"/>
      <c r="Z300" s="164"/>
      <c r="AA300" s="164"/>
      <c r="AB300" s="164"/>
      <c r="AC300" s="164"/>
      <c r="AD300" s="164"/>
      <c r="AE300" s="164"/>
      <c r="AF300" s="164"/>
      <c r="AG300" s="164"/>
      <c r="AH300" s="164"/>
      <c r="AI300" s="164"/>
      <c r="AJ300" s="164"/>
      <c r="AK300" s="164"/>
      <c r="AL300" s="164"/>
      <c r="AM300" s="164"/>
      <c r="AN300" s="165"/>
      <c r="AO300" s="166">
        <f t="shared" si="110"/>
        <v>0</v>
      </c>
      <c r="AP300" s="12"/>
      <c r="AQ300" s="167">
        <f t="shared" si="115"/>
        <v>0</v>
      </c>
      <c r="AR300" s="12"/>
      <c r="AS300" s="167">
        <f t="shared" si="116"/>
        <v>0</v>
      </c>
      <c r="AT300" s="168">
        <f t="shared" si="117"/>
        <v>0</v>
      </c>
      <c r="AU300" s="167">
        <f t="shared" si="118"/>
        <v>0</v>
      </c>
    </row>
    <row r="301" spans="1:47" ht="30" customHeight="1" x14ac:dyDescent="0.25">
      <c r="A301" s="76"/>
      <c r="B301" s="158" t="s">
        <v>1515</v>
      </c>
      <c r="C301" s="411" t="s">
        <v>1523</v>
      </c>
      <c r="D301" s="412"/>
      <c r="E301" s="408"/>
      <c r="F301" s="409"/>
      <c r="G301" s="397"/>
      <c r="H301" s="394"/>
      <c r="I301" s="162" t="s">
        <v>532</v>
      </c>
      <c r="J301" s="163"/>
      <c r="K301" s="164"/>
      <c r="L301" s="164"/>
      <c r="M301" s="164"/>
      <c r="N301" s="164"/>
      <c r="O301" s="164"/>
      <c r="P301" s="164"/>
      <c r="Q301" s="164"/>
      <c r="R301" s="164"/>
      <c r="S301" s="164"/>
      <c r="T301" s="164"/>
      <c r="U301" s="164"/>
      <c r="V301" s="164"/>
      <c r="W301" s="164"/>
      <c r="X301" s="164"/>
      <c r="Y301" s="164"/>
      <c r="Z301" s="164"/>
      <c r="AA301" s="164"/>
      <c r="AB301" s="164"/>
      <c r="AC301" s="164"/>
      <c r="AD301" s="164"/>
      <c r="AE301" s="164"/>
      <c r="AF301" s="164"/>
      <c r="AG301" s="164"/>
      <c r="AH301" s="164"/>
      <c r="AI301" s="164"/>
      <c r="AJ301" s="164"/>
      <c r="AK301" s="164"/>
      <c r="AL301" s="164"/>
      <c r="AM301" s="164"/>
      <c r="AN301" s="165"/>
      <c r="AO301" s="166">
        <f t="shared" si="110"/>
        <v>0</v>
      </c>
      <c r="AP301" s="12"/>
      <c r="AQ301" s="167">
        <f t="shared" si="115"/>
        <v>0</v>
      </c>
      <c r="AR301" s="12"/>
      <c r="AS301" s="167">
        <f t="shared" si="116"/>
        <v>0</v>
      </c>
      <c r="AT301" s="168">
        <f t="shared" si="117"/>
        <v>0</v>
      </c>
      <c r="AU301" s="167">
        <f t="shared" si="118"/>
        <v>0</v>
      </c>
    </row>
    <row r="302" spans="1:47" ht="30" customHeight="1" x14ac:dyDescent="0.25">
      <c r="A302" s="76"/>
      <c r="B302" s="169" t="s">
        <v>1516</v>
      </c>
      <c r="C302" s="404" t="s">
        <v>1524</v>
      </c>
      <c r="D302" s="405"/>
      <c r="E302" s="400"/>
      <c r="F302" s="402"/>
      <c r="G302" s="398"/>
      <c r="H302" s="395"/>
      <c r="I302" s="173" t="s">
        <v>532</v>
      </c>
      <c r="J302" s="174"/>
      <c r="K302" s="175"/>
      <c r="L302" s="175"/>
      <c r="M302" s="175"/>
      <c r="N302" s="175"/>
      <c r="O302" s="175"/>
      <c r="P302" s="175"/>
      <c r="Q302" s="175"/>
      <c r="R302" s="175"/>
      <c r="S302" s="175"/>
      <c r="T302" s="175"/>
      <c r="U302" s="175"/>
      <c r="V302" s="175"/>
      <c r="W302" s="175"/>
      <c r="X302" s="175"/>
      <c r="Y302" s="175"/>
      <c r="Z302" s="175"/>
      <c r="AA302" s="175"/>
      <c r="AB302" s="175"/>
      <c r="AC302" s="175"/>
      <c r="AD302" s="175"/>
      <c r="AE302" s="175"/>
      <c r="AF302" s="175"/>
      <c r="AG302" s="175"/>
      <c r="AH302" s="175"/>
      <c r="AI302" s="175"/>
      <c r="AJ302" s="175"/>
      <c r="AK302" s="175"/>
      <c r="AL302" s="175"/>
      <c r="AM302" s="175"/>
      <c r="AN302" s="176"/>
      <c r="AO302" s="177">
        <f t="shared" si="110"/>
        <v>0</v>
      </c>
      <c r="AP302" s="14"/>
      <c r="AQ302" s="178">
        <f t="shared" si="115"/>
        <v>0</v>
      </c>
      <c r="AR302" s="14"/>
      <c r="AS302" s="178">
        <f t="shared" si="116"/>
        <v>0</v>
      </c>
      <c r="AT302" s="179">
        <f t="shared" si="117"/>
        <v>0</v>
      </c>
      <c r="AU302" s="178">
        <f t="shared" si="118"/>
        <v>0</v>
      </c>
    </row>
    <row r="303" spans="1:47" ht="96" customHeight="1" x14ac:dyDescent="0.25">
      <c r="A303" s="76"/>
      <c r="B303" s="37" t="s">
        <v>1526</v>
      </c>
      <c r="C303" s="276" t="s">
        <v>1527</v>
      </c>
      <c r="D303" s="278"/>
      <c r="E303" s="188" t="s">
        <v>1528</v>
      </c>
      <c r="F303" s="189" t="s">
        <v>1529</v>
      </c>
      <c r="G303" s="190" t="s">
        <v>1079</v>
      </c>
      <c r="H303" s="191" t="s">
        <v>1079</v>
      </c>
      <c r="I303" s="41" t="s">
        <v>532</v>
      </c>
      <c r="J303" s="136"/>
      <c r="K303" s="137">
        <v>15</v>
      </c>
      <c r="L303" s="137">
        <v>5</v>
      </c>
      <c r="M303" s="137"/>
      <c r="N303" s="137"/>
      <c r="O303" s="137"/>
      <c r="P303" s="137"/>
      <c r="Q303" s="137"/>
      <c r="R303" s="137"/>
      <c r="S303" s="137"/>
      <c r="T303" s="137"/>
      <c r="U303" s="137"/>
      <c r="V303" s="137"/>
      <c r="W303" s="137"/>
      <c r="X303" s="137"/>
      <c r="Y303" s="137"/>
      <c r="Z303" s="137"/>
      <c r="AA303" s="137"/>
      <c r="AB303" s="137"/>
      <c r="AC303" s="137"/>
      <c r="AD303" s="137"/>
      <c r="AE303" s="137"/>
      <c r="AF303" s="137"/>
      <c r="AG303" s="137"/>
      <c r="AH303" s="137"/>
      <c r="AI303" s="137"/>
      <c r="AJ303" s="137"/>
      <c r="AK303" s="137"/>
      <c r="AL303" s="137"/>
      <c r="AM303" s="137"/>
      <c r="AN303" s="138"/>
      <c r="AO303" s="42">
        <f t="shared" si="110"/>
        <v>20</v>
      </c>
      <c r="AP303" s="1"/>
      <c r="AQ303" s="43">
        <f t="shared" ref="AQ303:AQ305" si="123">+AP303*AO303</f>
        <v>0</v>
      </c>
      <c r="AR303" s="1"/>
      <c r="AS303" s="43">
        <f t="shared" ref="AS303:AS305" si="124">+AR303*AO303</f>
        <v>0</v>
      </c>
      <c r="AT303" s="44">
        <f t="shared" ref="AT303:AT305" si="125">+AR303+AP303</f>
        <v>0</v>
      </c>
      <c r="AU303" s="43">
        <f t="shared" ref="AU303:AU305" si="126">+AT303*AO303</f>
        <v>0</v>
      </c>
    </row>
    <row r="304" spans="1:47" ht="30" customHeight="1" x14ac:dyDescent="0.25">
      <c r="A304" s="76"/>
      <c r="B304" s="148" t="s">
        <v>1530</v>
      </c>
      <c r="C304" s="406" t="s">
        <v>1541</v>
      </c>
      <c r="D304" s="407"/>
      <c r="E304" s="399" t="s">
        <v>1540</v>
      </c>
      <c r="F304" s="401" t="s">
        <v>1487</v>
      </c>
      <c r="G304" s="424" t="s">
        <v>1079</v>
      </c>
      <c r="H304" s="403" t="s">
        <v>1079</v>
      </c>
      <c r="I304" s="151" t="s">
        <v>532</v>
      </c>
      <c r="J304" s="152"/>
      <c r="K304" s="153"/>
      <c r="L304" s="153"/>
      <c r="M304" s="153"/>
      <c r="N304" s="153"/>
      <c r="O304" s="153"/>
      <c r="P304" s="153"/>
      <c r="Q304" s="153"/>
      <c r="R304" s="153"/>
      <c r="S304" s="153"/>
      <c r="T304" s="153"/>
      <c r="U304" s="153"/>
      <c r="V304" s="153"/>
      <c r="W304" s="153"/>
      <c r="X304" s="153"/>
      <c r="Y304" s="153"/>
      <c r="Z304" s="153"/>
      <c r="AA304" s="153"/>
      <c r="AB304" s="153"/>
      <c r="AC304" s="153"/>
      <c r="AD304" s="153"/>
      <c r="AE304" s="153"/>
      <c r="AF304" s="153"/>
      <c r="AG304" s="153"/>
      <c r="AH304" s="153"/>
      <c r="AI304" s="153"/>
      <c r="AJ304" s="153"/>
      <c r="AK304" s="153"/>
      <c r="AL304" s="153"/>
      <c r="AM304" s="153"/>
      <c r="AN304" s="154"/>
      <c r="AO304" s="155">
        <f t="shared" si="110"/>
        <v>0</v>
      </c>
      <c r="AP304" s="13"/>
      <c r="AQ304" s="156">
        <f t="shared" si="123"/>
        <v>0</v>
      </c>
      <c r="AR304" s="13"/>
      <c r="AS304" s="156">
        <f t="shared" si="124"/>
        <v>0</v>
      </c>
      <c r="AT304" s="157">
        <f t="shared" si="125"/>
        <v>0</v>
      </c>
      <c r="AU304" s="156">
        <f t="shared" si="126"/>
        <v>0</v>
      </c>
    </row>
    <row r="305" spans="1:47" ht="30" customHeight="1" x14ac:dyDescent="0.25">
      <c r="A305" s="76"/>
      <c r="B305" s="158" t="s">
        <v>1531</v>
      </c>
      <c r="C305" s="411" t="s">
        <v>1542</v>
      </c>
      <c r="D305" s="412"/>
      <c r="E305" s="408"/>
      <c r="F305" s="409"/>
      <c r="G305" s="397"/>
      <c r="H305" s="394"/>
      <c r="I305" s="162" t="s">
        <v>38</v>
      </c>
      <c r="J305" s="163"/>
      <c r="K305" s="164">
        <v>10</v>
      </c>
      <c r="L305" s="164">
        <v>3</v>
      </c>
      <c r="M305" s="164"/>
      <c r="N305" s="164"/>
      <c r="O305" s="164"/>
      <c r="P305" s="164"/>
      <c r="Q305" s="164"/>
      <c r="R305" s="164"/>
      <c r="S305" s="164"/>
      <c r="T305" s="164"/>
      <c r="U305" s="164"/>
      <c r="V305" s="164"/>
      <c r="W305" s="164"/>
      <c r="X305" s="164"/>
      <c r="Y305" s="164"/>
      <c r="Z305" s="164"/>
      <c r="AA305" s="164"/>
      <c r="AB305" s="164"/>
      <c r="AC305" s="164"/>
      <c r="AD305" s="164"/>
      <c r="AE305" s="164"/>
      <c r="AF305" s="164"/>
      <c r="AG305" s="164"/>
      <c r="AH305" s="164"/>
      <c r="AI305" s="164"/>
      <c r="AJ305" s="164"/>
      <c r="AK305" s="164"/>
      <c r="AL305" s="164"/>
      <c r="AM305" s="164"/>
      <c r="AN305" s="165"/>
      <c r="AO305" s="166">
        <f t="shared" si="110"/>
        <v>13</v>
      </c>
      <c r="AP305" s="12"/>
      <c r="AQ305" s="167">
        <f t="shared" si="123"/>
        <v>0</v>
      </c>
      <c r="AR305" s="12"/>
      <c r="AS305" s="167">
        <f t="shared" si="124"/>
        <v>0</v>
      </c>
      <c r="AT305" s="168">
        <f t="shared" si="125"/>
        <v>0</v>
      </c>
      <c r="AU305" s="167">
        <f t="shared" si="126"/>
        <v>0</v>
      </c>
    </row>
    <row r="306" spans="1:47" ht="30" customHeight="1" x14ac:dyDescent="0.25">
      <c r="A306" s="76"/>
      <c r="B306" s="158" t="s">
        <v>1532</v>
      </c>
      <c r="C306" s="411" t="s">
        <v>1543</v>
      </c>
      <c r="D306" s="412"/>
      <c r="E306" s="408"/>
      <c r="F306" s="409"/>
      <c r="G306" s="397"/>
      <c r="H306" s="394"/>
      <c r="I306" s="162" t="s">
        <v>38</v>
      </c>
      <c r="J306" s="163"/>
      <c r="K306" s="164"/>
      <c r="L306" s="164"/>
      <c r="M306" s="164"/>
      <c r="N306" s="164"/>
      <c r="O306" s="164"/>
      <c r="P306" s="164"/>
      <c r="Q306" s="164"/>
      <c r="R306" s="164"/>
      <c r="S306" s="164"/>
      <c r="T306" s="164"/>
      <c r="U306" s="164"/>
      <c r="V306" s="164"/>
      <c r="W306" s="164"/>
      <c r="X306" s="164"/>
      <c r="Y306" s="164"/>
      <c r="Z306" s="164"/>
      <c r="AA306" s="164"/>
      <c r="AB306" s="164"/>
      <c r="AC306" s="164"/>
      <c r="AD306" s="164"/>
      <c r="AE306" s="164"/>
      <c r="AF306" s="164"/>
      <c r="AG306" s="164"/>
      <c r="AH306" s="164"/>
      <c r="AI306" s="164"/>
      <c r="AJ306" s="164"/>
      <c r="AK306" s="164"/>
      <c r="AL306" s="164"/>
      <c r="AM306" s="164"/>
      <c r="AN306" s="165"/>
      <c r="AO306" s="166">
        <f t="shared" si="110"/>
        <v>0</v>
      </c>
      <c r="AP306" s="12"/>
      <c r="AQ306" s="167">
        <f t="shared" ref="AQ306:AQ313" si="127">+AP306*AO306</f>
        <v>0</v>
      </c>
      <c r="AR306" s="12"/>
      <c r="AS306" s="167">
        <f t="shared" ref="AS306:AS313" si="128">+AR306*AO306</f>
        <v>0</v>
      </c>
      <c r="AT306" s="168">
        <f t="shared" ref="AT306:AT313" si="129">+AR306+AP306</f>
        <v>0</v>
      </c>
      <c r="AU306" s="167">
        <f t="shared" ref="AU306:AU313" si="130">+AT306*AO306</f>
        <v>0</v>
      </c>
    </row>
    <row r="307" spans="1:47" ht="30" customHeight="1" x14ac:dyDescent="0.25">
      <c r="A307" s="76"/>
      <c r="B307" s="158" t="s">
        <v>1533</v>
      </c>
      <c r="C307" s="411" t="s">
        <v>1544</v>
      </c>
      <c r="D307" s="412"/>
      <c r="E307" s="408"/>
      <c r="F307" s="409"/>
      <c r="G307" s="397"/>
      <c r="H307" s="394"/>
      <c r="I307" s="162" t="s">
        <v>38</v>
      </c>
      <c r="J307" s="163"/>
      <c r="K307" s="164"/>
      <c r="L307" s="164"/>
      <c r="M307" s="164"/>
      <c r="N307" s="164"/>
      <c r="O307" s="164"/>
      <c r="P307" s="164"/>
      <c r="Q307" s="164"/>
      <c r="R307" s="164"/>
      <c r="S307" s="164"/>
      <c r="T307" s="164"/>
      <c r="U307" s="164"/>
      <c r="V307" s="164"/>
      <c r="W307" s="164"/>
      <c r="X307" s="164"/>
      <c r="Y307" s="164"/>
      <c r="Z307" s="164"/>
      <c r="AA307" s="164"/>
      <c r="AB307" s="164"/>
      <c r="AC307" s="164"/>
      <c r="AD307" s="164"/>
      <c r="AE307" s="164"/>
      <c r="AF307" s="164"/>
      <c r="AG307" s="164"/>
      <c r="AH307" s="164"/>
      <c r="AI307" s="164"/>
      <c r="AJ307" s="164"/>
      <c r="AK307" s="164"/>
      <c r="AL307" s="164"/>
      <c r="AM307" s="164"/>
      <c r="AN307" s="165"/>
      <c r="AO307" s="166">
        <f t="shared" si="110"/>
        <v>0</v>
      </c>
      <c r="AP307" s="12"/>
      <c r="AQ307" s="167">
        <f t="shared" si="127"/>
        <v>0</v>
      </c>
      <c r="AR307" s="12"/>
      <c r="AS307" s="167">
        <f t="shared" si="128"/>
        <v>0</v>
      </c>
      <c r="AT307" s="168">
        <f t="shared" si="129"/>
        <v>0</v>
      </c>
      <c r="AU307" s="167">
        <f t="shared" si="130"/>
        <v>0</v>
      </c>
    </row>
    <row r="308" spans="1:47" ht="30" customHeight="1" x14ac:dyDescent="0.25">
      <c r="A308" s="76"/>
      <c r="B308" s="158" t="s">
        <v>1534</v>
      </c>
      <c r="C308" s="411" t="s">
        <v>1545</v>
      </c>
      <c r="D308" s="412"/>
      <c r="E308" s="408"/>
      <c r="F308" s="409"/>
      <c r="G308" s="397"/>
      <c r="H308" s="394"/>
      <c r="I308" s="162" t="s">
        <v>38</v>
      </c>
      <c r="J308" s="163"/>
      <c r="K308" s="164"/>
      <c r="L308" s="164"/>
      <c r="M308" s="164"/>
      <c r="N308" s="164"/>
      <c r="O308" s="164"/>
      <c r="P308" s="164"/>
      <c r="Q308" s="164"/>
      <c r="R308" s="164"/>
      <c r="S308" s="164"/>
      <c r="T308" s="164"/>
      <c r="U308" s="164"/>
      <c r="V308" s="164"/>
      <c r="W308" s="164"/>
      <c r="X308" s="164"/>
      <c r="Y308" s="164"/>
      <c r="Z308" s="164"/>
      <c r="AA308" s="164"/>
      <c r="AB308" s="164"/>
      <c r="AC308" s="164"/>
      <c r="AD308" s="164"/>
      <c r="AE308" s="164"/>
      <c r="AF308" s="164"/>
      <c r="AG308" s="164"/>
      <c r="AH308" s="164"/>
      <c r="AI308" s="164"/>
      <c r="AJ308" s="164"/>
      <c r="AK308" s="164"/>
      <c r="AL308" s="164"/>
      <c r="AM308" s="164"/>
      <c r="AN308" s="165"/>
      <c r="AO308" s="166">
        <f t="shared" si="110"/>
        <v>0</v>
      </c>
      <c r="AP308" s="12"/>
      <c r="AQ308" s="167">
        <f t="shared" si="127"/>
        <v>0</v>
      </c>
      <c r="AR308" s="12"/>
      <c r="AS308" s="167">
        <f t="shared" si="128"/>
        <v>0</v>
      </c>
      <c r="AT308" s="168">
        <f t="shared" si="129"/>
        <v>0</v>
      </c>
      <c r="AU308" s="167">
        <f t="shared" si="130"/>
        <v>0</v>
      </c>
    </row>
    <row r="309" spans="1:47" ht="30" customHeight="1" x14ac:dyDescent="0.25">
      <c r="A309" s="76"/>
      <c r="B309" s="158" t="s">
        <v>1535</v>
      </c>
      <c r="C309" s="411" t="s">
        <v>1546</v>
      </c>
      <c r="D309" s="412"/>
      <c r="E309" s="408"/>
      <c r="F309" s="409"/>
      <c r="G309" s="397"/>
      <c r="H309" s="394"/>
      <c r="I309" s="162" t="s">
        <v>38</v>
      </c>
      <c r="J309" s="163"/>
      <c r="K309" s="164"/>
      <c r="L309" s="164"/>
      <c r="M309" s="164"/>
      <c r="N309" s="164"/>
      <c r="O309" s="164"/>
      <c r="P309" s="164"/>
      <c r="Q309" s="164"/>
      <c r="R309" s="164"/>
      <c r="S309" s="164"/>
      <c r="T309" s="164"/>
      <c r="U309" s="164"/>
      <c r="V309" s="164"/>
      <c r="W309" s="164"/>
      <c r="X309" s="164"/>
      <c r="Y309" s="164"/>
      <c r="Z309" s="164"/>
      <c r="AA309" s="164"/>
      <c r="AB309" s="164"/>
      <c r="AC309" s="164"/>
      <c r="AD309" s="164"/>
      <c r="AE309" s="164"/>
      <c r="AF309" s="164"/>
      <c r="AG309" s="164"/>
      <c r="AH309" s="164"/>
      <c r="AI309" s="164"/>
      <c r="AJ309" s="164"/>
      <c r="AK309" s="164"/>
      <c r="AL309" s="164"/>
      <c r="AM309" s="164"/>
      <c r="AN309" s="165"/>
      <c r="AO309" s="166">
        <f t="shared" si="110"/>
        <v>0</v>
      </c>
      <c r="AP309" s="12"/>
      <c r="AQ309" s="167">
        <f t="shared" si="127"/>
        <v>0</v>
      </c>
      <c r="AR309" s="12"/>
      <c r="AS309" s="167">
        <f t="shared" si="128"/>
        <v>0</v>
      </c>
      <c r="AT309" s="168">
        <f t="shared" si="129"/>
        <v>0</v>
      </c>
      <c r="AU309" s="167">
        <f t="shared" si="130"/>
        <v>0</v>
      </c>
    </row>
    <row r="310" spans="1:47" ht="30" customHeight="1" x14ac:dyDescent="0.25">
      <c r="A310" s="76"/>
      <c r="B310" s="158" t="s">
        <v>1536</v>
      </c>
      <c r="C310" s="411" t="s">
        <v>1547</v>
      </c>
      <c r="D310" s="412"/>
      <c r="E310" s="408"/>
      <c r="F310" s="409"/>
      <c r="G310" s="397"/>
      <c r="H310" s="394"/>
      <c r="I310" s="162" t="s">
        <v>38</v>
      </c>
      <c r="J310" s="163"/>
      <c r="K310" s="164"/>
      <c r="L310" s="164"/>
      <c r="M310" s="164"/>
      <c r="N310" s="164"/>
      <c r="O310" s="164"/>
      <c r="P310" s="164"/>
      <c r="Q310" s="164"/>
      <c r="R310" s="164"/>
      <c r="S310" s="164"/>
      <c r="T310" s="164"/>
      <c r="U310" s="164"/>
      <c r="V310" s="164"/>
      <c r="W310" s="164"/>
      <c r="X310" s="164"/>
      <c r="Y310" s="164"/>
      <c r="Z310" s="164"/>
      <c r="AA310" s="164"/>
      <c r="AB310" s="164"/>
      <c r="AC310" s="164"/>
      <c r="AD310" s="164"/>
      <c r="AE310" s="164"/>
      <c r="AF310" s="164"/>
      <c r="AG310" s="164"/>
      <c r="AH310" s="164"/>
      <c r="AI310" s="164"/>
      <c r="AJ310" s="164"/>
      <c r="AK310" s="164"/>
      <c r="AL310" s="164"/>
      <c r="AM310" s="164"/>
      <c r="AN310" s="165"/>
      <c r="AO310" s="166">
        <f t="shared" si="110"/>
        <v>0</v>
      </c>
      <c r="AP310" s="12"/>
      <c r="AQ310" s="167">
        <f t="shared" si="127"/>
        <v>0</v>
      </c>
      <c r="AR310" s="12"/>
      <c r="AS310" s="167">
        <f t="shared" si="128"/>
        <v>0</v>
      </c>
      <c r="AT310" s="168">
        <f t="shared" si="129"/>
        <v>0</v>
      </c>
      <c r="AU310" s="167">
        <f t="shared" si="130"/>
        <v>0</v>
      </c>
    </row>
    <row r="311" spans="1:47" ht="30" customHeight="1" x14ac:dyDescent="0.25">
      <c r="A311" s="76"/>
      <c r="B311" s="158" t="s">
        <v>1537</v>
      </c>
      <c r="C311" s="411" t="s">
        <v>1548</v>
      </c>
      <c r="D311" s="412"/>
      <c r="E311" s="408"/>
      <c r="F311" s="409"/>
      <c r="G311" s="397"/>
      <c r="H311" s="394"/>
      <c r="I311" s="162" t="s">
        <v>38</v>
      </c>
      <c r="J311" s="163"/>
      <c r="K311" s="164"/>
      <c r="L311" s="164"/>
      <c r="M311" s="164"/>
      <c r="N311" s="164"/>
      <c r="O311" s="164"/>
      <c r="P311" s="164"/>
      <c r="Q311" s="164"/>
      <c r="R311" s="164"/>
      <c r="S311" s="164"/>
      <c r="T311" s="164"/>
      <c r="U311" s="164"/>
      <c r="V311" s="164"/>
      <c r="W311" s="164"/>
      <c r="X311" s="164"/>
      <c r="Y311" s="164"/>
      <c r="Z311" s="164"/>
      <c r="AA311" s="164"/>
      <c r="AB311" s="164"/>
      <c r="AC311" s="164"/>
      <c r="AD311" s="164"/>
      <c r="AE311" s="164"/>
      <c r="AF311" s="164"/>
      <c r="AG311" s="164"/>
      <c r="AH311" s="164"/>
      <c r="AI311" s="164"/>
      <c r="AJ311" s="164"/>
      <c r="AK311" s="164"/>
      <c r="AL311" s="164"/>
      <c r="AM311" s="164"/>
      <c r="AN311" s="165"/>
      <c r="AO311" s="166">
        <f t="shared" si="110"/>
        <v>0</v>
      </c>
      <c r="AP311" s="12"/>
      <c r="AQ311" s="167">
        <f t="shared" si="127"/>
        <v>0</v>
      </c>
      <c r="AR311" s="12"/>
      <c r="AS311" s="167">
        <f t="shared" si="128"/>
        <v>0</v>
      </c>
      <c r="AT311" s="168">
        <f t="shared" si="129"/>
        <v>0</v>
      </c>
      <c r="AU311" s="167">
        <f t="shared" si="130"/>
        <v>0</v>
      </c>
    </row>
    <row r="312" spans="1:47" ht="30" customHeight="1" x14ac:dyDescent="0.25">
      <c r="A312" s="76"/>
      <c r="B312" s="158" t="s">
        <v>1538</v>
      </c>
      <c r="C312" s="411" t="s">
        <v>1549</v>
      </c>
      <c r="D312" s="412"/>
      <c r="E312" s="408"/>
      <c r="F312" s="409"/>
      <c r="G312" s="397"/>
      <c r="H312" s="394"/>
      <c r="I312" s="162" t="s">
        <v>38</v>
      </c>
      <c r="J312" s="163"/>
      <c r="K312" s="164"/>
      <c r="L312" s="164"/>
      <c r="M312" s="164"/>
      <c r="N312" s="164"/>
      <c r="O312" s="164"/>
      <c r="P312" s="164"/>
      <c r="Q312" s="164"/>
      <c r="R312" s="164"/>
      <c r="S312" s="164"/>
      <c r="T312" s="164"/>
      <c r="U312" s="164"/>
      <c r="V312" s="164"/>
      <c r="W312" s="164"/>
      <c r="X312" s="164"/>
      <c r="Y312" s="164"/>
      <c r="Z312" s="164"/>
      <c r="AA312" s="164"/>
      <c r="AB312" s="164"/>
      <c r="AC312" s="164"/>
      <c r="AD312" s="164"/>
      <c r="AE312" s="164"/>
      <c r="AF312" s="164"/>
      <c r="AG312" s="164"/>
      <c r="AH312" s="164"/>
      <c r="AI312" s="164"/>
      <c r="AJ312" s="164"/>
      <c r="AK312" s="164"/>
      <c r="AL312" s="164"/>
      <c r="AM312" s="164"/>
      <c r="AN312" s="165"/>
      <c r="AO312" s="166">
        <f t="shared" si="110"/>
        <v>0</v>
      </c>
      <c r="AP312" s="12"/>
      <c r="AQ312" s="167">
        <f t="shared" si="127"/>
        <v>0</v>
      </c>
      <c r="AR312" s="12"/>
      <c r="AS312" s="167">
        <f t="shared" si="128"/>
        <v>0</v>
      </c>
      <c r="AT312" s="168">
        <f t="shared" si="129"/>
        <v>0</v>
      </c>
      <c r="AU312" s="167">
        <f t="shared" si="130"/>
        <v>0</v>
      </c>
    </row>
    <row r="313" spans="1:47" ht="47.25" customHeight="1" x14ac:dyDescent="0.25">
      <c r="A313" s="76"/>
      <c r="B313" s="169" t="s">
        <v>1539</v>
      </c>
      <c r="C313" s="404" t="s">
        <v>1550</v>
      </c>
      <c r="D313" s="405"/>
      <c r="E313" s="400"/>
      <c r="F313" s="402"/>
      <c r="G313" s="398"/>
      <c r="H313" s="395"/>
      <c r="I313" s="173" t="s">
        <v>38</v>
      </c>
      <c r="J313" s="174"/>
      <c r="K313" s="175">
        <v>10</v>
      </c>
      <c r="L313" s="175">
        <v>3</v>
      </c>
      <c r="M313" s="175"/>
      <c r="N313" s="175"/>
      <c r="O313" s="175"/>
      <c r="P313" s="175"/>
      <c r="Q313" s="175"/>
      <c r="R313" s="175"/>
      <c r="S313" s="175"/>
      <c r="T313" s="175"/>
      <c r="U313" s="175"/>
      <c r="V313" s="175"/>
      <c r="W313" s="175"/>
      <c r="X313" s="175"/>
      <c r="Y313" s="175"/>
      <c r="Z313" s="175"/>
      <c r="AA313" s="175"/>
      <c r="AB313" s="175"/>
      <c r="AC313" s="175"/>
      <c r="AD313" s="175"/>
      <c r="AE313" s="175"/>
      <c r="AF313" s="175"/>
      <c r="AG313" s="175"/>
      <c r="AH313" s="175"/>
      <c r="AI313" s="175"/>
      <c r="AJ313" s="175"/>
      <c r="AK313" s="175"/>
      <c r="AL313" s="175"/>
      <c r="AM313" s="175"/>
      <c r="AN313" s="176"/>
      <c r="AO313" s="177">
        <f t="shared" si="110"/>
        <v>13</v>
      </c>
      <c r="AP313" s="14"/>
      <c r="AQ313" s="178">
        <f t="shared" si="127"/>
        <v>0</v>
      </c>
      <c r="AR313" s="14"/>
      <c r="AS313" s="178">
        <f t="shared" si="128"/>
        <v>0</v>
      </c>
      <c r="AT313" s="179">
        <f t="shared" si="129"/>
        <v>0</v>
      </c>
      <c r="AU313" s="178">
        <f t="shared" si="130"/>
        <v>0</v>
      </c>
    </row>
    <row r="314" spans="1:47" ht="147.75" customHeight="1" x14ac:dyDescent="0.25">
      <c r="A314" s="140"/>
      <c r="B314" s="37">
        <v>10</v>
      </c>
      <c r="C314" s="270" t="s">
        <v>1551</v>
      </c>
      <c r="D314" s="271"/>
      <c r="E314" s="271"/>
      <c r="F314" s="356"/>
      <c r="G314" s="97"/>
      <c r="H314" s="84"/>
      <c r="I314" s="97"/>
      <c r="J314" s="83"/>
      <c r="K314" s="83"/>
      <c r="L314" s="83"/>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4"/>
      <c r="AP314" s="78"/>
      <c r="AQ314" s="79">
        <f>SUM(AQ315:AQ346)</f>
        <v>0</v>
      </c>
      <c r="AR314" s="78"/>
      <c r="AS314" s="79">
        <f>SUM(AS315:AS346)</f>
        <v>0</v>
      </c>
      <c r="AT314" s="78"/>
      <c r="AU314" s="79">
        <f>SUM(AU315:AU346)</f>
        <v>0</v>
      </c>
    </row>
    <row r="315" spans="1:47" ht="30" customHeight="1" x14ac:dyDescent="0.25">
      <c r="A315" s="76"/>
      <c r="B315" s="148" t="s">
        <v>1552</v>
      </c>
      <c r="C315" s="406" t="s">
        <v>1565</v>
      </c>
      <c r="D315" s="407"/>
      <c r="E315" s="399" t="s">
        <v>1564</v>
      </c>
      <c r="F315" s="401" t="s">
        <v>1577</v>
      </c>
      <c r="G315" s="424" t="s">
        <v>1079</v>
      </c>
      <c r="H315" s="403" t="s">
        <v>1079</v>
      </c>
      <c r="I315" s="151" t="s">
        <v>1138</v>
      </c>
      <c r="J315" s="152">
        <v>2</v>
      </c>
      <c r="K315" s="153">
        <v>8</v>
      </c>
      <c r="L315" s="153">
        <v>5</v>
      </c>
      <c r="M315" s="153">
        <v>1</v>
      </c>
      <c r="N315" s="153"/>
      <c r="O315" s="153"/>
      <c r="P315" s="153"/>
      <c r="Q315" s="153"/>
      <c r="R315" s="153"/>
      <c r="S315" s="153"/>
      <c r="T315" s="153"/>
      <c r="U315" s="153"/>
      <c r="V315" s="153"/>
      <c r="W315" s="153"/>
      <c r="X315" s="153"/>
      <c r="Y315" s="153"/>
      <c r="Z315" s="153"/>
      <c r="AA315" s="153"/>
      <c r="AB315" s="153"/>
      <c r="AC315" s="153"/>
      <c r="AD315" s="153"/>
      <c r="AE315" s="153"/>
      <c r="AF315" s="153"/>
      <c r="AG315" s="153"/>
      <c r="AH315" s="153"/>
      <c r="AI315" s="153"/>
      <c r="AJ315" s="153"/>
      <c r="AK315" s="153"/>
      <c r="AL315" s="153"/>
      <c r="AM315" s="153"/>
      <c r="AN315" s="154"/>
      <c r="AO315" s="155">
        <f t="shared" ref="AO315:AO346" si="131">SUM(J315:AN315)</f>
        <v>16</v>
      </c>
      <c r="AP315" s="13"/>
      <c r="AQ315" s="156">
        <f t="shared" ref="AQ315:AQ326" si="132">+AP315*AO315</f>
        <v>0</v>
      </c>
      <c r="AR315" s="13"/>
      <c r="AS315" s="156">
        <f t="shared" ref="AS315:AS326" si="133">+AR315*AO315</f>
        <v>0</v>
      </c>
      <c r="AT315" s="157">
        <f t="shared" ref="AT315:AT326" si="134">+AR315+AP315</f>
        <v>0</v>
      </c>
      <c r="AU315" s="156">
        <f t="shared" ref="AU315:AU326" si="135">+AT315*AO315</f>
        <v>0</v>
      </c>
    </row>
    <row r="316" spans="1:47" ht="30" customHeight="1" x14ac:dyDescent="0.25">
      <c r="A316" s="76"/>
      <c r="B316" s="158" t="s">
        <v>1553</v>
      </c>
      <c r="C316" s="411" t="s">
        <v>1566</v>
      </c>
      <c r="D316" s="412"/>
      <c r="E316" s="408"/>
      <c r="F316" s="409"/>
      <c r="G316" s="397"/>
      <c r="H316" s="394"/>
      <c r="I316" s="162" t="s">
        <v>1138</v>
      </c>
      <c r="J316" s="163">
        <v>4</v>
      </c>
      <c r="K316" s="164">
        <v>10</v>
      </c>
      <c r="L316" s="164">
        <v>7</v>
      </c>
      <c r="M316" s="164">
        <v>1</v>
      </c>
      <c r="N316" s="164"/>
      <c r="O316" s="164"/>
      <c r="P316" s="164"/>
      <c r="Q316" s="164"/>
      <c r="R316" s="164"/>
      <c r="S316" s="164"/>
      <c r="T316" s="164"/>
      <c r="U316" s="164"/>
      <c r="V316" s="164"/>
      <c r="W316" s="164"/>
      <c r="X316" s="164"/>
      <c r="Y316" s="164"/>
      <c r="Z316" s="164"/>
      <c r="AA316" s="164"/>
      <c r="AB316" s="164"/>
      <c r="AC316" s="164"/>
      <c r="AD316" s="164"/>
      <c r="AE316" s="164"/>
      <c r="AF316" s="164"/>
      <c r="AG316" s="164"/>
      <c r="AH316" s="164"/>
      <c r="AI316" s="164"/>
      <c r="AJ316" s="164"/>
      <c r="AK316" s="164"/>
      <c r="AL316" s="164"/>
      <c r="AM316" s="164"/>
      <c r="AN316" s="165"/>
      <c r="AO316" s="166">
        <f t="shared" si="131"/>
        <v>22</v>
      </c>
      <c r="AP316" s="12"/>
      <c r="AQ316" s="167">
        <f t="shared" si="132"/>
        <v>0</v>
      </c>
      <c r="AR316" s="12"/>
      <c r="AS316" s="167">
        <f t="shared" si="133"/>
        <v>0</v>
      </c>
      <c r="AT316" s="168">
        <f t="shared" si="134"/>
        <v>0</v>
      </c>
      <c r="AU316" s="167">
        <f t="shared" si="135"/>
        <v>0</v>
      </c>
    </row>
    <row r="317" spans="1:47" ht="30" customHeight="1" x14ac:dyDescent="0.25">
      <c r="A317" s="76"/>
      <c r="B317" s="158" t="s">
        <v>1554</v>
      </c>
      <c r="C317" s="411" t="s">
        <v>1567</v>
      </c>
      <c r="D317" s="412"/>
      <c r="E317" s="408"/>
      <c r="F317" s="409"/>
      <c r="G317" s="397"/>
      <c r="H317" s="394"/>
      <c r="I317" s="162" t="s">
        <v>1138</v>
      </c>
      <c r="J317" s="163"/>
      <c r="K317" s="164">
        <v>1</v>
      </c>
      <c r="L317" s="164"/>
      <c r="M317" s="164"/>
      <c r="N317" s="164"/>
      <c r="O317" s="164"/>
      <c r="P317" s="164"/>
      <c r="Q317" s="164"/>
      <c r="R317" s="164"/>
      <c r="S317" s="164"/>
      <c r="T317" s="164"/>
      <c r="U317" s="164"/>
      <c r="V317" s="164"/>
      <c r="W317" s="164"/>
      <c r="X317" s="164"/>
      <c r="Y317" s="164"/>
      <c r="Z317" s="164"/>
      <c r="AA317" s="164"/>
      <c r="AB317" s="164"/>
      <c r="AC317" s="164"/>
      <c r="AD317" s="164"/>
      <c r="AE317" s="164"/>
      <c r="AF317" s="164"/>
      <c r="AG317" s="164"/>
      <c r="AH317" s="164"/>
      <c r="AI317" s="164"/>
      <c r="AJ317" s="164"/>
      <c r="AK317" s="164"/>
      <c r="AL317" s="164"/>
      <c r="AM317" s="164"/>
      <c r="AN317" s="165"/>
      <c r="AO317" s="166">
        <f t="shared" si="131"/>
        <v>1</v>
      </c>
      <c r="AP317" s="12"/>
      <c r="AQ317" s="167">
        <f t="shared" si="132"/>
        <v>0</v>
      </c>
      <c r="AR317" s="12"/>
      <c r="AS317" s="167">
        <f t="shared" si="133"/>
        <v>0</v>
      </c>
      <c r="AT317" s="168">
        <f t="shared" si="134"/>
        <v>0</v>
      </c>
      <c r="AU317" s="167">
        <f t="shared" si="135"/>
        <v>0</v>
      </c>
    </row>
    <row r="318" spans="1:47" ht="30" customHeight="1" x14ac:dyDescent="0.25">
      <c r="A318" s="76"/>
      <c r="B318" s="158" t="s">
        <v>1555</v>
      </c>
      <c r="C318" s="411" t="s">
        <v>1568</v>
      </c>
      <c r="D318" s="412"/>
      <c r="E318" s="408"/>
      <c r="F318" s="409"/>
      <c r="G318" s="397"/>
      <c r="H318" s="394"/>
      <c r="I318" s="162" t="s">
        <v>1138</v>
      </c>
      <c r="J318" s="163">
        <v>24</v>
      </c>
      <c r="K318" s="164">
        <v>96</v>
      </c>
      <c r="L318" s="164">
        <v>113</v>
      </c>
      <c r="M318" s="164">
        <v>2</v>
      </c>
      <c r="N318" s="164"/>
      <c r="O318" s="164"/>
      <c r="P318" s="164"/>
      <c r="Q318" s="164"/>
      <c r="R318" s="164"/>
      <c r="S318" s="164"/>
      <c r="T318" s="164"/>
      <c r="U318" s="164"/>
      <c r="V318" s="164"/>
      <c r="W318" s="164"/>
      <c r="X318" s="164"/>
      <c r="Y318" s="164"/>
      <c r="Z318" s="164"/>
      <c r="AA318" s="164"/>
      <c r="AB318" s="164"/>
      <c r="AC318" s="164"/>
      <c r="AD318" s="164"/>
      <c r="AE318" s="164"/>
      <c r="AF318" s="164"/>
      <c r="AG318" s="164"/>
      <c r="AH318" s="164"/>
      <c r="AI318" s="164"/>
      <c r="AJ318" s="164"/>
      <c r="AK318" s="164"/>
      <c r="AL318" s="164"/>
      <c r="AM318" s="164"/>
      <c r="AN318" s="165"/>
      <c r="AO318" s="166">
        <f t="shared" si="131"/>
        <v>235</v>
      </c>
      <c r="AP318" s="12"/>
      <c r="AQ318" s="167">
        <f t="shared" ref="AQ318:AQ325" si="136">+AP318*AO318</f>
        <v>0</v>
      </c>
      <c r="AR318" s="12"/>
      <c r="AS318" s="167">
        <f t="shared" ref="AS318:AS325" si="137">+AR318*AO318</f>
        <v>0</v>
      </c>
      <c r="AT318" s="168">
        <f t="shared" ref="AT318:AT325" si="138">+AR318+AP318</f>
        <v>0</v>
      </c>
      <c r="AU318" s="167">
        <f t="shared" ref="AU318:AU325" si="139">+AT318*AO318</f>
        <v>0</v>
      </c>
    </row>
    <row r="319" spans="1:47" ht="30" customHeight="1" x14ac:dyDescent="0.25">
      <c r="A319" s="76"/>
      <c r="B319" s="158" t="s">
        <v>1556</v>
      </c>
      <c r="C319" s="411" t="s">
        <v>1569</v>
      </c>
      <c r="D319" s="412"/>
      <c r="E319" s="408"/>
      <c r="F319" s="409"/>
      <c r="G319" s="397"/>
      <c r="H319" s="394"/>
      <c r="I319" s="162" t="s">
        <v>1138</v>
      </c>
      <c r="J319" s="163"/>
      <c r="K319" s="164"/>
      <c r="L319" s="164">
        <v>18</v>
      </c>
      <c r="M319" s="164"/>
      <c r="N319" s="164"/>
      <c r="O319" s="164"/>
      <c r="P319" s="164"/>
      <c r="Q319" s="164"/>
      <c r="R319" s="164"/>
      <c r="S319" s="164"/>
      <c r="T319" s="164"/>
      <c r="U319" s="164"/>
      <c r="V319" s="164"/>
      <c r="W319" s="164"/>
      <c r="X319" s="164"/>
      <c r="Y319" s="164"/>
      <c r="Z319" s="164"/>
      <c r="AA319" s="164"/>
      <c r="AB319" s="164"/>
      <c r="AC319" s="164"/>
      <c r="AD319" s="164"/>
      <c r="AE319" s="164"/>
      <c r="AF319" s="164"/>
      <c r="AG319" s="164"/>
      <c r="AH319" s="164"/>
      <c r="AI319" s="164"/>
      <c r="AJ319" s="164"/>
      <c r="AK319" s="164"/>
      <c r="AL319" s="164"/>
      <c r="AM319" s="164"/>
      <c r="AN319" s="165"/>
      <c r="AO319" s="166">
        <f t="shared" si="131"/>
        <v>18</v>
      </c>
      <c r="AP319" s="12"/>
      <c r="AQ319" s="167">
        <f t="shared" si="136"/>
        <v>0</v>
      </c>
      <c r="AR319" s="12"/>
      <c r="AS319" s="167">
        <f t="shared" si="137"/>
        <v>0</v>
      </c>
      <c r="AT319" s="168">
        <f t="shared" si="138"/>
        <v>0</v>
      </c>
      <c r="AU319" s="167">
        <f t="shared" si="139"/>
        <v>0</v>
      </c>
    </row>
    <row r="320" spans="1:47" ht="30" customHeight="1" x14ac:dyDescent="0.25">
      <c r="A320" s="76"/>
      <c r="B320" s="158" t="s">
        <v>1557</v>
      </c>
      <c r="C320" s="411" t="s">
        <v>1570</v>
      </c>
      <c r="D320" s="412"/>
      <c r="E320" s="408"/>
      <c r="F320" s="409"/>
      <c r="G320" s="397"/>
      <c r="H320" s="394"/>
      <c r="I320" s="162" t="s">
        <v>1138</v>
      </c>
      <c r="J320" s="163"/>
      <c r="K320" s="164"/>
      <c r="L320" s="164"/>
      <c r="M320" s="164"/>
      <c r="N320" s="164"/>
      <c r="O320" s="164"/>
      <c r="P320" s="164"/>
      <c r="Q320" s="164"/>
      <c r="R320" s="164"/>
      <c r="S320" s="164"/>
      <c r="T320" s="164"/>
      <c r="U320" s="164"/>
      <c r="V320" s="164"/>
      <c r="W320" s="164"/>
      <c r="X320" s="164"/>
      <c r="Y320" s="164"/>
      <c r="Z320" s="164"/>
      <c r="AA320" s="164"/>
      <c r="AB320" s="164"/>
      <c r="AC320" s="164"/>
      <c r="AD320" s="164"/>
      <c r="AE320" s="164"/>
      <c r="AF320" s="164"/>
      <c r="AG320" s="164"/>
      <c r="AH320" s="164"/>
      <c r="AI320" s="164"/>
      <c r="AJ320" s="164"/>
      <c r="AK320" s="164"/>
      <c r="AL320" s="164"/>
      <c r="AM320" s="164"/>
      <c r="AN320" s="165"/>
      <c r="AO320" s="166">
        <f t="shared" si="131"/>
        <v>0</v>
      </c>
      <c r="AP320" s="12"/>
      <c r="AQ320" s="167">
        <f t="shared" si="136"/>
        <v>0</v>
      </c>
      <c r="AR320" s="12"/>
      <c r="AS320" s="167">
        <f t="shared" si="137"/>
        <v>0</v>
      </c>
      <c r="AT320" s="168">
        <f t="shared" si="138"/>
        <v>0</v>
      </c>
      <c r="AU320" s="167">
        <f t="shared" si="139"/>
        <v>0</v>
      </c>
    </row>
    <row r="321" spans="1:47" ht="30" customHeight="1" x14ac:dyDescent="0.25">
      <c r="A321" s="76"/>
      <c r="B321" s="158" t="s">
        <v>1558</v>
      </c>
      <c r="C321" s="411" t="s">
        <v>1571</v>
      </c>
      <c r="D321" s="412"/>
      <c r="E321" s="408"/>
      <c r="F321" s="409"/>
      <c r="G321" s="397"/>
      <c r="H321" s="394"/>
      <c r="I321" s="162" t="s">
        <v>1138</v>
      </c>
      <c r="J321" s="163"/>
      <c r="K321" s="164">
        <v>8</v>
      </c>
      <c r="L321" s="164">
        <v>4</v>
      </c>
      <c r="M321" s="164"/>
      <c r="N321" s="164"/>
      <c r="O321" s="164"/>
      <c r="P321" s="164"/>
      <c r="Q321" s="164"/>
      <c r="R321" s="164"/>
      <c r="S321" s="164"/>
      <c r="T321" s="164"/>
      <c r="U321" s="164"/>
      <c r="V321" s="164"/>
      <c r="W321" s="164"/>
      <c r="X321" s="164"/>
      <c r="Y321" s="164"/>
      <c r="Z321" s="164"/>
      <c r="AA321" s="164"/>
      <c r="AB321" s="164"/>
      <c r="AC321" s="164"/>
      <c r="AD321" s="164"/>
      <c r="AE321" s="164"/>
      <c r="AF321" s="164"/>
      <c r="AG321" s="164"/>
      <c r="AH321" s="164"/>
      <c r="AI321" s="164"/>
      <c r="AJ321" s="164"/>
      <c r="AK321" s="164"/>
      <c r="AL321" s="164"/>
      <c r="AM321" s="164"/>
      <c r="AN321" s="165"/>
      <c r="AO321" s="166">
        <f t="shared" si="131"/>
        <v>12</v>
      </c>
      <c r="AP321" s="12"/>
      <c r="AQ321" s="167">
        <f t="shared" si="136"/>
        <v>0</v>
      </c>
      <c r="AR321" s="12"/>
      <c r="AS321" s="167">
        <f t="shared" si="137"/>
        <v>0</v>
      </c>
      <c r="AT321" s="168">
        <f t="shared" si="138"/>
        <v>0</v>
      </c>
      <c r="AU321" s="167">
        <f t="shared" si="139"/>
        <v>0</v>
      </c>
    </row>
    <row r="322" spans="1:47" ht="30" customHeight="1" x14ac:dyDescent="0.25">
      <c r="A322" s="76"/>
      <c r="B322" s="158" t="s">
        <v>1559</v>
      </c>
      <c r="C322" s="411" t="s">
        <v>1572</v>
      </c>
      <c r="D322" s="412"/>
      <c r="E322" s="408"/>
      <c r="F322" s="409"/>
      <c r="G322" s="397"/>
      <c r="H322" s="394"/>
      <c r="I322" s="162" t="s">
        <v>1138</v>
      </c>
      <c r="J322" s="163">
        <v>9</v>
      </c>
      <c r="K322" s="164">
        <v>21</v>
      </c>
      <c r="L322" s="164">
        <v>13</v>
      </c>
      <c r="M322" s="164">
        <v>1</v>
      </c>
      <c r="N322" s="164"/>
      <c r="O322" s="164"/>
      <c r="P322" s="164"/>
      <c r="Q322" s="164"/>
      <c r="R322" s="164"/>
      <c r="S322" s="164"/>
      <c r="T322" s="164"/>
      <c r="U322" s="164"/>
      <c r="V322" s="164"/>
      <c r="W322" s="164"/>
      <c r="X322" s="164"/>
      <c r="Y322" s="164"/>
      <c r="Z322" s="164"/>
      <c r="AA322" s="164"/>
      <c r="AB322" s="164"/>
      <c r="AC322" s="164"/>
      <c r="AD322" s="164"/>
      <c r="AE322" s="164"/>
      <c r="AF322" s="164"/>
      <c r="AG322" s="164"/>
      <c r="AH322" s="164"/>
      <c r="AI322" s="164"/>
      <c r="AJ322" s="164"/>
      <c r="AK322" s="164"/>
      <c r="AL322" s="164"/>
      <c r="AM322" s="164"/>
      <c r="AN322" s="165"/>
      <c r="AO322" s="166">
        <f t="shared" si="131"/>
        <v>44</v>
      </c>
      <c r="AP322" s="12"/>
      <c r="AQ322" s="167">
        <f t="shared" si="136"/>
        <v>0</v>
      </c>
      <c r="AR322" s="12"/>
      <c r="AS322" s="167">
        <f t="shared" si="137"/>
        <v>0</v>
      </c>
      <c r="AT322" s="168">
        <f t="shared" si="138"/>
        <v>0</v>
      </c>
      <c r="AU322" s="167">
        <f t="shared" si="139"/>
        <v>0</v>
      </c>
    </row>
    <row r="323" spans="1:47" ht="30" customHeight="1" x14ac:dyDescent="0.25">
      <c r="A323" s="76"/>
      <c r="B323" s="158" t="s">
        <v>1560</v>
      </c>
      <c r="C323" s="411" t="s">
        <v>1573</v>
      </c>
      <c r="D323" s="412"/>
      <c r="E323" s="408"/>
      <c r="F323" s="409"/>
      <c r="G323" s="397"/>
      <c r="H323" s="394"/>
      <c r="I323" s="162" t="s">
        <v>1138</v>
      </c>
      <c r="J323" s="163"/>
      <c r="K323" s="164"/>
      <c r="L323" s="164"/>
      <c r="M323" s="164"/>
      <c r="N323" s="164"/>
      <c r="O323" s="164"/>
      <c r="P323" s="164"/>
      <c r="Q323" s="164"/>
      <c r="R323" s="164"/>
      <c r="S323" s="164"/>
      <c r="T323" s="164"/>
      <c r="U323" s="164"/>
      <c r="V323" s="164"/>
      <c r="W323" s="164"/>
      <c r="X323" s="164"/>
      <c r="Y323" s="164"/>
      <c r="Z323" s="164"/>
      <c r="AA323" s="164"/>
      <c r="AB323" s="164"/>
      <c r="AC323" s="164"/>
      <c r="AD323" s="164"/>
      <c r="AE323" s="164"/>
      <c r="AF323" s="164"/>
      <c r="AG323" s="164"/>
      <c r="AH323" s="164"/>
      <c r="AI323" s="164"/>
      <c r="AJ323" s="164"/>
      <c r="AK323" s="164"/>
      <c r="AL323" s="164"/>
      <c r="AM323" s="164"/>
      <c r="AN323" s="165"/>
      <c r="AO323" s="166">
        <f t="shared" si="131"/>
        <v>0</v>
      </c>
      <c r="AP323" s="12"/>
      <c r="AQ323" s="167">
        <f t="shared" si="136"/>
        <v>0</v>
      </c>
      <c r="AR323" s="12"/>
      <c r="AS323" s="167">
        <f t="shared" si="137"/>
        <v>0</v>
      </c>
      <c r="AT323" s="168">
        <f t="shared" si="138"/>
        <v>0</v>
      </c>
      <c r="AU323" s="167">
        <f t="shared" si="139"/>
        <v>0</v>
      </c>
    </row>
    <row r="324" spans="1:47" ht="30" customHeight="1" x14ac:dyDescent="0.25">
      <c r="A324" s="76"/>
      <c r="B324" s="158" t="s">
        <v>1561</v>
      </c>
      <c r="C324" s="411" t="s">
        <v>1574</v>
      </c>
      <c r="D324" s="412"/>
      <c r="E324" s="408"/>
      <c r="F324" s="409"/>
      <c r="G324" s="397"/>
      <c r="H324" s="394"/>
      <c r="I324" s="162" t="s">
        <v>1138</v>
      </c>
      <c r="J324" s="163"/>
      <c r="K324" s="164"/>
      <c r="L324" s="164"/>
      <c r="M324" s="164"/>
      <c r="N324" s="164"/>
      <c r="O324" s="164"/>
      <c r="P324" s="164"/>
      <c r="Q324" s="164"/>
      <c r="R324" s="164"/>
      <c r="S324" s="164"/>
      <c r="T324" s="164"/>
      <c r="U324" s="164"/>
      <c r="V324" s="164"/>
      <c r="W324" s="164"/>
      <c r="X324" s="164"/>
      <c r="Y324" s="164"/>
      <c r="Z324" s="164"/>
      <c r="AA324" s="164"/>
      <c r="AB324" s="164"/>
      <c r="AC324" s="164"/>
      <c r="AD324" s="164"/>
      <c r="AE324" s="164"/>
      <c r="AF324" s="164"/>
      <c r="AG324" s="164"/>
      <c r="AH324" s="164"/>
      <c r="AI324" s="164"/>
      <c r="AJ324" s="164"/>
      <c r="AK324" s="164"/>
      <c r="AL324" s="164"/>
      <c r="AM324" s="164"/>
      <c r="AN324" s="165"/>
      <c r="AO324" s="166">
        <f t="shared" si="131"/>
        <v>0</v>
      </c>
      <c r="AP324" s="12"/>
      <c r="AQ324" s="167">
        <f t="shared" si="136"/>
        <v>0</v>
      </c>
      <c r="AR324" s="12"/>
      <c r="AS324" s="167">
        <f t="shared" si="137"/>
        <v>0</v>
      </c>
      <c r="AT324" s="168">
        <f t="shared" si="138"/>
        <v>0</v>
      </c>
      <c r="AU324" s="167">
        <f t="shared" si="139"/>
        <v>0</v>
      </c>
    </row>
    <row r="325" spans="1:47" ht="30" customHeight="1" x14ac:dyDescent="0.25">
      <c r="A325" s="76"/>
      <c r="B325" s="158" t="s">
        <v>1562</v>
      </c>
      <c r="C325" s="411" t="s">
        <v>1575</v>
      </c>
      <c r="D325" s="412"/>
      <c r="E325" s="408"/>
      <c r="F325" s="409"/>
      <c r="G325" s="397"/>
      <c r="H325" s="394"/>
      <c r="I325" s="162" t="s">
        <v>1138</v>
      </c>
      <c r="J325" s="163"/>
      <c r="K325" s="164"/>
      <c r="L325" s="164"/>
      <c r="M325" s="164"/>
      <c r="N325" s="164"/>
      <c r="O325" s="164"/>
      <c r="P325" s="164"/>
      <c r="Q325" s="164"/>
      <c r="R325" s="164"/>
      <c r="S325" s="164"/>
      <c r="T325" s="164"/>
      <c r="U325" s="164"/>
      <c r="V325" s="164"/>
      <c r="W325" s="164"/>
      <c r="X325" s="164"/>
      <c r="Y325" s="164"/>
      <c r="Z325" s="164"/>
      <c r="AA325" s="164"/>
      <c r="AB325" s="164"/>
      <c r="AC325" s="164"/>
      <c r="AD325" s="164"/>
      <c r="AE325" s="164"/>
      <c r="AF325" s="164"/>
      <c r="AG325" s="164"/>
      <c r="AH325" s="164"/>
      <c r="AI325" s="164"/>
      <c r="AJ325" s="164"/>
      <c r="AK325" s="164"/>
      <c r="AL325" s="164"/>
      <c r="AM325" s="164"/>
      <c r="AN325" s="165"/>
      <c r="AO325" s="166">
        <f t="shared" si="131"/>
        <v>0</v>
      </c>
      <c r="AP325" s="12"/>
      <c r="AQ325" s="167">
        <f t="shared" si="136"/>
        <v>0</v>
      </c>
      <c r="AR325" s="12"/>
      <c r="AS325" s="167">
        <f t="shared" si="137"/>
        <v>0</v>
      </c>
      <c r="AT325" s="168">
        <f t="shared" si="138"/>
        <v>0</v>
      </c>
      <c r="AU325" s="167">
        <f t="shared" si="139"/>
        <v>0</v>
      </c>
    </row>
    <row r="326" spans="1:47" ht="30" customHeight="1" x14ac:dyDescent="0.25">
      <c r="A326" s="76"/>
      <c r="B326" s="169" t="s">
        <v>1563</v>
      </c>
      <c r="C326" s="404" t="s">
        <v>1576</v>
      </c>
      <c r="D326" s="405"/>
      <c r="E326" s="400"/>
      <c r="F326" s="402"/>
      <c r="G326" s="398"/>
      <c r="H326" s="395"/>
      <c r="I326" s="173" t="s">
        <v>1138</v>
      </c>
      <c r="J326" s="174"/>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5"/>
      <c r="AJ326" s="175"/>
      <c r="AK326" s="175"/>
      <c r="AL326" s="175"/>
      <c r="AM326" s="175"/>
      <c r="AN326" s="176"/>
      <c r="AO326" s="177">
        <f t="shared" si="131"/>
        <v>0</v>
      </c>
      <c r="AP326" s="14"/>
      <c r="AQ326" s="178">
        <f t="shared" si="132"/>
        <v>0</v>
      </c>
      <c r="AR326" s="14"/>
      <c r="AS326" s="178">
        <f t="shared" si="133"/>
        <v>0</v>
      </c>
      <c r="AT326" s="179">
        <f t="shared" si="134"/>
        <v>0</v>
      </c>
      <c r="AU326" s="178">
        <f t="shared" si="135"/>
        <v>0</v>
      </c>
    </row>
    <row r="327" spans="1:47" ht="30" customHeight="1" x14ac:dyDescent="0.25">
      <c r="A327" s="76"/>
      <c r="B327" s="148" t="s">
        <v>1579</v>
      </c>
      <c r="C327" s="406" t="s">
        <v>1591</v>
      </c>
      <c r="D327" s="407"/>
      <c r="E327" s="399" t="s">
        <v>1603</v>
      </c>
      <c r="F327" s="401" t="s">
        <v>1577</v>
      </c>
      <c r="G327" s="424" t="s">
        <v>1079</v>
      </c>
      <c r="H327" s="403" t="s">
        <v>1079</v>
      </c>
      <c r="I327" s="151" t="s">
        <v>1138</v>
      </c>
      <c r="J327" s="152">
        <v>16</v>
      </c>
      <c r="K327" s="153">
        <v>35</v>
      </c>
      <c r="L327" s="153">
        <v>50</v>
      </c>
      <c r="M327" s="153">
        <v>3</v>
      </c>
      <c r="N327" s="153"/>
      <c r="O327" s="153"/>
      <c r="P327" s="153"/>
      <c r="Q327" s="153"/>
      <c r="R327" s="153"/>
      <c r="S327" s="153"/>
      <c r="T327" s="153"/>
      <c r="U327" s="153"/>
      <c r="V327" s="153"/>
      <c r="W327" s="153"/>
      <c r="X327" s="153"/>
      <c r="Y327" s="153"/>
      <c r="Z327" s="153"/>
      <c r="AA327" s="153"/>
      <c r="AB327" s="153"/>
      <c r="AC327" s="153"/>
      <c r="AD327" s="153"/>
      <c r="AE327" s="153"/>
      <c r="AF327" s="153"/>
      <c r="AG327" s="153"/>
      <c r="AH327" s="153"/>
      <c r="AI327" s="153"/>
      <c r="AJ327" s="153"/>
      <c r="AK327" s="153"/>
      <c r="AL327" s="153"/>
      <c r="AM327" s="153"/>
      <c r="AN327" s="154"/>
      <c r="AO327" s="155">
        <f t="shared" si="131"/>
        <v>104</v>
      </c>
      <c r="AP327" s="13"/>
      <c r="AQ327" s="156">
        <f t="shared" ref="AQ327:AQ338" si="140">+AP327*AO327</f>
        <v>0</v>
      </c>
      <c r="AR327" s="13"/>
      <c r="AS327" s="156">
        <f t="shared" ref="AS327:AS338" si="141">+AR327*AO327</f>
        <v>0</v>
      </c>
      <c r="AT327" s="157">
        <f t="shared" ref="AT327:AT338" si="142">+AR327+AP327</f>
        <v>0</v>
      </c>
      <c r="AU327" s="156">
        <f t="shared" ref="AU327:AU338" si="143">+AT327*AO327</f>
        <v>0</v>
      </c>
    </row>
    <row r="328" spans="1:47" ht="30" customHeight="1" x14ac:dyDescent="0.25">
      <c r="A328" s="76"/>
      <c r="B328" s="158" t="s">
        <v>1580</v>
      </c>
      <c r="C328" s="411" t="s">
        <v>1592</v>
      </c>
      <c r="D328" s="412"/>
      <c r="E328" s="408"/>
      <c r="F328" s="409"/>
      <c r="G328" s="397"/>
      <c r="H328" s="394"/>
      <c r="I328" s="162" t="s">
        <v>1138</v>
      </c>
      <c r="J328" s="163"/>
      <c r="K328" s="164">
        <v>10</v>
      </c>
      <c r="L328" s="164">
        <v>6</v>
      </c>
      <c r="M328" s="164">
        <v>4</v>
      </c>
      <c r="N328" s="164"/>
      <c r="O328" s="164"/>
      <c r="P328" s="164"/>
      <c r="Q328" s="164"/>
      <c r="R328" s="164"/>
      <c r="S328" s="164"/>
      <c r="T328" s="164"/>
      <c r="U328" s="164"/>
      <c r="V328" s="164"/>
      <c r="W328" s="164"/>
      <c r="X328" s="164"/>
      <c r="Y328" s="164"/>
      <c r="Z328" s="164"/>
      <c r="AA328" s="164"/>
      <c r="AB328" s="164"/>
      <c r="AC328" s="164"/>
      <c r="AD328" s="164"/>
      <c r="AE328" s="164"/>
      <c r="AF328" s="164"/>
      <c r="AG328" s="164"/>
      <c r="AH328" s="164"/>
      <c r="AI328" s="164"/>
      <c r="AJ328" s="164"/>
      <c r="AK328" s="164"/>
      <c r="AL328" s="164"/>
      <c r="AM328" s="164"/>
      <c r="AN328" s="165"/>
      <c r="AO328" s="166">
        <f t="shared" si="131"/>
        <v>20</v>
      </c>
      <c r="AP328" s="12"/>
      <c r="AQ328" s="167">
        <f t="shared" si="140"/>
        <v>0</v>
      </c>
      <c r="AR328" s="12"/>
      <c r="AS328" s="167">
        <f t="shared" si="141"/>
        <v>0</v>
      </c>
      <c r="AT328" s="168">
        <f t="shared" si="142"/>
        <v>0</v>
      </c>
      <c r="AU328" s="167">
        <f t="shared" si="143"/>
        <v>0</v>
      </c>
    </row>
    <row r="329" spans="1:47" ht="30" customHeight="1" x14ac:dyDescent="0.25">
      <c r="A329" s="76"/>
      <c r="B329" s="158" t="s">
        <v>1581</v>
      </c>
      <c r="C329" s="411" t="s">
        <v>1593</v>
      </c>
      <c r="D329" s="412"/>
      <c r="E329" s="408"/>
      <c r="F329" s="409"/>
      <c r="G329" s="397"/>
      <c r="H329" s="394"/>
      <c r="I329" s="162" t="s">
        <v>1138</v>
      </c>
      <c r="J329" s="163"/>
      <c r="K329" s="164">
        <v>7</v>
      </c>
      <c r="L329" s="164">
        <v>6</v>
      </c>
      <c r="M329" s="164">
        <v>2</v>
      </c>
      <c r="N329" s="164"/>
      <c r="O329" s="164"/>
      <c r="P329" s="164"/>
      <c r="Q329" s="164"/>
      <c r="R329" s="164"/>
      <c r="S329" s="164"/>
      <c r="T329" s="164"/>
      <c r="U329" s="164"/>
      <c r="V329" s="164"/>
      <c r="W329" s="164"/>
      <c r="X329" s="164"/>
      <c r="Y329" s="164"/>
      <c r="Z329" s="164"/>
      <c r="AA329" s="164"/>
      <c r="AB329" s="164"/>
      <c r="AC329" s="164"/>
      <c r="AD329" s="164"/>
      <c r="AE329" s="164"/>
      <c r="AF329" s="164"/>
      <c r="AG329" s="164"/>
      <c r="AH329" s="164"/>
      <c r="AI329" s="164"/>
      <c r="AJ329" s="164"/>
      <c r="AK329" s="164"/>
      <c r="AL329" s="164"/>
      <c r="AM329" s="164"/>
      <c r="AN329" s="165"/>
      <c r="AO329" s="166">
        <f t="shared" si="131"/>
        <v>15</v>
      </c>
      <c r="AP329" s="12"/>
      <c r="AQ329" s="167">
        <f t="shared" si="140"/>
        <v>0</v>
      </c>
      <c r="AR329" s="12"/>
      <c r="AS329" s="167">
        <f t="shared" si="141"/>
        <v>0</v>
      </c>
      <c r="AT329" s="168">
        <f t="shared" si="142"/>
        <v>0</v>
      </c>
      <c r="AU329" s="167">
        <f t="shared" si="143"/>
        <v>0</v>
      </c>
    </row>
    <row r="330" spans="1:47" ht="30" customHeight="1" x14ac:dyDescent="0.25">
      <c r="A330" s="76"/>
      <c r="B330" s="158" t="s">
        <v>1582</v>
      </c>
      <c r="C330" s="411" t="s">
        <v>1594</v>
      </c>
      <c r="D330" s="412"/>
      <c r="E330" s="408"/>
      <c r="F330" s="409"/>
      <c r="G330" s="397"/>
      <c r="H330" s="394"/>
      <c r="I330" s="162" t="s">
        <v>1138</v>
      </c>
      <c r="J330" s="163"/>
      <c r="K330" s="164">
        <v>10</v>
      </c>
      <c r="L330" s="164">
        <v>2</v>
      </c>
      <c r="M330" s="164">
        <v>4</v>
      </c>
      <c r="N330" s="164"/>
      <c r="O330" s="164"/>
      <c r="P330" s="164"/>
      <c r="Q330" s="164"/>
      <c r="R330" s="164"/>
      <c r="S330" s="164"/>
      <c r="T330" s="164"/>
      <c r="U330" s="164"/>
      <c r="V330" s="164"/>
      <c r="W330" s="164"/>
      <c r="X330" s="164"/>
      <c r="Y330" s="164"/>
      <c r="Z330" s="164"/>
      <c r="AA330" s="164"/>
      <c r="AB330" s="164"/>
      <c r="AC330" s="164"/>
      <c r="AD330" s="164"/>
      <c r="AE330" s="164"/>
      <c r="AF330" s="164"/>
      <c r="AG330" s="164"/>
      <c r="AH330" s="164"/>
      <c r="AI330" s="164"/>
      <c r="AJ330" s="164"/>
      <c r="AK330" s="164"/>
      <c r="AL330" s="164"/>
      <c r="AM330" s="164"/>
      <c r="AN330" s="165"/>
      <c r="AO330" s="166">
        <f t="shared" si="131"/>
        <v>16</v>
      </c>
      <c r="AP330" s="12"/>
      <c r="AQ330" s="167">
        <f t="shared" si="140"/>
        <v>0</v>
      </c>
      <c r="AR330" s="12"/>
      <c r="AS330" s="167">
        <f t="shared" si="141"/>
        <v>0</v>
      </c>
      <c r="AT330" s="168">
        <f t="shared" si="142"/>
        <v>0</v>
      </c>
      <c r="AU330" s="167">
        <f t="shared" si="143"/>
        <v>0</v>
      </c>
    </row>
    <row r="331" spans="1:47" ht="30" customHeight="1" x14ac:dyDescent="0.25">
      <c r="A331" s="76"/>
      <c r="B331" s="158" t="s">
        <v>1583</v>
      </c>
      <c r="C331" s="411" t="s">
        <v>1595</v>
      </c>
      <c r="D331" s="412"/>
      <c r="E331" s="408"/>
      <c r="F331" s="409"/>
      <c r="G331" s="397"/>
      <c r="H331" s="394"/>
      <c r="I331" s="162" t="s">
        <v>1138</v>
      </c>
      <c r="J331" s="163"/>
      <c r="K331" s="164"/>
      <c r="L331" s="164"/>
      <c r="M331" s="164"/>
      <c r="N331" s="164"/>
      <c r="O331" s="164"/>
      <c r="P331" s="164"/>
      <c r="Q331" s="164"/>
      <c r="R331" s="164"/>
      <c r="S331" s="164"/>
      <c r="T331" s="164"/>
      <c r="U331" s="164"/>
      <c r="V331" s="164"/>
      <c r="W331" s="164"/>
      <c r="X331" s="164"/>
      <c r="Y331" s="164"/>
      <c r="Z331" s="164"/>
      <c r="AA331" s="164"/>
      <c r="AB331" s="164"/>
      <c r="AC331" s="164"/>
      <c r="AD331" s="164"/>
      <c r="AE331" s="164"/>
      <c r="AF331" s="164"/>
      <c r="AG331" s="164"/>
      <c r="AH331" s="164"/>
      <c r="AI331" s="164"/>
      <c r="AJ331" s="164"/>
      <c r="AK331" s="164"/>
      <c r="AL331" s="164"/>
      <c r="AM331" s="164"/>
      <c r="AN331" s="165"/>
      <c r="AO331" s="166">
        <f t="shared" si="131"/>
        <v>0</v>
      </c>
      <c r="AP331" s="12"/>
      <c r="AQ331" s="167">
        <f t="shared" si="140"/>
        <v>0</v>
      </c>
      <c r="AR331" s="12"/>
      <c r="AS331" s="167">
        <f t="shared" si="141"/>
        <v>0</v>
      </c>
      <c r="AT331" s="168">
        <f t="shared" si="142"/>
        <v>0</v>
      </c>
      <c r="AU331" s="167">
        <f t="shared" si="143"/>
        <v>0</v>
      </c>
    </row>
    <row r="332" spans="1:47" ht="30" customHeight="1" x14ac:dyDescent="0.25">
      <c r="A332" s="76"/>
      <c r="B332" s="158" t="s">
        <v>1584</v>
      </c>
      <c r="C332" s="411" t="s">
        <v>1596</v>
      </c>
      <c r="D332" s="412"/>
      <c r="E332" s="408"/>
      <c r="F332" s="409"/>
      <c r="G332" s="397"/>
      <c r="H332" s="394"/>
      <c r="I332" s="162" t="s">
        <v>1138</v>
      </c>
      <c r="J332" s="163"/>
      <c r="K332" s="164"/>
      <c r="L332" s="164"/>
      <c r="M332" s="164"/>
      <c r="N332" s="164"/>
      <c r="O332" s="164"/>
      <c r="P332" s="164"/>
      <c r="Q332" s="164"/>
      <c r="R332" s="164"/>
      <c r="S332" s="164"/>
      <c r="T332" s="164"/>
      <c r="U332" s="164"/>
      <c r="V332" s="164"/>
      <c r="W332" s="164"/>
      <c r="X332" s="164"/>
      <c r="Y332" s="164"/>
      <c r="Z332" s="164"/>
      <c r="AA332" s="164"/>
      <c r="AB332" s="164"/>
      <c r="AC332" s="164"/>
      <c r="AD332" s="164"/>
      <c r="AE332" s="164"/>
      <c r="AF332" s="164"/>
      <c r="AG332" s="164"/>
      <c r="AH332" s="164"/>
      <c r="AI332" s="164"/>
      <c r="AJ332" s="164"/>
      <c r="AK332" s="164"/>
      <c r="AL332" s="164"/>
      <c r="AM332" s="164"/>
      <c r="AN332" s="165"/>
      <c r="AO332" s="166">
        <f t="shared" si="131"/>
        <v>0</v>
      </c>
      <c r="AP332" s="12"/>
      <c r="AQ332" s="167">
        <f t="shared" si="140"/>
        <v>0</v>
      </c>
      <c r="AR332" s="12"/>
      <c r="AS332" s="167">
        <f t="shared" si="141"/>
        <v>0</v>
      </c>
      <c r="AT332" s="168">
        <f t="shared" si="142"/>
        <v>0</v>
      </c>
      <c r="AU332" s="167">
        <f t="shared" si="143"/>
        <v>0</v>
      </c>
    </row>
    <row r="333" spans="1:47" ht="30" customHeight="1" x14ac:dyDescent="0.25">
      <c r="A333" s="76"/>
      <c r="B333" s="158" t="s">
        <v>1585</v>
      </c>
      <c r="C333" s="411" t="s">
        <v>1597</v>
      </c>
      <c r="D333" s="412"/>
      <c r="E333" s="408"/>
      <c r="F333" s="409"/>
      <c r="G333" s="397"/>
      <c r="H333" s="394"/>
      <c r="I333" s="162" t="s">
        <v>1138</v>
      </c>
      <c r="J333" s="163"/>
      <c r="K333" s="164">
        <v>10</v>
      </c>
      <c r="L333" s="164">
        <v>3</v>
      </c>
      <c r="M333" s="164">
        <v>2</v>
      </c>
      <c r="N333" s="164"/>
      <c r="O333" s="164"/>
      <c r="P333" s="164"/>
      <c r="Q333" s="164"/>
      <c r="R333" s="164"/>
      <c r="S333" s="164"/>
      <c r="T333" s="164"/>
      <c r="U333" s="164"/>
      <c r="V333" s="164"/>
      <c r="W333" s="164"/>
      <c r="X333" s="164"/>
      <c r="Y333" s="164"/>
      <c r="Z333" s="164"/>
      <c r="AA333" s="164"/>
      <c r="AB333" s="164"/>
      <c r="AC333" s="164"/>
      <c r="AD333" s="164"/>
      <c r="AE333" s="164"/>
      <c r="AF333" s="164"/>
      <c r="AG333" s="164"/>
      <c r="AH333" s="164"/>
      <c r="AI333" s="164"/>
      <c r="AJ333" s="164"/>
      <c r="AK333" s="164"/>
      <c r="AL333" s="164"/>
      <c r="AM333" s="164"/>
      <c r="AN333" s="165"/>
      <c r="AO333" s="166">
        <f t="shared" si="131"/>
        <v>15</v>
      </c>
      <c r="AP333" s="12"/>
      <c r="AQ333" s="167">
        <f t="shared" si="140"/>
        <v>0</v>
      </c>
      <c r="AR333" s="12"/>
      <c r="AS333" s="167">
        <f t="shared" si="141"/>
        <v>0</v>
      </c>
      <c r="AT333" s="168">
        <f t="shared" si="142"/>
        <v>0</v>
      </c>
      <c r="AU333" s="167">
        <f t="shared" si="143"/>
        <v>0</v>
      </c>
    </row>
    <row r="334" spans="1:47" ht="30" customHeight="1" x14ac:dyDescent="0.25">
      <c r="A334" s="76"/>
      <c r="B334" s="158" t="s">
        <v>1586</v>
      </c>
      <c r="C334" s="411" t="s">
        <v>1598</v>
      </c>
      <c r="D334" s="412"/>
      <c r="E334" s="408"/>
      <c r="F334" s="409"/>
      <c r="G334" s="397"/>
      <c r="H334" s="394"/>
      <c r="I334" s="162" t="s">
        <v>1138</v>
      </c>
      <c r="J334" s="163"/>
      <c r="K334" s="164">
        <v>10</v>
      </c>
      <c r="L334" s="164">
        <v>3</v>
      </c>
      <c r="M334" s="164">
        <v>2</v>
      </c>
      <c r="N334" s="164"/>
      <c r="O334" s="164"/>
      <c r="P334" s="164"/>
      <c r="Q334" s="164"/>
      <c r="R334" s="164"/>
      <c r="S334" s="164"/>
      <c r="T334" s="164"/>
      <c r="U334" s="164"/>
      <c r="V334" s="164"/>
      <c r="W334" s="164"/>
      <c r="X334" s="164"/>
      <c r="Y334" s="164"/>
      <c r="Z334" s="164"/>
      <c r="AA334" s="164"/>
      <c r="AB334" s="164"/>
      <c r="AC334" s="164"/>
      <c r="AD334" s="164"/>
      <c r="AE334" s="164"/>
      <c r="AF334" s="164"/>
      <c r="AG334" s="164"/>
      <c r="AH334" s="164"/>
      <c r="AI334" s="164"/>
      <c r="AJ334" s="164"/>
      <c r="AK334" s="164"/>
      <c r="AL334" s="164"/>
      <c r="AM334" s="164"/>
      <c r="AN334" s="165"/>
      <c r="AO334" s="166">
        <f t="shared" si="131"/>
        <v>15</v>
      </c>
      <c r="AP334" s="12"/>
      <c r="AQ334" s="167">
        <f t="shared" si="140"/>
        <v>0</v>
      </c>
      <c r="AR334" s="12"/>
      <c r="AS334" s="167">
        <f t="shared" si="141"/>
        <v>0</v>
      </c>
      <c r="AT334" s="168">
        <f t="shared" si="142"/>
        <v>0</v>
      </c>
      <c r="AU334" s="167">
        <f t="shared" si="143"/>
        <v>0</v>
      </c>
    </row>
    <row r="335" spans="1:47" ht="30" customHeight="1" x14ac:dyDescent="0.25">
      <c r="A335" s="76"/>
      <c r="B335" s="158" t="s">
        <v>1587</v>
      </c>
      <c r="C335" s="411" t="s">
        <v>1599</v>
      </c>
      <c r="D335" s="412"/>
      <c r="E335" s="408"/>
      <c r="F335" s="409"/>
      <c r="G335" s="397"/>
      <c r="H335" s="394"/>
      <c r="I335" s="162" t="s">
        <v>1138</v>
      </c>
      <c r="J335" s="163"/>
      <c r="K335" s="164"/>
      <c r="L335" s="164"/>
      <c r="M335" s="164"/>
      <c r="N335" s="164"/>
      <c r="O335" s="164"/>
      <c r="P335" s="164"/>
      <c r="Q335" s="164"/>
      <c r="R335" s="164"/>
      <c r="S335" s="164"/>
      <c r="T335" s="164"/>
      <c r="U335" s="164"/>
      <c r="V335" s="164"/>
      <c r="W335" s="164"/>
      <c r="X335" s="164"/>
      <c r="Y335" s="164"/>
      <c r="Z335" s="164"/>
      <c r="AA335" s="164"/>
      <c r="AB335" s="164"/>
      <c r="AC335" s="164"/>
      <c r="AD335" s="164"/>
      <c r="AE335" s="164"/>
      <c r="AF335" s="164"/>
      <c r="AG335" s="164"/>
      <c r="AH335" s="164"/>
      <c r="AI335" s="164"/>
      <c r="AJ335" s="164"/>
      <c r="AK335" s="164"/>
      <c r="AL335" s="164"/>
      <c r="AM335" s="164"/>
      <c r="AN335" s="165"/>
      <c r="AO335" s="166">
        <f t="shared" si="131"/>
        <v>0</v>
      </c>
      <c r="AP335" s="12"/>
      <c r="AQ335" s="167">
        <f t="shared" si="140"/>
        <v>0</v>
      </c>
      <c r="AR335" s="12"/>
      <c r="AS335" s="167">
        <f t="shared" si="141"/>
        <v>0</v>
      </c>
      <c r="AT335" s="168">
        <f t="shared" si="142"/>
        <v>0</v>
      </c>
      <c r="AU335" s="167">
        <f t="shared" si="143"/>
        <v>0</v>
      </c>
    </row>
    <row r="336" spans="1:47" ht="30" customHeight="1" x14ac:dyDescent="0.25">
      <c r="A336" s="76"/>
      <c r="B336" s="158" t="s">
        <v>1588</v>
      </c>
      <c r="C336" s="411" t="s">
        <v>1600</v>
      </c>
      <c r="D336" s="412"/>
      <c r="E336" s="408"/>
      <c r="F336" s="409"/>
      <c r="G336" s="397"/>
      <c r="H336" s="394"/>
      <c r="I336" s="162" t="s">
        <v>1138</v>
      </c>
      <c r="J336" s="163"/>
      <c r="K336" s="164"/>
      <c r="L336" s="164"/>
      <c r="M336" s="164"/>
      <c r="N336" s="164"/>
      <c r="O336" s="164"/>
      <c r="P336" s="164"/>
      <c r="Q336" s="164"/>
      <c r="R336" s="164"/>
      <c r="S336" s="164"/>
      <c r="T336" s="164"/>
      <c r="U336" s="164"/>
      <c r="V336" s="164"/>
      <c r="W336" s="164"/>
      <c r="X336" s="164"/>
      <c r="Y336" s="164"/>
      <c r="Z336" s="164"/>
      <c r="AA336" s="164"/>
      <c r="AB336" s="164"/>
      <c r="AC336" s="164"/>
      <c r="AD336" s="164"/>
      <c r="AE336" s="164"/>
      <c r="AF336" s="164"/>
      <c r="AG336" s="164"/>
      <c r="AH336" s="164"/>
      <c r="AI336" s="164"/>
      <c r="AJ336" s="164"/>
      <c r="AK336" s="164"/>
      <c r="AL336" s="164"/>
      <c r="AM336" s="164"/>
      <c r="AN336" s="165"/>
      <c r="AO336" s="166">
        <f t="shared" si="131"/>
        <v>0</v>
      </c>
      <c r="AP336" s="12"/>
      <c r="AQ336" s="167">
        <f t="shared" si="140"/>
        <v>0</v>
      </c>
      <c r="AR336" s="12"/>
      <c r="AS336" s="167">
        <f t="shared" si="141"/>
        <v>0</v>
      </c>
      <c r="AT336" s="168">
        <f t="shared" si="142"/>
        <v>0</v>
      </c>
      <c r="AU336" s="167">
        <f t="shared" si="143"/>
        <v>0</v>
      </c>
    </row>
    <row r="337" spans="1:47" ht="30" customHeight="1" x14ac:dyDescent="0.25">
      <c r="A337" s="76"/>
      <c r="B337" s="158" t="s">
        <v>1589</v>
      </c>
      <c r="C337" s="411" t="s">
        <v>1601</v>
      </c>
      <c r="D337" s="412"/>
      <c r="E337" s="408"/>
      <c r="F337" s="409"/>
      <c r="G337" s="397"/>
      <c r="H337" s="394"/>
      <c r="I337" s="162" t="s">
        <v>1138</v>
      </c>
      <c r="J337" s="163"/>
      <c r="K337" s="164"/>
      <c r="L337" s="164"/>
      <c r="M337" s="164"/>
      <c r="N337" s="164"/>
      <c r="O337" s="164"/>
      <c r="P337" s="164"/>
      <c r="Q337" s="164"/>
      <c r="R337" s="164"/>
      <c r="S337" s="164"/>
      <c r="T337" s="164"/>
      <c r="U337" s="164"/>
      <c r="V337" s="164"/>
      <c r="W337" s="164"/>
      <c r="X337" s="164"/>
      <c r="Y337" s="164"/>
      <c r="Z337" s="164"/>
      <c r="AA337" s="164"/>
      <c r="AB337" s="164"/>
      <c r="AC337" s="164"/>
      <c r="AD337" s="164"/>
      <c r="AE337" s="164"/>
      <c r="AF337" s="164"/>
      <c r="AG337" s="164"/>
      <c r="AH337" s="164"/>
      <c r="AI337" s="164"/>
      <c r="AJ337" s="164"/>
      <c r="AK337" s="164"/>
      <c r="AL337" s="164"/>
      <c r="AM337" s="164"/>
      <c r="AN337" s="165"/>
      <c r="AO337" s="166">
        <f t="shared" si="131"/>
        <v>0</v>
      </c>
      <c r="AP337" s="12"/>
      <c r="AQ337" s="167">
        <f t="shared" si="140"/>
        <v>0</v>
      </c>
      <c r="AR337" s="12"/>
      <c r="AS337" s="167">
        <f t="shared" si="141"/>
        <v>0</v>
      </c>
      <c r="AT337" s="168">
        <f t="shared" si="142"/>
        <v>0</v>
      </c>
      <c r="AU337" s="167">
        <f t="shared" si="143"/>
        <v>0</v>
      </c>
    </row>
    <row r="338" spans="1:47" ht="30" customHeight="1" x14ac:dyDescent="0.25">
      <c r="A338" s="76"/>
      <c r="B338" s="169" t="s">
        <v>1590</v>
      </c>
      <c r="C338" s="404" t="s">
        <v>1602</v>
      </c>
      <c r="D338" s="405"/>
      <c r="E338" s="400"/>
      <c r="F338" s="402"/>
      <c r="G338" s="398"/>
      <c r="H338" s="395"/>
      <c r="I338" s="173" t="s">
        <v>1138</v>
      </c>
      <c r="J338" s="174"/>
      <c r="K338" s="175"/>
      <c r="L338" s="175"/>
      <c r="M338" s="175"/>
      <c r="N338" s="175"/>
      <c r="O338" s="175"/>
      <c r="P338" s="175"/>
      <c r="Q338" s="175"/>
      <c r="R338" s="175"/>
      <c r="S338" s="175"/>
      <c r="T338" s="175"/>
      <c r="U338" s="175"/>
      <c r="V338" s="175"/>
      <c r="W338" s="175"/>
      <c r="X338" s="175"/>
      <c r="Y338" s="175"/>
      <c r="Z338" s="175"/>
      <c r="AA338" s="175"/>
      <c r="AB338" s="175"/>
      <c r="AC338" s="175"/>
      <c r="AD338" s="175"/>
      <c r="AE338" s="175"/>
      <c r="AF338" s="175"/>
      <c r="AG338" s="175"/>
      <c r="AH338" s="175"/>
      <c r="AI338" s="175"/>
      <c r="AJ338" s="175"/>
      <c r="AK338" s="175"/>
      <c r="AL338" s="175"/>
      <c r="AM338" s="175"/>
      <c r="AN338" s="176"/>
      <c r="AO338" s="177">
        <f t="shared" si="131"/>
        <v>0</v>
      </c>
      <c r="AP338" s="14"/>
      <c r="AQ338" s="178">
        <f t="shared" si="140"/>
        <v>0</v>
      </c>
      <c r="AR338" s="14"/>
      <c r="AS338" s="178">
        <f t="shared" si="141"/>
        <v>0</v>
      </c>
      <c r="AT338" s="179">
        <f t="shared" si="142"/>
        <v>0</v>
      </c>
      <c r="AU338" s="178">
        <f t="shared" si="143"/>
        <v>0</v>
      </c>
    </row>
    <row r="339" spans="1:47" ht="30" customHeight="1" x14ac:dyDescent="0.25">
      <c r="A339" s="76"/>
      <c r="B339" s="148" t="s">
        <v>1604</v>
      </c>
      <c r="C339" s="406" t="s">
        <v>1612</v>
      </c>
      <c r="D339" s="407"/>
      <c r="E339" s="399" t="s">
        <v>1620</v>
      </c>
      <c r="F339" s="401"/>
      <c r="G339" s="424" t="s">
        <v>1079</v>
      </c>
      <c r="H339" s="403" t="s">
        <v>1079</v>
      </c>
      <c r="I339" s="151" t="s">
        <v>1138</v>
      </c>
      <c r="J339" s="152"/>
      <c r="K339" s="153">
        <v>13</v>
      </c>
      <c r="L339" s="153">
        <v>9</v>
      </c>
      <c r="M339" s="153"/>
      <c r="N339" s="153"/>
      <c r="O339" s="153"/>
      <c r="P339" s="153"/>
      <c r="Q339" s="153"/>
      <c r="R339" s="153"/>
      <c r="S339" s="153"/>
      <c r="T339" s="153"/>
      <c r="U339" s="153"/>
      <c r="V339" s="153"/>
      <c r="W339" s="153"/>
      <c r="X339" s="153"/>
      <c r="Y339" s="153"/>
      <c r="Z339" s="153"/>
      <c r="AA339" s="153"/>
      <c r="AB339" s="153"/>
      <c r="AC339" s="153"/>
      <c r="AD339" s="153"/>
      <c r="AE339" s="153"/>
      <c r="AF339" s="153"/>
      <c r="AG339" s="153"/>
      <c r="AH339" s="153"/>
      <c r="AI339" s="153"/>
      <c r="AJ339" s="153"/>
      <c r="AK339" s="153"/>
      <c r="AL339" s="153"/>
      <c r="AM339" s="153"/>
      <c r="AN339" s="154"/>
      <c r="AO339" s="155">
        <f t="shared" si="131"/>
        <v>22</v>
      </c>
      <c r="AP339" s="13"/>
      <c r="AQ339" s="156">
        <f t="shared" ref="AQ339:AQ346" si="144">+AP339*AO339</f>
        <v>0</v>
      </c>
      <c r="AR339" s="13"/>
      <c r="AS339" s="156">
        <f t="shared" ref="AS339:AS346" si="145">+AR339*AO339</f>
        <v>0</v>
      </c>
      <c r="AT339" s="157">
        <f t="shared" ref="AT339:AT346" si="146">+AR339+AP339</f>
        <v>0</v>
      </c>
      <c r="AU339" s="156">
        <f t="shared" ref="AU339:AU346" si="147">+AT339*AO339</f>
        <v>0</v>
      </c>
    </row>
    <row r="340" spans="1:47" ht="30" customHeight="1" x14ac:dyDescent="0.25">
      <c r="A340" s="76"/>
      <c r="B340" s="158" t="s">
        <v>1605</v>
      </c>
      <c r="C340" s="411" t="s">
        <v>1613</v>
      </c>
      <c r="D340" s="412"/>
      <c r="E340" s="408"/>
      <c r="F340" s="409"/>
      <c r="G340" s="397"/>
      <c r="H340" s="394"/>
      <c r="I340" s="162" t="s">
        <v>1138</v>
      </c>
      <c r="J340" s="163"/>
      <c r="K340" s="164"/>
      <c r="L340" s="164"/>
      <c r="M340" s="164"/>
      <c r="N340" s="164"/>
      <c r="O340" s="164"/>
      <c r="P340" s="164"/>
      <c r="Q340" s="164"/>
      <c r="R340" s="164"/>
      <c r="S340" s="164"/>
      <c r="T340" s="164"/>
      <c r="U340" s="164"/>
      <c r="V340" s="164"/>
      <c r="W340" s="164"/>
      <c r="X340" s="164"/>
      <c r="Y340" s="164"/>
      <c r="Z340" s="164"/>
      <c r="AA340" s="164"/>
      <c r="AB340" s="164"/>
      <c r="AC340" s="164"/>
      <c r="AD340" s="164"/>
      <c r="AE340" s="164"/>
      <c r="AF340" s="164"/>
      <c r="AG340" s="164"/>
      <c r="AH340" s="164"/>
      <c r="AI340" s="164"/>
      <c r="AJ340" s="164"/>
      <c r="AK340" s="164"/>
      <c r="AL340" s="164"/>
      <c r="AM340" s="164"/>
      <c r="AN340" s="165"/>
      <c r="AO340" s="166">
        <f t="shared" si="131"/>
        <v>0</v>
      </c>
      <c r="AP340" s="12"/>
      <c r="AQ340" s="167">
        <f t="shared" si="144"/>
        <v>0</v>
      </c>
      <c r="AR340" s="12"/>
      <c r="AS340" s="167">
        <f t="shared" si="145"/>
        <v>0</v>
      </c>
      <c r="AT340" s="168">
        <f t="shared" si="146"/>
        <v>0</v>
      </c>
      <c r="AU340" s="167">
        <f t="shared" si="147"/>
        <v>0</v>
      </c>
    </row>
    <row r="341" spans="1:47" ht="30" customHeight="1" x14ac:dyDescent="0.25">
      <c r="A341" s="76"/>
      <c r="B341" s="158" t="s">
        <v>1606</v>
      </c>
      <c r="C341" s="411" t="s">
        <v>1614</v>
      </c>
      <c r="D341" s="412"/>
      <c r="E341" s="408"/>
      <c r="F341" s="409"/>
      <c r="G341" s="397"/>
      <c r="H341" s="394"/>
      <c r="I341" s="162" t="s">
        <v>1138</v>
      </c>
      <c r="J341" s="163"/>
      <c r="K341" s="164"/>
      <c r="L341" s="164"/>
      <c r="M341" s="164"/>
      <c r="N341" s="164"/>
      <c r="O341" s="164"/>
      <c r="P341" s="164"/>
      <c r="Q341" s="164"/>
      <c r="R341" s="164"/>
      <c r="S341" s="164"/>
      <c r="T341" s="164"/>
      <c r="U341" s="164"/>
      <c r="V341" s="164"/>
      <c r="W341" s="164"/>
      <c r="X341" s="164"/>
      <c r="Y341" s="164"/>
      <c r="Z341" s="164"/>
      <c r="AA341" s="164"/>
      <c r="AB341" s="164"/>
      <c r="AC341" s="164"/>
      <c r="AD341" s="164"/>
      <c r="AE341" s="164"/>
      <c r="AF341" s="164"/>
      <c r="AG341" s="164"/>
      <c r="AH341" s="164"/>
      <c r="AI341" s="164"/>
      <c r="AJ341" s="164"/>
      <c r="AK341" s="164"/>
      <c r="AL341" s="164"/>
      <c r="AM341" s="164"/>
      <c r="AN341" s="165"/>
      <c r="AO341" s="166">
        <f t="shared" si="131"/>
        <v>0</v>
      </c>
      <c r="AP341" s="12"/>
      <c r="AQ341" s="167">
        <f t="shared" si="144"/>
        <v>0</v>
      </c>
      <c r="AR341" s="12"/>
      <c r="AS341" s="167">
        <f t="shared" si="145"/>
        <v>0</v>
      </c>
      <c r="AT341" s="168">
        <f t="shared" si="146"/>
        <v>0</v>
      </c>
      <c r="AU341" s="167">
        <f t="shared" si="147"/>
        <v>0</v>
      </c>
    </row>
    <row r="342" spans="1:47" ht="30" customHeight="1" x14ac:dyDescent="0.25">
      <c r="A342" s="76"/>
      <c r="B342" s="158" t="s">
        <v>1607</v>
      </c>
      <c r="C342" s="411" t="s">
        <v>1615</v>
      </c>
      <c r="D342" s="412"/>
      <c r="E342" s="408"/>
      <c r="F342" s="409"/>
      <c r="G342" s="397"/>
      <c r="H342" s="394"/>
      <c r="I342" s="162" t="s">
        <v>1138</v>
      </c>
      <c r="J342" s="163"/>
      <c r="K342" s="164"/>
      <c r="L342" s="164"/>
      <c r="M342" s="164"/>
      <c r="N342" s="164"/>
      <c r="O342" s="164"/>
      <c r="P342" s="164"/>
      <c r="Q342" s="164"/>
      <c r="R342" s="164"/>
      <c r="S342" s="164"/>
      <c r="T342" s="164"/>
      <c r="U342" s="164"/>
      <c r="V342" s="164"/>
      <c r="W342" s="164"/>
      <c r="X342" s="164"/>
      <c r="Y342" s="164"/>
      <c r="Z342" s="164"/>
      <c r="AA342" s="164"/>
      <c r="AB342" s="164"/>
      <c r="AC342" s="164"/>
      <c r="AD342" s="164"/>
      <c r="AE342" s="164"/>
      <c r="AF342" s="164"/>
      <c r="AG342" s="164"/>
      <c r="AH342" s="164"/>
      <c r="AI342" s="164"/>
      <c r="AJ342" s="164"/>
      <c r="AK342" s="164"/>
      <c r="AL342" s="164"/>
      <c r="AM342" s="164"/>
      <c r="AN342" s="165"/>
      <c r="AO342" s="166">
        <f t="shared" si="131"/>
        <v>0</v>
      </c>
      <c r="AP342" s="12"/>
      <c r="AQ342" s="167">
        <f t="shared" si="144"/>
        <v>0</v>
      </c>
      <c r="AR342" s="12"/>
      <c r="AS342" s="167">
        <f t="shared" si="145"/>
        <v>0</v>
      </c>
      <c r="AT342" s="168">
        <f t="shared" si="146"/>
        <v>0</v>
      </c>
      <c r="AU342" s="167">
        <f t="shared" si="147"/>
        <v>0</v>
      </c>
    </row>
    <row r="343" spans="1:47" ht="30" customHeight="1" x14ac:dyDescent="0.25">
      <c r="A343" s="76"/>
      <c r="B343" s="158" t="s">
        <v>1608</v>
      </c>
      <c r="C343" s="411" t="s">
        <v>1616</v>
      </c>
      <c r="D343" s="412"/>
      <c r="E343" s="408"/>
      <c r="F343" s="409"/>
      <c r="G343" s="397"/>
      <c r="H343" s="394"/>
      <c r="I343" s="162" t="s">
        <v>1138</v>
      </c>
      <c r="J343" s="163"/>
      <c r="K343" s="164"/>
      <c r="L343" s="164"/>
      <c r="M343" s="164"/>
      <c r="N343" s="164"/>
      <c r="O343" s="164"/>
      <c r="P343" s="164"/>
      <c r="Q343" s="164"/>
      <c r="R343" s="164"/>
      <c r="S343" s="164"/>
      <c r="T343" s="164"/>
      <c r="U343" s="164"/>
      <c r="V343" s="164"/>
      <c r="W343" s="164"/>
      <c r="X343" s="164"/>
      <c r="Y343" s="164"/>
      <c r="Z343" s="164"/>
      <c r="AA343" s="164"/>
      <c r="AB343" s="164"/>
      <c r="AC343" s="164"/>
      <c r="AD343" s="164"/>
      <c r="AE343" s="164"/>
      <c r="AF343" s="164"/>
      <c r="AG343" s="164"/>
      <c r="AH343" s="164"/>
      <c r="AI343" s="164"/>
      <c r="AJ343" s="164"/>
      <c r="AK343" s="164"/>
      <c r="AL343" s="164"/>
      <c r="AM343" s="164"/>
      <c r="AN343" s="165"/>
      <c r="AO343" s="166">
        <f t="shared" si="131"/>
        <v>0</v>
      </c>
      <c r="AP343" s="12"/>
      <c r="AQ343" s="167">
        <f t="shared" si="144"/>
        <v>0</v>
      </c>
      <c r="AR343" s="12"/>
      <c r="AS343" s="167">
        <f t="shared" si="145"/>
        <v>0</v>
      </c>
      <c r="AT343" s="168">
        <f t="shared" si="146"/>
        <v>0</v>
      </c>
      <c r="AU343" s="167">
        <f t="shared" si="147"/>
        <v>0</v>
      </c>
    </row>
    <row r="344" spans="1:47" ht="30" customHeight="1" x14ac:dyDescent="0.25">
      <c r="A344" s="76"/>
      <c r="B344" s="158" t="s">
        <v>1609</v>
      </c>
      <c r="C344" s="411" t="s">
        <v>1617</v>
      </c>
      <c r="D344" s="412"/>
      <c r="E344" s="408"/>
      <c r="F344" s="409"/>
      <c r="G344" s="428"/>
      <c r="H344" s="394"/>
      <c r="I344" s="162" t="s">
        <v>1138</v>
      </c>
      <c r="J344" s="163"/>
      <c r="K344" s="164"/>
      <c r="L344" s="164"/>
      <c r="M344" s="164"/>
      <c r="N344" s="164"/>
      <c r="O344" s="164"/>
      <c r="P344" s="164"/>
      <c r="Q344" s="164"/>
      <c r="R344" s="164"/>
      <c r="S344" s="164"/>
      <c r="T344" s="164"/>
      <c r="U344" s="164"/>
      <c r="V344" s="164"/>
      <c r="W344" s="164"/>
      <c r="X344" s="164"/>
      <c r="Y344" s="164"/>
      <c r="Z344" s="164"/>
      <c r="AA344" s="164"/>
      <c r="AB344" s="164"/>
      <c r="AC344" s="164"/>
      <c r="AD344" s="164"/>
      <c r="AE344" s="164"/>
      <c r="AF344" s="164"/>
      <c r="AG344" s="164"/>
      <c r="AH344" s="164"/>
      <c r="AI344" s="164"/>
      <c r="AJ344" s="164"/>
      <c r="AK344" s="164"/>
      <c r="AL344" s="164"/>
      <c r="AM344" s="164"/>
      <c r="AN344" s="165"/>
      <c r="AO344" s="166">
        <f t="shared" si="131"/>
        <v>0</v>
      </c>
      <c r="AP344" s="12"/>
      <c r="AQ344" s="167">
        <f t="shared" si="144"/>
        <v>0</v>
      </c>
      <c r="AR344" s="12"/>
      <c r="AS344" s="167">
        <f t="shared" si="145"/>
        <v>0</v>
      </c>
      <c r="AT344" s="168">
        <f t="shared" si="146"/>
        <v>0</v>
      </c>
      <c r="AU344" s="167">
        <f t="shared" si="147"/>
        <v>0</v>
      </c>
    </row>
    <row r="345" spans="1:47" ht="30" customHeight="1" x14ac:dyDescent="0.25">
      <c r="A345" s="76"/>
      <c r="B345" s="158" t="s">
        <v>1610</v>
      </c>
      <c r="C345" s="411" t="s">
        <v>1618</v>
      </c>
      <c r="D345" s="412"/>
      <c r="E345" s="408"/>
      <c r="F345" s="409"/>
      <c r="G345" s="429" t="s">
        <v>2299</v>
      </c>
      <c r="H345" s="394"/>
      <c r="I345" s="162" t="s">
        <v>1138</v>
      </c>
      <c r="J345" s="163"/>
      <c r="K345" s="164"/>
      <c r="L345" s="164"/>
      <c r="M345" s="164"/>
      <c r="N345" s="164">
        <v>2</v>
      </c>
      <c r="O345" s="164"/>
      <c r="P345" s="164"/>
      <c r="Q345" s="164"/>
      <c r="R345" s="164"/>
      <c r="S345" s="164"/>
      <c r="T345" s="164"/>
      <c r="U345" s="164"/>
      <c r="V345" s="164"/>
      <c r="W345" s="164"/>
      <c r="X345" s="164"/>
      <c r="Y345" s="164"/>
      <c r="Z345" s="164"/>
      <c r="AA345" s="164"/>
      <c r="AB345" s="164"/>
      <c r="AC345" s="164"/>
      <c r="AD345" s="164"/>
      <c r="AE345" s="164"/>
      <c r="AF345" s="164"/>
      <c r="AG345" s="164"/>
      <c r="AH345" s="164"/>
      <c r="AI345" s="164"/>
      <c r="AJ345" s="164"/>
      <c r="AK345" s="164"/>
      <c r="AL345" s="164"/>
      <c r="AM345" s="164"/>
      <c r="AN345" s="165"/>
      <c r="AO345" s="166">
        <f t="shared" si="131"/>
        <v>2</v>
      </c>
      <c r="AP345" s="12"/>
      <c r="AQ345" s="167">
        <f t="shared" si="144"/>
        <v>0</v>
      </c>
      <c r="AR345" s="12"/>
      <c r="AS345" s="167">
        <f t="shared" si="145"/>
        <v>0</v>
      </c>
      <c r="AT345" s="168">
        <f t="shared" si="146"/>
        <v>0</v>
      </c>
      <c r="AU345" s="167">
        <f t="shared" si="147"/>
        <v>0</v>
      </c>
    </row>
    <row r="346" spans="1:47" ht="30" customHeight="1" x14ac:dyDescent="0.25">
      <c r="A346" s="76"/>
      <c r="B346" s="169" t="s">
        <v>1611</v>
      </c>
      <c r="C346" s="404" t="s">
        <v>1619</v>
      </c>
      <c r="D346" s="405"/>
      <c r="E346" s="400"/>
      <c r="F346" s="402"/>
      <c r="G346" s="423"/>
      <c r="H346" s="395"/>
      <c r="I346" s="173" t="s">
        <v>1138</v>
      </c>
      <c r="J346" s="174"/>
      <c r="K346" s="175"/>
      <c r="L346" s="175"/>
      <c r="M346" s="175"/>
      <c r="N346" s="175">
        <v>1</v>
      </c>
      <c r="O346" s="175"/>
      <c r="P346" s="175"/>
      <c r="Q346" s="175"/>
      <c r="R346" s="175"/>
      <c r="S346" s="175"/>
      <c r="T346" s="175"/>
      <c r="U346" s="175"/>
      <c r="V346" s="175"/>
      <c r="W346" s="175"/>
      <c r="X346" s="175"/>
      <c r="Y346" s="175"/>
      <c r="Z346" s="175"/>
      <c r="AA346" s="175"/>
      <c r="AB346" s="175"/>
      <c r="AC346" s="175"/>
      <c r="AD346" s="175"/>
      <c r="AE346" s="175"/>
      <c r="AF346" s="175"/>
      <c r="AG346" s="175"/>
      <c r="AH346" s="175"/>
      <c r="AI346" s="175"/>
      <c r="AJ346" s="175"/>
      <c r="AK346" s="175"/>
      <c r="AL346" s="175"/>
      <c r="AM346" s="175"/>
      <c r="AN346" s="176"/>
      <c r="AO346" s="177">
        <f t="shared" si="131"/>
        <v>1</v>
      </c>
      <c r="AP346" s="12"/>
      <c r="AQ346" s="178">
        <f t="shared" si="144"/>
        <v>0</v>
      </c>
      <c r="AR346" s="14"/>
      <c r="AS346" s="178">
        <f t="shared" si="145"/>
        <v>0</v>
      </c>
      <c r="AT346" s="179">
        <f t="shared" si="146"/>
        <v>0</v>
      </c>
      <c r="AU346" s="178">
        <f t="shared" si="147"/>
        <v>0</v>
      </c>
    </row>
    <row r="347" spans="1:47" ht="52.5" customHeight="1" x14ac:dyDescent="0.25">
      <c r="A347" s="140"/>
      <c r="B347" s="37">
        <v>11</v>
      </c>
      <c r="C347" s="270" t="s">
        <v>1621</v>
      </c>
      <c r="D347" s="271"/>
      <c r="E347" s="271"/>
      <c r="F347" s="356"/>
      <c r="G347" s="97"/>
      <c r="H347" s="84"/>
      <c r="I347" s="97"/>
      <c r="J347" s="83"/>
      <c r="K347" s="83"/>
      <c r="L347" s="83"/>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4"/>
      <c r="AP347" s="78"/>
      <c r="AQ347" s="79">
        <f>SUM(AQ348:AQ411)</f>
        <v>0</v>
      </c>
      <c r="AR347" s="78"/>
      <c r="AS347" s="79">
        <f>SUM(AS348:AS411)</f>
        <v>0</v>
      </c>
      <c r="AT347" s="78"/>
      <c r="AU347" s="79">
        <f>SUM(AU348:AU411)</f>
        <v>0</v>
      </c>
    </row>
    <row r="348" spans="1:47" ht="30" customHeight="1" x14ac:dyDescent="0.25">
      <c r="A348" s="76"/>
      <c r="B348" s="148" t="s">
        <v>1638</v>
      </c>
      <c r="C348" s="406" t="s">
        <v>1622</v>
      </c>
      <c r="D348" s="407"/>
      <c r="E348" s="399" t="s">
        <v>1635</v>
      </c>
      <c r="F348" s="401" t="s">
        <v>1636</v>
      </c>
      <c r="G348" s="424" t="s">
        <v>1079</v>
      </c>
      <c r="H348" s="403" t="s">
        <v>1079</v>
      </c>
      <c r="I348" s="151" t="s">
        <v>1138</v>
      </c>
      <c r="J348" s="152">
        <v>1</v>
      </c>
      <c r="K348" s="153">
        <v>7</v>
      </c>
      <c r="L348" s="153">
        <v>4</v>
      </c>
      <c r="M348" s="153">
        <v>1</v>
      </c>
      <c r="N348" s="153"/>
      <c r="O348" s="153"/>
      <c r="P348" s="153"/>
      <c r="Q348" s="153"/>
      <c r="R348" s="153"/>
      <c r="S348" s="153"/>
      <c r="T348" s="153"/>
      <c r="U348" s="153"/>
      <c r="V348" s="153"/>
      <c r="W348" s="153"/>
      <c r="X348" s="153"/>
      <c r="Y348" s="153"/>
      <c r="Z348" s="153"/>
      <c r="AA348" s="153"/>
      <c r="AB348" s="153"/>
      <c r="AC348" s="153"/>
      <c r="AD348" s="153"/>
      <c r="AE348" s="153"/>
      <c r="AF348" s="153"/>
      <c r="AG348" s="153"/>
      <c r="AH348" s="153"/>
      <c r="AI348" s="153"/>
      <c r="AJ348" s="153"/>
      <c r="AK348" s="153"/>
      <c r="AL348" s="153"/>
      <c r="AM348" s="153"/>
      <c r="AN348" s="154"/>
      <c r="AO348" s="155">
        <f t="shared" ref="AO348:AO411" si="148">SUM(J348:AN348)</f>
        <v>13</v>
      </c>
      <c r="AP348" s="13"/>
      <c r="AQ348" s="156">
        <f t="shared" ref="AQ348:AQ360" si="149">+AP348*AO348</f>
        <v>0</v>
      </c>
      <c r="AR348" s="13"/>
      <c r="AS348" s="156">
        <f t="shared" ref="AS348:AS360" si="150">+AR348*AO348</f>
        <v>0</v>
      </c>
      <c r="AT348" s="157">
        <f t="shared" ref="AT348:AT360" si="151">+AR348+AP348</f>
        <v>0</v>
      </c>
      <c r="AU348" s="156">
        <f t="shared" ref="AU348:AU360" si="152">+AT348*AO348</f>
        <v>0</v>
      </c>
    </row>
    <row r="349" spans="1:47" ht="30" customHeight="1" x14ac:dyDescent="0.25">
      <c r="A349" s="76"/>
      <c r="B349" s="158" t="s">
        <v>1639</v>
      </c>
      <c r="C349" s="411" t="s">
        <v>1623</v>
      </c>
      <c r="D349" s="412"/>
      <c r="E349" s="408"/>
      <c r="F349" s="409"/>
      <c r="G349" s="397"/>
      <c r="H349" s="394"/>
      <c r="I349" s="162" t="s">
        <v>1138</v>
      </c>
      <c r="J349" s="163">
        <v>2</v>
      </c>
      <c r="K349" s="164">
        <v>10</v>
      </c>
      <c r="L349" s="164">
        <v>7</v>
      </c>
      <c r="M349" s="164">
        <v>2</v>
      </c>
      <c r="N349" s="164"/>
      <c r="O349" s="164"/>
      <c r="P349" s="164"/>
      <c r="Q349" s="164"/>
      <c r="R349" s="164"/>
      <c r="S349" s="164"/>
      <c r="T349" s="164"/>
      <c r="U349" s="164"/>
      <c r="V349" s="164"/>
      <c r="W349" s="164"/>
      <c r="X349" s="164"/>
      <c r="Y349" s="164"/>
      <c r="Z349" s="164"/>
      <c r="AA349" s="164"/>
      <c r="AB349" s="164"/>
      <c r="AC349" s="164"/>
      <c r="AD349" s="164"/>
      <c r="AE349" s="164"/>
      <c r="AF349" s="164"/>
      <c r="AG349" s="164"/>
      <c r="AH349" s="164"/>
      <c r="AI349" s="164"/>
      <c r="AJ349" s="164"/>
      <c r="AK349" s="164"/>
      <c r="AL349" s="164"/>
      <c r="AM349" s="164"/>
      <c r="AN349" s="165"/>
      <c r="AO349" s="166">
        <f t="shared" si="148"/>
        <v>21</v>
      </c>
      <c r="AP349" s="12"/>
      <c r="AQ349" s="167">
        <f t="shared" si="149"/>
        <v>0</v>
      </c>
      <c r="AR349" s="12"/>
      <c r="AS349" s="167">
        <f t="shared" si="150"/>
        <v>0</v>
      </c>
      <c r="AT349" s="168">
        <f t="shared" si="151"/>
        <v>0</v>
      </c>
      <c r="AU349" s="167">
        <f t="shared" si="152"/>
        <v>0</v>
      </c>
    </row>
    <row r="350" spans="1:47" ht="30" customHeight="1" x14ac:dyDescent="0.25">
      <c r="A350" s="76"/>
      <c r="B350" s="158" t="s">
        <v>1640</v>
      </c>
      <c r="C350" s="411" t="s">
        <v>1624</v>
      </c>
      <c r="D350" s="412"/>
      <c r="E350" s="408"/>
      <c r="F350" s="409"/>
      <c r="G350" s="397"/>
      <c r="H350" s="394"/>
      <c r="I350" s="162" t="s">
        <v>1138</v>
      </c>
      <c r="J350" s="163"/>
      <c r="K350" s="164">
        <v>2</v>
      </c>
      <c r="L350" s="164"/>
      <c r="M350" s="164"/>
      <c r="N350" s="164"/>
      <c r="O350" s="164"/>
      <c r="P350" s="164"/>
      <c r="Q350" s="164"/>
      <c r="R350" s="164"/>
      <c r="S350" s="164"/>
      <c r="T350" s="164"/>
      <c r="U350" s="164"/>
      <c r="V350" s="164"/>
      <c r="W350" s="164"/>
      <c r="X350" s="164"/>
      <c r="Y350" s="164"/>
      <c r="Z350" s="164"/>
      <c r="AA350" s="164"/>
      <c r="AB350" s="164"/>
      <c r="AC350" s="164"/>
      <c r="AD350" s="164"/>
      <c r="AE350" s="164"/>
      <c r="AF350" s="164"/>
      <c r="AG350" s="164"/>
      <c r="AH350" s="164"/>
      <c r="AI350" s="164"/>
      <c r="AJ350" s="164"/>
      <c r="AK350" s="164"/>
      <c r="AL350" s="164"/>
      <c r="AM350" s="164"/>
      <c r="AN350" s="165"/>
      <c r="AO350" s="166">
        <f t="shared" si="148"/>
        <v>2</v>
      </c>
      <c r="AP350" s="12"/>
      <c r="AQ350" s="167">
        <f t="shared" si="149"/>
        <v>0</v>
      </c>
      <c r="AR350" s="12"/>
      <c r="AS350" s="167">
        <f t="shared" si="150"/>
        <v>0</v>
      </c>
      <c r="AT350" s="168">
        <f t="shared" si="151"/>
        <v>0</v>
      </c>
      <c r="AU350" s="167">
        <f t="shared" si="152"/>
        <v>0</v>
      </c>
    </row>
    <row r="351" spans="1:47" ht="30" customHeight="1" x14ac:dyDescent="0.25">
      <c r="A351" s="76"/>
      <c r="B351" s="158" t="s">
        <v>1641</v>
      </c>
      <c r="C351" s="411" t="s">
        <v>1625</v>
      </c>
      <c r="D351" s="412"/>
      <c r="E351" s="408"/>
      <c r="F351" s="409"/>
      <c r="G351" s="397"/>
      <c r="H351" s="394"/>
      <c r="I351" s="162" t="s">
        <v>1138</v>
      </c>
      <c r="J351" s="163"/>
      <c r="K351" s="164">
        <v>4</v>
      </c>
      <c r="L351" s="164">
        <v>4</v>
      </c>
      <c r="M351" s="164"/>
      <c r="N351" s="164"/>
      <c r="O351" s="164"/>
      <c r="P351" s="164"/>
      <c r="Q351" s="164"/>
      <c r="R351" s="164"/>
      <c r="S351" s="164"/>
      <c r="T351" s="164"/>
      <c r="U351" s="164"/>
      <c r="V351" s="164"/>
      <c r="W351" s="164"/>
      <c r="X351" s="164"/>
      <c r="Y351" s="164"/>
      <c r="Z351" s="164"/>
      <c r="AA351" s="164"/>
      <c r="AB351" s="164"/>
      <c r="AC351" s="164"/>
      <c r="AD351" s="164"/>
      <c r="AE351" s="164"/>
      <c r="AF351" s="164"/>
      <c r="AG351" s="164"/>
      <c r="AH351" s="164"/>
      <c r="AI351" s="164"/>
      <c r="AJ351" s="164"/>
      <c r="AK351" s="164"/>
      <c r="AL351" s="164"/>
      <c r="AM351" s="164"/>
      <c r="AN351" s="165"/>
      <c r="AO351" s="166">
        <f t="shared" si="148"/>
        <v>8</v>
      </c>
      <c r="AP351" s="12"/>
      <c r="AQ351" s="167">
        <f t="shared" si="149"/>
        <v>0</v>
      </c>
      <c r="AR351" s="12"/>
      <c r="AS351" s="167">
        <f t="shared" si="150"/>
        <v>0</v>
      </c>
      <c r="AT351" s="168">
        <f t="shared" si="151"/>
        <v>0</v>
      </c>
      <c r="AU351" s="167">
        <f t="shared" si="152"/>
        <v>0</v>
      </c>
    </row>
    <row r="352" spans="1:47" ht="30" customHeight="1" x14ac:dyDescent="0.25">
      <c r="A352" s="76"/>
      <c r="B352" s="158" t="s">
        <v>1642</v>
      </c>
      <c r="C352" s="411" t="s">
        <v>1626</v>
      </c>
      <c r="D352" s="412"/>
      <c r="E352" s="408"/>
      <c r="F352" s="409"/>
      <c r="G352" s="397"/>
      <c r="H352" s="394"/>
      <c r="I352" s="162" t="s">
        <v>1138</v>
      </c>
      <c r="J352" s="163">
        <v>1</v>
      </c>
      <c r="K352" s="164">
        <v>2</v>
      </c>
      <c r="L352" s="164">
        <v>1</v>
      </c>
      <c r="M352" s="164"/>
      <c r="N352" s="164"/>
      <c r="O352" s="164"/>
      <c r="P352" s="164"/>
      <c r="Q352" s="164"/>
      <c r="R352" s="164"/>
      <c r="S352" s="164"/>
      <c r="T352" s="164"/>
      <c r="U352" s="164"/>
      <c r="V352" s="164"/>
      <c r="W352" s="164"/>
      <c r="X352" s="164"/>
      <c r="Y352" s="164"/>
      <c r="Z352" s="164"/>
      <c r="AA352" s="164"/>
      <c r="AB352" s="164"/>
      <c r="AC352" s="164"/>
      <c r="AD352" s="164"/>
      <c r="AE352" s="164"/>
      <c r="AF352" s="164"/>
      <c r="AG352" s="164"/>
      <c r="AH352" s="164"/>
      <c r="AI352" s="164"/>
      <c r="AJ352" s="164"/>
      <c r="AK352" s="164"/>
      <c r="AL352" s="164"/>
      <c r="AM352" s="164"/>
      <c r="AN352" s="165"/>
      <c r="AO352" s="166">
        <f t="shared" si="148"/>
        <v>4</v>
      </c>
      <c r="AP352" s="12"/>
      <c r="AQ352" s="167">
        <f t="shared" si="149"/>
        <v>0</v>
      </c>
      <c r="AR352" s="12"/>
      <c r="AS352" s="167">
        <f t="shared" si="150"/>
        <v>0</v>
      </c>
      <c r="AT352" s="168">
        <f t="shared" si="151"/>
        <v>0</v>
      </c>
      <c r="AU352" s="167">
        <f t="shared" si="152"/>
        <v>0</v>
      </c>
    </row>
    <row r="353" spans="1:47" ht="30" customHeight="1" x14ac:dyDescent="0.25">
      <c r="A353" s="76"/>
      <c r="B353" s="158" t="s">
        <v>1643</v>
      </c>
      <c r="C353" s="411" t="s">
        <v>1627</v>
      </c>
      <c r="D353" s="412"/>
      <c r="E353" s="408"/>
      <c r="F353" s="409"/>
      <c r="G353" s="397"/>
      <c r="H353" s="394"/>
      <c r="I353" s="162" t="s">
        <v>1138</v>
      </c>
      <c r="J353" s="163">
        <v>2</v>
      </c>
      <c r="K353" s="164">
        <v>0</v>
      </c>
      <c r="L353" s="164"/>
      <c r="M353" s="164"/>
      <c r="N353" s="164"/>
      <c r="O353" s="164"/>
      <c r="P353" s="164"/>
      <c r="Q353" s="164"/>
      <c r="R353" s="164"/>
      <c r="S353" s="164"/>
      <c r="T353" s="164"/>
      <c r="U353" s="164"/>
      <c r="V353" s="164"/>
      <c r="W353" s="164"/>
      <c r="X353" s="164"/>
      <c r="Y353" s="164"/>
      <c r="Z353" s="164"/>
      <c r="AA353" s="164"/>
      <c r="AB353" s="164"/>
      <c r="AC353" s="164"/>
      <c r="AD353" s="164"/>
      <c r="AE353" s="164"/>
      <c r="AF353" s="164"/>
      <c r="AG353" s="164"/>
      <c r="AH353" s="164"/>
      <c r="AI353" s="164"/>
      <c r="AJ353" s="164"/>
      <c r="AK353" s="164"/>
      <c r="AL353" s="164"/>
      <c r="AM353" s="164"/>
      <c r="AN353" s="165"/>
      <c r="AO353" s="166">
        <f t="shared" si="148"/>
        <v>2</v>
      </c>
      <c r="AP353" s="12"/>
      <c r="AQ353" s="167">
        <f t="shared" si="149"/>
        <v>0</v>
      </c>
      <c r="AR353" s="12"/>
      <c r="AS353" s="167">
        <f t="shared" si="150"/>
        <v>0</v>
      </c>
      <c r="AT353" s="168">
        <f t="shared" si="151"/>
        <v>0</v>
      </c>
      <c r="AU353" s="167">
        <f t="shared" si="152"/>
        <v>0</v>
      </c>
    </row>
    <row r="354" spans="1:47" ht="30" customHeight="1" x14ac:dyDescent="0.25">
      <c r="A354" s="76"/>
      <c r="B354" s="158" t="s">
        <v>1644</v>
      </c>
      <c r="C354" s="411" t="s">
        <v>1628</v>
      </c>
      <c r="D354" s="412"/>
      <c r="E354" s="408"/>
      <c r="F354" s="409"/>
      <c r="G354" s="397"/>
      <c r="H354" s="394"/>
      <c r="I354" s="162" t="s">
        <v>1138</v>
      </c>
      <c r="J354" s="163"/>
      <c r="K354" s="164"/>
      <c r="L354" s="164"/>
      <c r="M354" s="164"/>
      <c r="N354" s="164"/>
      <c r="O354" s="164"/>
      <c r="P354" s="164"/>
      <c r="Q354" s="164"/>
      <c r="R354" s="164"/>
      <c r="S354" s="164"/>
      <c r="T354" s="164"/>
      <c r="U354" s="164"/>
      <c r="V354" s="164"/>
      <c r="W354" s="164"/>
      <c r="X354" s="164"/>
      <c r="Y354" s="164"/>
      <c r="Z354" s="164"/>
      <c r="AA354" s="164"/>
      <c r="AB354" s="164"/>
      <c r="AC354" s="164"/>
      <c r="AD354" s="164"/>
      <c r="AE354" s="164"/>
      <c r="AF354" s="164"/>
      <c r="AG354" s="164"/>
      <c r="AH354" s="164"/>
      <c r="AI354" s="164"/>
      <c r="AJ354" s="164"/>
      <c r="AK354" s="164"/>
      <c r="AL354" s="164"/>
      <c r="AM354" s="164"/>
      <c r="AN354" s="165"/>
      <c r="AO354" s="166">
        <f t="shared" si="148"/>
        <v>0</v>
      </c>
      <c r="AP354" s="12"/>
      <c r="AQ354" s="167">
        <f t="shared" ref="AQ354:AQ359" si="153">+AP354*AO354</f>
        <v>0</v>
      </c>
      <c r="AR354" s="12"/>
      <c r="AS354" s="167">
        <f t="shared" ref="AS354:AS359" si="154">+AR354*AO354</f>
        <v>0</v>
      </c>
      <c r="AT354" s="168">
        <f t="shared" ref="AT354:AT359" si="155">+AR354+AP354</f>
        <v>0</v>
      </c>
      <c r="AU354" s="167">
        <f t="shared" ref="AU354:AU359" si="156">+AT354*AO354</f>
        <v>0</v>
      </c>
    </row>
    <row r="355" spans="1:47" ht="30" customHeight="1" x14ac:dyDescent="0.25">
      <c r="A355" s="76"/>
      <c r="B355" s="158" t="s">
        <v>1645</v>
      </c>
      <c r="C355" s="411" t="s">
        <v>1629</v>
      </c>
      <c r="D355" s="412"/>
      <c r="E355" s="408"/>
      <c r="F355" s="409"/>
      <c r="G355" s="397"/>
      <c r="H355" s="394"/>
      <c r="I355" s="162" t="s">
        <v>1138</v>
      </c>
      <c r="J355" s="163"/>
      <c r="K355" s="164">
        <v>4</v>
      </c>
      <c r="L355" s="164"/>
      <c r="M355" s="164"/>
      <c r="N355" s="164"/>
      <c r="O355" s="164"/>
      <c r="P355" s="164"/>
      <c r="Q355" s="164"/>
      <c r="R355" s="164"/>
      <c r="S355" s="164"/>
      <c r="T355" s="164"/>
      <c r="U355" s="164"/>
      <c r="V355" s="164"/>
      <c r="W355" s="164"/>
      <c r="X355" s="164"/>
      <c r="Y355" s="164"/>
      <c r="Z355" s="164"/>
      <c r="AA355" s="164"/>
      <c r="AB355" s="164"/>
      <c r="AC355" s="164"/>
      <c r="AD355" s="164"/>
      <c r="AE355" s="164"/>
      <c r="AF355" s="164"/>
      <c r="AG355" s="164"/>
      <c r="AH355" s="164"/>
      <c r="AI355" s="164"/>
      <c r="AJ355" s="164"/>
      <c r="AK355" s="164"/>
      <c r="AL355" s="164"/>
      <c r="AM355" s="164"/>
      <c r="AN355" s="165"/>
      <c r="AO355" s="166">
        <f t="shared" si="148"/>
        <v>4</v>
      </c>
      <c r="AP355" s="12"/>
      <c r="AQ355" s="167">
        <f t="shared" si="153"/>
        <v>0</v>
      </c>
      <c r="AR355" s="12"/>
      <c r="AS355" s="167">
        <f t="shared" si="154"/>
        <v>0</v>
      </c>
      <c r="AT355" s="168">
        <f t="shared" si="155"/>
        <v>0</v>
      </c>
      <c r="AU355" s="167">
        <f t="shared" si="156"/>
        <v>0</v>
      </c>
    </row>
    <row r="356" spans="1:47" ht="30" customHeight="1" x14ac:dyDescent="0.25">
      <c r="A356" s="76"/>
      <c r="B356" s="158" t="s">
        <v>1646</v>
      </c>
      <c r="C356" s="411" t="s">
        <v>1630</v>
      </c>
      <c r="D356" s="412"/>
      <c r="E356" s="408"/>
      <c r="F356" s="410"/>
      <c r="G356" s="397"/>
      <c r="H356" s="394"/>
      <c r="I356" s="162" t="s">
        <v>1138</v>
      </c>
      <c r="J356" s="163"/>
      <c r="K356" s="164"/>
      <c r="L356" s="164"/>
      <c r="M356" s="164"/>
      <c r="N356" s="164"/>
      <c r="O356" s="164"/>
      <c r="P356" s="164"/>
      <c r="Q356" s="164"/>
      <c r="R356" s="164"/>
      <c r="S356" s="164"/>
      <c r="T356" s="164"/>
      <c r="U356" s="164"/>
      <c r="V356" s="164"/>
      <c r="W356" s="164"/>
      <c r="X356" s="164"/>
      <c r="Y356" s="164"/>
      <c r="Z356" s="164"/>
      <c r="AA356" s="164"/>
      <c r="AB356" s="164"/>
      <c r="AC356" s="164"/>
      <c r="AD356" s="164"/>
      <c r="AE356" s="164"/>
      <c r="AF356" s="164"/>
      <c r="AG356" s="164"/>
      <c r="AH356" s="164"/>
      <c r="AI356" s="164"/>
      <c r="AJ356" s="164"/>
      <c r="AK356" s="164"/>
      <c r="AL356" s="164"/>
      <c r="AM356" s="164"/>
      <c r="AN356" s="165"/>
      <c r="AO356" s="166">
        <f t="shared" si="148"/>
        <v>0</v>
      </c>
      <c r="AP356" s="12"/>
      <c r="AQ356" s="167">
        <f t="shared" si="153"/>
        <v>0</v>
      </c>
      <c r="AR356" s="12"/>
      <c r="AS356" s="167">
        <f t="shared" si="154"/>
        <v>0</v>
      </c>
      <c r="AT356" s="168">
        <f t="shared" si="155"/>
        <v>0</v>
      </c>
      <c r="AU356" s="167">
        <f t="shared" si="156"/>
        <v>0</v>
      </c>
    </row>
    <row r="357" spans="1:47" ht="35.25" customHeight="1" x14ac:dyDescent="0.25">
      <c r="A357" s="76"/>
      <c r="B357" s="158" t="s">
        <v>1647</v>
      </c>
      <c r="C357" s="411" t="s">
        <v>1631</v>
      </c>
      <c r="D357" s="412"/>
      <c r="E357" s="408"/>
      <c r="F357" s="415" t="s">
        <v>1637</v>
      </c>
      <c r="G357" s="397"/>
      <c r="H357" s="394"/>
      <c r="I357" s="162" t="s">
        <v>1138</v>
      </c>
      <c r="J357" s="163"/>
      <c r="K357" s="164"/>
      <c r="L357" s="164"/>
      <c r="M357" s="164"/>
      <c r="N357" s="164"/>
      <c r="O357" s="164"/>
      <c r="P357" s="164"/>
      <c r="Q357" s="164"/>
      <c r="R357" s="164"/>
      <c r="S357" s="164"/>
      <c r="T357" s="164"/>
      <c r="U357" s="164"/>
      <c r="V357" s="164"/>
      <c r="W357" s="164"/>
      <c r="X357" s="164"/>
      <c r="Y357" s="164"/>
      <c r="Z357" s="164"/>
      <c r="AA357" s="164"/>
      <c r="AB357" s="164"/>
      <c r="AC357" s="164"/>
      <c r="AD357" s="164"/>
      <c r="AE357" s="164"/>
      <c r="AF357" s="164"/>
      <c r="AG357" s="164"/>
      <c r="AH357" s="164"/>
      <c r="AI357" s="164"/>
      <c r="AJ357" s="164"/>
      <c r="AK357" s="164"/>
      <c r="AL357" s="164"/>
      <c r="AM357" s="164"/>
      <c r="AN357" s="165"/>
      <c r="AO357" s="166">
        <f t="shared" si="148"/>
        <v>0</v>
      </c>
      <c r="AP357" s="12"/>
      <c r="AQ357" s="167">
        <f t="shared" si="153"/>
        <v>0</v>
      </c>
      <c r="AR357" s="12"/>
      <c r="AS357" s="167">
        <f t="shared" si="154"/>
        <v>0</v>
      </c>
      <c r="AT357" s="168">
        <f t="shared" si="155"/>
        <v>0</v>
      </c>
      <c r="AU357" s="167">
        <f t="shared" si="156"/>
        <v>0</v>
      </c>
    </row>
    <row r="358" spans="1:47" ht="35.25" customHeight="1" x14ac:dyDescent="0.25">
      <c r="A358" s="76"/>
      <c r="B358" s="158" t="s">
        <v>1648</v>
      </c>
      <c r="C358" s="411" t="s">
        <v>1632</v>
      </c>
      <c r="D358" s="412"/>
      <c r="E358" s="408"/>
      <c r="F358" s="409"/>
      <c r="G358" s="397"/>
      <c r="H358" s="394"/>
      <c r="I358" s="162" t="s">
        <v>1138</v>
      </c>
      <c r="J358" s="163">
        <v>7</v>
      </c>
      <c r="K358" s="164">
        <v>16</v>
      </c>
      <c r="L358" s="164">
        <v>10</v>
      </c>
      <c r="M358" s="164">
        <v>1</v>
      </c>
      <c r="N358" s="164"/>
      <c r="O358" s="164"/>
      <c r="P358" s="164"/>
      <c r="Q358" s="164"/>
      <c r="R358" s="164"/>
      <c r="S358" s="164"/>
      <c r="T358" s="164"/>
      <c r="U358" s="164"/>
      <c r="V358" s="164"/>
      <c r="W358" s="164"/>
      <c r="X358" s="164"/>
      <c r="Y358" s="164"/>
      <c r="Z358" s="164"/>
      <c r="AA358" s="164"/>
      <c r="AB358" s="164"/>
      <c r="AC358" s="164"/>
      <c r="AD358" s="164"/>
      <c r="AE358" s="164"/>
      <c r="AF358" s="164"/>
      <c r="AG358" s="164"/>
      <c r="AH358" s="164"/>
      <c r="AI358" s="164"/>
      <c r="AJ358" s="164"/>
      <c r="AK358" s="164"/>
      <c r="AL358" s="164"/>
      <c r="AM358" s="164"/>
      <c r="AN358" s="165"/>
      <c r="AO358" s="166">
        <f t="shared" si="148"/>
        <v>34</v>
      </c>
      <c r="AP358" s="12"/>
      <c r="AQ358" s="167">
        <f t="shared" si="153"/>
        <v>0</v>
      </c>
      <c r="AR358" s="12"/>
      <c r="AS358" s="167">
        <f t="shared" si="154"/>
        <v>0</v>
      </c>
      <c r="AT358" s="168">
        <f t="shared" si="155"/>
        <v>0</v>
      </c>
      <c r="AU358" s="167">
        <f t="shared" si="156"/>
        <v>0</v>
      </c>
    </row>
    <row r="359" spans="1:47" ht="35.25" customHeight="1" x14ac:dyDescent="0.25">
      <c r="A359" s="76"/>
      <c r="B359" s="158" t="s">
        <v>1649</v>
      </c>
      <c r="C359" s="411" t="s">
        <v>1633</v>
      </c>
      <c r="D359" s="412"/>
      <c r="E359" s="408"/>
      <c r="F359" s="409"/>
      <c r="G359" s="397"/>
      <c r="H359" s="394"/>
      <c r="I359" s="162" t="s">
        <v>1138</v>
      </c>
      <c r="J359" s="163"/>
      <c r="K359" s="164"/>
      <c r="L359" s="164"/>
      <c r="M359" s="164"/>
      <c r="N359" s="164"/>
      <c r="O359" s="164"/>
      <c r="P359" s="164"/>
      <c r="Q359" s="164"/>
      <c r="R359" s="164"/>
      <c r="S359" s="164"/>
      <c r="T359" s="164"/>
      <c r="U359" s="164"/>
      <c r="V359" s="164"/>
      <c r="W359" s="164"/>
      <c r="X359" s="164"/>
      <c r="Y359" s="164"/>
      <c r="Z359" s="164"/>
      <c r="AA359" s="164"/>
      <c r="AB359" s="164"/>
      <c r="AC359" s="164"/>
      <c r="AD359" s="164"/>
      <c r="AE359" s="164"/>
      <c r="AF359" s="164"/>
      <c r="AG359" s="164"/>
      <c r="AH359" s="164"/>
      <c r="AI359" s="164"/>
      <c r="AJ359" s="164"/>
      <c r="AK359" s="164"/>
      <c r="AL359" s="164"/>
      <c r="AM359" s="164"/>
      <c r="AN359" s="165"/>
      <c r="AO359" s="166">
        <f t="shared" si="148"/>
        <v>0</v>
      </c>
      <c r="AP359" s="12"/>
      <c r="AQ359" s="167">
        <f t="shared" si="153"/>
        <v>0</v>
      </c>
      <c r="AR359" s="12"/>
      <c r="AS359" s="167">
        <f t="shared" si="154"/>
        <v>0</v>
      </c>
      <c r="AT359" s="168">
        <f t="shared" si="155"/>
        <v>0</v>
      </c>
      <c r="AU359" s="167">
        <f t="shared" si="156"/>
        <v>0</v>
      </c>
    </row>
    <row r="360" spans="1:47" ht="35.25" customHeight="1" x14ac:dyDescent="0.25">
      <c r="A360" s="76"/>
      <c r="B360" s="169" t="s">
        <v>1650</v>
      </c>
      <c r="C360" s="404" t="s">
        <v>1634</v>
      </c>
      <c r="D360" s="405"/>
      <c r="E360" s="400"/>
      <c r="F360" s="402"/>
      <c r="G360" s="398"/>
      <c r="H360" s="395"/>
      <c r="I360" s="173" t="s">
        <v>1138</v>
      </c>
      <c r="J360" s="174">
        <v>2</v>
      </c>
      <c r="K360" s="175">
        <v>4</v>
      </c>
      <c r="L360" s="175">
        <v>2</v>
      </c>
      <c r="M360" s="175"/>
      <c r="N360" s="175"/>
      <c r="O360" s="175"/>
      <c r="P360" s="175"/>
      <c r="Q360" s="175"/>
      <c r="R360" s="175"/>
      <c r="S360" s="175"/>
      <c r="T360" s="175"/>
      <c r="U360" s="175"/>
      <c r="V360" s="175"/>
      <c r="W360" s="175"/>
      <c r="X360" s="175"/>
      <c r="Y360" s="175"/>
      <c r="Z360" s="175"/>
      <c r="AA360" s="175"/>
      <c r="AB360" s="175"/>
      <c r="AC360" s="175"/>
      <c r="AD360" s="175"/>
      <c r="AE360" s="175"/>
      <c r="AF360" s="175"/>
      <c r="AG360" s="175"/>
      <c r="AH360" s="175"/>
      <c r="AI360" s="175"/>
      <c r="AJ360" s="175"/>
      <c r="AK360" s="175"/>
      <c r="AL360" s="175"/>
      <c r="AM360" s="175"/>
      <c r="AN360" s="176"/>
      <c r="AO360" s="177">
        <f t="shared" si="148"/>
        <v>8</v>
      </c>
      <c r="AP360" s="14"/>
      <c r="AQ360" s="178">
        <f t="shared" si="149"/>
        <v>0</v>
      </c>
      <c r="AR360" s="14"/>
      <c r="AS360" s="178">
        <f t="shared" si="150"/>
        <v>0</v>
      </c>
      <c r="AT360" s="179">
        <f t="shared" si="151"/>
        <v>0</v>
      </c>
      <c r="AU360" s="178">
        <f t="shared" si="152"/>
        <v>0</v>
      </c>
    </row>
    <row r="361" spans="1:47" ht="30" customHeight="1" x14ac:dyDescent="0.25">
      <c r="A361" s="76"/>
      <c r="B361" s="148" t="s">
        <v>1651</v>
      </c>
      <c r="C361" s="406" t="s">
        <v>1654</v>
      </c>
      <c r="D361" s="407"/>
      <c r="E361" s="399" t="s">
        <v>1657</v>
      </c>
      <c r="F361" s="161"/>
      <c r="G361" s="424" t="s">
        <v>1079</v>
      </c>
      <c r="H361" s="403" t="s">
        <v>1079</v>
      </c>
      <c r="I361" s="151" t="s">
        <v>1138</v>
      </c>
      <c r="J361" s="152"/>
      <c r="K361" s="153"/>
      <c r="L361" s="153"/>
      <c r="M361" s="153"/>
      <c r="N361" s="153"/>
      <c r="O361" s="153"/>
      <c r="P361" s="153"/>
      <c r="Q361" s="153"/>
      <c r="R361" s="153"/>
      <c r="S361" s="153"/>
      <c r="T361" s="153"/>
      <c r="U361" s="153"/>
      <c r="V361" s="153"/>
      <c r="W361" s="153"/>
      <c r="X361" s="153"/>
      <c r="Y361" s="153"/>
      <c r="Z361" s="153"/>
      <c r="AA361" s="153"/>
      <c r="AB361" s="153"/>
      <c r="AC361" s="153"/>
      <c r="AD361" s="153"/>
      <c r="AE361" s="153"/>
      <c r="AF361" s="153"/>
      <c r="AG361" s="153"/>
      <c r="AH361" s="153"/>
      <c r="AI361" s="153"/>
      <c r="AJ361" s="153"/>
      <c r="AK361" s="153"/>
      <c r="AL361" s="153"/>
      <c r="AM361" s="153"/>
      <c r="AN361" s="154"/>
      <c r="AO361" s="155">
        <f t="shared" si="148"/>
        <v>0</v>
      </c>
      <c r="AP361" s="13"/>
      <c r="AQ361" s="156">
        <f t="shared" ref="AQ361:AQ383" si="157">+AP361*AO361</f>
        <v>0</v>
      </c>
      <c r="AR361" s="13"/>
      <c r="AS361" s="156">
        <f t="shared" ref="AS361:AS383" si="158">+AR361*AO361</f>
        <v>0</v>
      </c>
      <c r="AT361" s="157">
        <f t="shared" ref="AT361:AT383" si="159">+AR361+AP361</f>
        <v>0</v>
      </c>
      <c r="AU361" s="156">
        <f t="shared" ref="AU361:AU383" si="160">+AT361*AO361</f>
        <v>0</v>
      </c>
    </row>
    <row r="362" spans="1:47" ht="30" customHeight="1" x14ac:dyDescent="0.25">
      <c r="A362" s="76"/>
      <c r="B362" s="158" t="s">
        <v>1652</v>
      </c>
      <c r="C362" s="411" t="s">
        <v>1655</v>
      </c>
      <c r="D362" s="412"/>
      <c r="E362" s="408"/>
      <c r="F362" s="161"/>
      <c r="G362" s="397"/>
      <c r="H362" s="394"/>
      <c r="I362" s="162" t="s">
        <v>1138</v>
      </c>
      <c r="J362" s="163"/>
      <c r="K362" s="164"/>
      <c r="L362" s="164"/>
      <c r="M362" s="164"/>
      <c r="N362" s="164"/>
      <c r="O362" s="164"/>
      <c r="P362" s="164"/>
      <c r="Q362" s="164"/>
      <c r="R362" s="164"/>
      <c r="S362" s="164"/>
      <c r="T362" s="164"/>
      <c r="U362" s="164"/>
      <c r="V362" s="164"/>
      <c r="W362" s="164"/>
      <c r="X362" s="164"/>
      <c r="Y362" s="164"/>
      <c r="Z362" s="164"/>
      <c r="AA362" s="164"/>
      <c r="AB362" s="164"/>
      <c r="AC362" s="164"/>
      <c r="AD362" s="164"/>
      <c r="AE362" s="164"/>
      <c r="AF362" s="164"/>
      <c r="AG362" s="164"/>
      <c r="AH362" s="164"/>
      <c r="AI362" s="164"/>
      <c r="AJ362" s="164"/>
      <c r="AK362" s="164"/>
      <c r="AL362" s="164"/>
      <c r="AM362" s="164"/>
      <c r="AN362" s="165"/>
      <c r="AO362" s="166">
        <f t="shared" si="148"/>
        <v>0</v>
      </c>
      <c r="AP362" s="12"/>
      <c r="AQ362" s="167">
        <f t="shared" si="157"/>
        <v>0</v>
      </c>
      <c r="AR362" s="12"/>
      <c r="AS362" s="167">
        <f t="shared" si="158"/>
        <v>0</v>
      </c>
      <c r="AT362" s="168">
        <f t="shared" si="159"/>
        <v>0</v>
      </c>
      <c r="AU362" s="167">
        <f t="shared" si="160"/>
        <v>0</v>
      </c>
    </row>
    <row r="363" spans="1:47" ht="30" customHeight="1" x14ac:dyDescent="0.25">
      <c r="A363" s="76"/>
      <c r="B363" s="169" t="s">
        <v>1653</v>
      </c>
      <c r="C363" s="404" t="s">
        <v>1656</v>
      </c>
      <c r="D363" s="405"/>
      <c r="E363" s="400"/>
      <c r="F363" s="172"/>
      <c r="G363" s="398"/>
      <c r="H363" s="395"/>
      <c r="I363" s="173" t="s">
        <v>1138</v>
      </c>
      <c r="J363" s="174"/>
      <c r="K363" s="175"/>
      <c r="L363" s="175"/>
      <c r="M363" s="175"/>
      <c r="N363" s="175"/>
      <c r="O363" s="175"/>
      <c r="P363" s="175"/>
      <c r="Q363" s="175"/>
      <c r="R363" s="175"/>
      <c r="S363" s="175"/>
      <c r="T363" s="175"/>
      <c r="U363" s="175"/>
      <c r="V363" s="175"/>
      <c r="W363" s="175"/>
      <c r="X363" s="175"/>
      <c r="Y363" s="175"/>
      <c r="Z363" s="175"/>
      <c r="AA363" s="175"/>
      <c r="AB363" s="175"/>
      <c r="AC363" s="175"/>
      <c r="AD363" s="175"/>
      <c r="AE363" s="175"/>
      <c r="AF363" s="175"/>
      <c r="AG363" s="175"/>
      <c r="AH363" s="175"/>
      <c r="AI363" s="175"/>
      <c r="AJ363" s="175"/>
      <c r="AK363" s="175"/>
      <c r="AL363" s="175"/>
      <c r="AM363" s="175"/>
      <c r="AN363" s="176"/>
      <c r="AO363" s="177">
        <f t="shared" si="148"/>
        <v>0</v>
      </c>
      <c r="AP363" s="14"/>
      <c r="AQ363" s="178">
        <f t="shared" si="157"/>
        <v>0</v>
      </c>
      <c r="AR363" s="14"/>
      <c r="AS363" s="178">
        <f t="shared" si="158"/>
        <v>0</v>
      </c>
      <c r="AT363" s="179">
        <f t="shared" si="159"/>
        <v>0</v>
      </c>
      <c r="AU363" s="178">
        <f t="shared" si="160"/>
        <v>0</v>
      </c>
    </row>
    <row r="364" spans="1:47" ht="30" customHeight="1" x14ac:dyDescent="0.25">
      <c r="A364" s="76"/>
      <c r="B364" s="148" t="s">
        <v>1658</v>
      </c>
      <c r="C364" s="149" t="s">
        <v>1680</v>
      </c>
      <c r="D364" s="150"/>
      <c r="E364" s="399" t="s">
        <v>1678</v>
      </c>
      <c r="F364" s="425" t="s">
        <v>1679</v>
      </c>
      <c r="G364" s="424" t="s">
        <v>1079</v>
      </c>
      <c r="H364" s="403" t="s">
        <v>1079</v>
      </c>
      <c r="I364" s="151" t="s">
        <v>1138</v>
      </c>
      <c r="J364" s="152">
        <v>6</v>
      </c>
      <c r="K364" s="153">
        <v>21</v>
      </c>
      <c r="L364" s="153">
        <v>30</v>
      </c>
      <c r="M364" s="153"/>
      <c r="N364" s="153"/>
      <c r="O364" s="153"/>
      <c r="P364" s="153"/>
      <c r="Q364" s="153"/>
      <c r="R364" s="153"/>
      <c r="S364" s="153"/>
      <c r="T364" s="153"/>
      <c r="U364" s="153"/>
      <c r="V364" s="153"/>
      <c r="W364" s="153"/>
      <c r="X364" s="153"/>
      <c r="Y364" s="153"/>
      <c r="Z364" s="153"/>
      <c r="AA364" s="153"/>
      <c r="AB364" s="153"/>
      <c r="AC364" s="153"/>
      <c r="AD364" s="153"/>
      <c r="AE364" s="153"/>
      <c r="AF364" s="153"/>
      <c r="AG364" s="153"/>
      <c r="AH364" s="153"/>
      <c r="AI364" s="153"/>
      <c r="AJ364" s="153"/>
      <c r="AK364" s="153"/>
      <c r="AL364" s="153"/>
      <c r="AM364" s="153"/>
      <c r="AN364" s="154"/>
      <c r="AO364" s="155">
        <f t="shared" si="148"/>
        <v>57</v>
      </c>
      <c r="AP364" s="13"/>
      <c r="AQ364" s="156">
        <f t="shared" si="157"/>
        <v>0</v>
      </c>
      <c r="AR364" s="13"/>
      <c r="AS364" s="156">
        <f t="shared" si="158"/>
        <v>0</v>
      </c>
      <c r="AT364" s="157">
        <f t="shared" si="159"/>
        <v>0</v>
      </c>
      <c r="AU364" s="156">
        <f t="shared" si="160"/>
        <v>0</v>
      </c>
    </row>
    <row r="365" spans="1:47" ht="30" customHeight="1" x14ac:dyDescent="0.25">
      <c r="A365" s="76"/>
      <c r="B365" s="158" t="s">
        <v>1659</v>
      </c>
      <c r="C365" s="159" t="s">
        <v>1681</v>
      </c>
      <c r="D365" s="160"/>
      <c r="E365" s="408"/>
      <c r="F365" s="426"/>
      <c r="G365" s="397"/>
      <c r="H365" s="394"/>
      <c r="I365" s="162" t="s">
        <v>1138</v>
      </c>
      <c r="J365" s="163">
        <v>4</v>
      </c>
      <c r="K365" s="164">
        <v>4</v>
      </c>
      <c r="L365" s="164">
        <v>12</v>
      </c>
      <c r="M365" s="164"/>
      <c r="N365" s="164"/>
      <c r="O365" s="164"/>
      <c r="P365" s="164"/>
      <c r="Q365" s="164"/>
      <c r="R365" s="164"/>
      <c r="S365" s="164"/>
      <c r="T365" s="164"/>
      <c r="U365" s="164"/>
      <c r="V365" s="164"/>
      <c r="W365" s="164"/>
      <c r="X365" s="164"/>
      <c r="Y365" s="164"/>
      <c r="Z365" s="164"/>
      <c r="AA365" s="164"/>
      <c r="AB365" s="164"/>
      <c r="AC365" s="164"/>
      <c r="AD365" s="164"/>
      <c r="AE365" s="164"/>
      <c r="AF365" s="164"/>
      <c r="AG365" s="164"/>
      <c r="AH365" s="164"/>
      <c r="AI365" s="164"/>
      <c r="AJ365" s="164"/>
      <c r="AK365" s="164"/>
      <c r="AL365" s="164"/>
      <c r="AM365" s="164"/>
      <c r="AN365" s="165"/>
      <c r="AO365" s="166">
        <f t="shared" si="148"/>
        <v>20</v>
      </c>
      <c r="AP365" s="12"/>
      <c r="AQ365" s="167">
        <f t="shared" si="157"/>
        <v>0</v>
      </c>
      <c r="AR365" s="12"/>
      <c r="AS365" s="167">
        <f t="shared" si="158"/>
        <v>0</v>
      </c>
      <c r="AT365" s="168">
        <f t="shared" si="159"/>
        <v>0</v>
      </c>
      <c r="AU365" s="167">
        <f t="shared" si="160"/>
        <v>0</v>
      </c>
    </row>
    <row r="366" spans="1:47" ht="30" customHeight="1" x14ac:dyDescent="0.25">
      <c r="A366" s="76"/>
      <c r="B366" s="158" t="s">
        <v>1660</v>
      </c>
      <c r="C366" s="159" t="s">
        <v>1682</v>
      </c>
      <c r="D366" s="160"/>
      <c r="E366" s="408"/>
      <c r="F366" s="426"/>
      <c r="G366" s="397"/>
      <c r="H366" s="394"/>
      <c r="I366" s="162" t="s">
        <v>1138</v>
      </c>
      <c r="J366" s="163"/>
      <c r="K366" s="164">
        <v>5</v>
      </c>
      <c r="L366" s="164">
        <v>6</v>
      </c>
      <c r="M366" s="164"/>
      <c r="N366" s="164"/>
      <c r="O366" s="164"/>
      <c r="P366" s="164"/>
      <c r="Q366" s="164"/>
      <c r="R366" s="164"/>
      <c r="S366" s="164"/>
      <c r="T366" s="164"/>
      <c r="U366" s="164"/>
      <c r="V366" s="164"/>
      <c r="W366" s="164"/>
      <c r="X366" s="164"/>
      <c r="Y366" s="164"/>
      <c r="Z366" s="164"/>
      <c r="AA366" s="164"/>
      <c r="AB366" s="164"/>
      <c r="AC366" s="164"/>
      <c r="AD366" s="164"/>
      <c r="AE366" s="164"/>
      <c r="AF366" s="164"/>
      <c r="AG366" s="164"/>
      <c r="AH366" s="164"/>
      <c r="AI366" s="164"/>
      <c r="AJ366" s="164"/>
      <c r="AK366" s="164"/>
      <c r="AL366" s="164"/>
      <c r="AM366" s="164"/>
      <c r="AN366" s="165"/>
      <c r="AO366" s="166">
        <f t="shared" si="148"/>
        <v>11</v>
      </c>
      <c r="AP366" s="12"/>
      <c r="AQ366" s="167">
        <f t="shared" si="157"/>
        <v>0</v>
      </c>
      <c r="AR366" s="12"/>
      <c r="AS366" s="167">
        <f t="shared" si="158"/>
        <v>0</v>
      </c>
      <c r="AT366" s="168">
        <f t="shared" si="159"/>
        <v>0</v>
      </c>
      <c r="AU366" s="167">
        <f t="shared" si="160"/>
        <v>0</v>
      </c>
    </row>
    <row r="367" spans="1:47" ht="30" customHeight="1" x14ac:dyDescent="0.25">
      <c r="A367" s="76"/>
      <c r="B367" s="158" t="s">
        <v>1661</v>
      </c>
      <c r="C367" s="159" t="s">
        <v>1683</v>
      </c>
      <c r="D367" s="160"/>
      <c r="E367" s="408"/>
      <c r="F367" s="426"/>
      <c r="G367" s="397"/>
      <c r="H367" s="394"/>
      <c r="I367" s="162" t="s">
        <v>1138</v>
      </c>
      <c r="J367" s="163"/>
      <c r="K367" s="164">
        <v>7</v>
      </c>
      <c r="L367" s="164">
        <v>6</v>
      </c>
      <c r="M367" s="164"/>
      <c r="N367" s="164"/>
      <c r="O367" s="164"/>
      <c r="P367" s="164"/>
      <c r="Q367" s="164"/>
      <c r="R367" s="164"/>
      <c r="S367" s="164"/>
      <c r="T367" s="164"/>
      <c r="U367" s="164"/>
      <c r="V367" s="164"/>
      <c r="W367" s="164"/>
      <c r="X367" s="164"/>
      <c r="Y367" s="164"/>
      <c r="Z367" s="164"/>
      <c r="AA367" s="164"/>
      <c r="AB367" s="164"/>
      <c r="AC367" s="164"/>
      <c r="AD367" s="164"/>
      <c r="AE367" s="164"/>
      <c r="AF367" s="164"/>
      <c r="AG367" s="164"/>
      <c r="AH367" s="164"/>
      <c r="AI367" s="164"/>
      <c r="AJ367" s="164"/>
      <c r="AK367" s="164"/>
      <c r="AL367" s="164"/>
      <c r="AM367" s="164"/>
      <c r="AN367" s="165"/>
      <c r="AO367" s="166">
        <f t="shared" si="148"/>
        <v>13</v>
      </c>
      <c r="AP367" s="12"/>
      <c r="AQ367" s="167">
        <f t="shared" ref="AQ367:AQ382" si="161">+AP367*AO367</f>
        <v>0</v>
      </c>
      <c r="AR367" s="12"/>
      <c r="AS367" s="167">
        <f t="shared" ref="AS367:AS382" si="162">+AR367*AO367</f>
        <v>0</v>
      </c>
      <c r="AT367" s="168">
        <f t="shared" ref="AT367:AT382" si="163">+AR367+AP367</f>
        <v>0</v>
      </c>
      <c r="AU367" s="167">
        <f t="shared" ref="AU367:AU382" si="164">+AT367*AO367</f>
        <v>0</v>
      </c>
    </row>
    <row r="368" spans="1:47" ht="30" customHeight="1" x14ac:dyDescent="0.25">
      <c r="A368" s="76"/>
      <c r="B368" s="158" t="s">
        <v>1662</v>
      </c>
      <c r="C368" s="159" t="s">
        <v>1684</v>
      </c>
      <c r="D368" s="160"/>
      <c r="E368" s="408"/>
      <c r="F368" s="426"/>
      <c r="G368" s="397"/>
      <c r="H368" s="394"/>
      <c r="I368" s="162" t="s">
        <v>1138</v>
      </c>
      <c r="J368" s="163"/>
      <c r="K368" s="164">
        <v>5</v>
      </c>
      <c r="L368" s="164">
        <v>2</v>
      </c>
      <c r="M368" s="164"/>
      <c r="N368" s="164"/>
      <c r="O368" s="164"/>
      <c r="P368" s="164"/>
      <c r="Q368" s="164"/>
      <c r="R368" s="164"/>
      <c r="S368" s="164"/>
      <c r="T368" s="164"/>
      <c r="U368" s="164"/>
      <c r="V368" s="164"/>
      <c r="W368" s="164"/>
      <c r="X368" s="164"/>
      <c r="Y368" s="164"/>
      <c r="Z368" s="164"/>
      <c r="AA368" s="164"/>
      <c r="AB368" s="164"/>
      <c r="AC368" s="164"/>
      <c r="AD368" s="164"/>
      <c r="AE368" s="164"/>
      <c r="AF368" s="164"/>
      <c r="AG368" s="164"/>
      <c r="AH368" s="164"/>
      <c r="AI368" s="164"/>
      <c r="AJ368" s="164"/>
      <c r="AK368" s="164"/>
      <c r="AL368" s="164"/>
      <c r="AM368" s="164"/>
      <c r="AN368" s="165"/>
      <c r="AO368" s="166">
        <f t="shared" si="148"/>
        <v>7</v>
      </c>
      <c r="AP368" s="12"/>
      <c r="AQ368" s="167">
        <f t="shared" si="161"/>
        <v>0</v>
      </c>
      <c r="AR368" s="12"/>
      <c r="AS368" s="167">
        <f t="shared" si="162"/>
        <v>0</v>
      </c>
      <c r="AT368" s="168">
        <f t="shared" si="163"/>
        <v>0</v>
      </c>
      <c r="AU368" s="167">
        <f t="shared" si="164"/>
        <v>0</v>
      </c>
    </row>
    <row r="369" spans="1:47" ht="30" customHeight="1" x14ac:dyDescent="0.25">
      <c r="A369" s="76"/>
      <c r="B369" s="158" t="s">
        <v>1663</v>
      </c>
      <c r="C369" s="159" t="s">
        <v>1685</v>
      </c>
      <c r="D369" s="160"/>
      <c r="E369" s="408"/>
      <c r="F369" s="426"/>
      <c r="G369" s="397"/>
      <c r="H369" s="394"/>
      <c r="I369" s="162" t="s">
        <v>1138</v>
      </c>
      <c r="J369" s="163">
        <v>2</v>
      </c>
      <c r="K369" s="164">
        <v>8</v>
      </c>
      <c r="L369" s="164"/>
      <c r="M369" s="164"/>
      <c r="N369" s="164"/>
      <c r="O369" s="164"/>
      <c r="P369" s="164"/>
      <c r="Q369" s="164"/>
      <c r="R369" s="164"/>
      <c r="S369" s="164"/>
      <c r="T369" s="164"/>
      <c r="U369" s="164"/>
      <c r="V369" s="164"/>
      <c r="W369" s="164"/>
      <c r="X369" s="164"/>
      <c r="Y369" s="164"/>
      <c r="Z369" s="164"/>
      <c r="AA369" s="164"/>
      <c r="AB369" s="164"/>
      <c r="AC369" s="164"/>
      <c r="AD369" s="164"/>
      <c r="AE369" s="164"/>
      <c r="AF369" s="164"/>
      <c r="AG369" s="164"/>
      <c r="AH369" s="164"/>
      <c r="AI369" s="164"/>
      <c r="AJ369" s="164"/>
      <c r="AK369" s="164"/>
      <c r="AL369" s="164"/>
      <c r="AM369" s="164"/>
      <c r="AN369" s="165"/>
      <c r="AO369" s="166">
        <f t="shared" si="148"/>
        <v>10</v>
      </c>
      <c r="AP369" s="12"/>
      <c r="AQ369" s="167">
        <f t="shared" si="161"/>
        <v>0</v>
      </c>
      <c r="AR369" s="12"/>
      <c r="AS369" s="167">
        <f t="shared" si="162"/>
        <v>0</v>
      </c>
      <c r="AT369" s="168">
        <f t="shared" si="163"/>
        <v>0</v>
      </c>
      <c r="AU369" s="167">
        <f t="shared" si="164"/>
        <v>0</v>
      </c>
    </row>
    <row r="370" spans="1:47" ht="30" customHeight="1" x14ac:dyDescent="0.25">
      <c r="A370" s="76"/>
      <c r="B370" s="158" t="s">
        <v>1664</v>
      </c>
      <c r="C370" s="159" t="s">
        <v>1686</v>
      </c>
      <c r="D370" s="160"/>
      <c r="E370" s="408"/>
      <c r="F370" s="426"/>
      <c r="G370" s="397"/>
      <c r="H370" s="394"/>
      <c r="I370" s="162" t="s">
        <v>1138</v>
      </c>
      <c r="J370" s="163"/>
      <c r="K370" s="164"/>
      <c r="L370" s="164"/>
      <c r="M370" s="164"/>
      <c r="N370" s="164"/>
      <c r="O370" s="164"/>
      <c r="P370" s="164"/>
      <c r="Q370" s="164"/>
      <c r="R370" s="164"/>
      <c r="S370" s="164"/>
      <c r="T370" s="164"/>
      <c r="U370" s="164"/>
      <c r="V370" s="164"/>
      <c r="W370" s="164"/>
      <c r="X370" s="164"/>
      <c r="Y370" s="164"/>
      <c r="Z370" s="164"/>
      <c r="AA370" s="164"/>
      <c r="AB370" s="164"/>
      <c r="AC370" s="164"/>
      <c r="AD370" s="164"/>
      <c r="AE370" s="164"/>
      <c r="AF370" s="164"/>
      <c r="AG370" s="164"/>
      <c r="AH370" s="164"/>
      <c r="AI370" s="164"/>
      <c r="AJ370" s="164"/>
      <c r="AK370" s="164"/>
      <c r="AL370" s="164"/>
      <c r="AM370" s="164"/>
      <c r="AN370" s="165"/>
      <c r="AO370" s="166">
        <f t="shared" si="148"/>
        <v>0</v>
      </c>
      <c r="AP370" s="12"/>
      <c r="AQ370" s="167">
        <f t="shared" si="161"/>
        <v>0</v>
      </c>
      <c r="AR370" s="12"/>
      <c r="AS370" s="167">
        <f t="shared" si="162"/>
        <v>0</v>
      </c>
      <c r="AT370" s="168">
        <f t="shared" si="163"/>
        <v>0</v>
      </c>
      <c r="AU370" s="167">
        <f t="shared" si="164"/>
        <v>0</v>
      </c>
    </row>
    <row r="371" spans="1:47" ht="30" customHeight="1" x14ac:dyDescent="0.25">
      <c r="A371" s="76"/>
      <c r="B371" s="158" t="s">
        <v>1665</v>
      </c>
      <c r="C371" s="159" t="s">
        <v>1687</v>
      </c>
      <c r="D371" s="160"/>
      <c r="E371" s="408"/>
      <c r="F371" s="426"/>
      <c r="G371" s="397"/>
      <c r="H371" s="394"/>
      <c r="I371" s="162" t="s">
        <v>1138</v>
      </c>
      <c r="J371" s="163">
        <v>4</v>
      </c>
      <c r="K371" s="164">
        <v>2</v>
      </c>
      <c r="L371" s="164">
        <v>8</v>
      </c>
      <c r="M371" s="164">
        <v>3</v>
      </c>
      <c r="N371" s="164"/>
      <c r="O371" s="164"/>
      <c r="P371" s="164"/>
      <c r="Q371" s="164"/>
      <c r="R371" s="164"/>
      <c r="S371" s="164"/>
      <c r="T371" s="164"/>
      <c r="U371" s="164"/>
      <c r="V371" s="164"/>
      <c r="W371" s="164"/>
      <c r="X371" s="164"/>
      <c r="Y371" s="164"/>
      <c r="Z371" s="164"/>
      <c r="AA371" s="164"/>
      <c r="AB371" s="164"/>
      <c r="AC371" s="164"/>
      <c r="AD371" s="164"/>
      <c r="AE371" s="164"/>
      <c r="AF371" s="164"/>
      <c r="AG371" s="164"/>
      <c r="AH371" s="164"/>
      <c r="AI371" s="164"/>
      <c r="AJ371" s="164"/>
      <c r="AK371" s="164"/>
      <c r="AL371" s="164"/>
      <c r="AM371" s="164"/>
      <c r="AN371" s="165"/>
      <c r="AO371" s="166">
        <f t="shared" si="148"/>
        <v>17</v>
      </c>
      <c r="AP371" s="12"/>
      <c r="AQ371" s="167">
        <f t="shared" si="161"/>
        <v>0</v>
      </c>
      <c r="AR371" s="12"/>
      <c r="AS371" s="167">
        <f t="shared" si="162"/>
        <v>0</v>
      </c>
      <c r="AT371" s="168">
        <f t="shared" si="163"/>
        <v>0</v>
      </c>
      <c r="AU371" s="167">
        <f t="shared" si="164"/>
        <v>0</v>
      </c>
    </row>
    <row r="372" spans="1:47" ht="30" customHeight="1" x14ac:dyDescent="0.25">
      <c r="A372" s="76"/>
      <c r="B372" s="158" t="s">
        <v>1666</v>
      </c>
      <c r="C372" s="159" t="s">
        <v>1688</v>
      </c>
      <c r="D372" s="160"/>
      <c r="E372" s="408"/>
      <c r="F372" s="426"/>
      <c r="G372" s="397"/>
      <c r="H372" s="394"/>
      <c r="I372" s="162" t="s">
        <v>1138</v>
      </c>
      <c r="J372" s="163"/>
      <c r="K372" s="164">
        <v>5</v>
      </c>
      <c r="L372" s="164"/>
      <c r="M372" s="164">
        <v>4</v>
      </c>
      <c r="N372" s="164"/>
      <c r="O372" s="164"/>
      <c r="P372" s="164"/>
      <c r="Q372" s="164"/>
      <c r="R372" s="164"/>
      <c r="S372" s="164"/>
      <c r="T372" s="164"/>
      <c r="U372" s="164"/>
      <c r="V372" s="164"/>
      <c r="W372" s="164"/>
      <c r="X372" s="164"/>
      <c r="Y372" s="164"/>
      <c r="Z372" s="164"/>
      <c r="AA372" s="164"/>
      <c r="AB372" s="164"/>
      <c r="AC372" s="164"/>
      <c r="AD372" s="164"/>
      <c r="AE372" s="164"/>
      <c r="AF372" s="164"/>
      <c r="AG372" s="164"/>
      <c r="AH372" s="164"/>
      <c r="AI372" s="164"/>
      <c r="AJ372" s="164"/>
      <c r="AK372" s="164"/>
      <c r="AL372" s="164"/>
      <c r="AM372" s="164"/>
      <c r="AN372" s="165"/>
      <c r="AO372" s="166">
        <f t="shared" si="148"/>
        <v>9</v>
      </c>
      <c r="AP372" s="12"/>
      <c r="AQ372" s="167">
        <f t="shared" si="161"/>
        <v>0</v>
      </c>
      <c r="AR372" s="12"/>
      <c r="AS372" s="167">
        <f t="shared" si="162"/>
        <v>0</v>
      </c>
      <c r="AT372" s="168">
        <f t="shared" si="163"/>
        <v>0</v>
      </c>
      <c r="AU372" s="167">
        <f t="shared" si="164"/>
        <v>0</v>
      </c>
    </row>
    <row r="373" spans="1:47" ht="30" customHeight="1" x14ac:dyDescent="0.25">
      <c r="A373" s="76"/>
      <c r="B373" s="158" t="s">
        <v>1667</v>
      </c>
      <c r="C373" s="159" t="s">
        <v>1689</v>
      </c>
      <c r="D373" s="160"/>
      <c r="E373" s="408"/>
      <c r="F373" s="426"/>
      <c r="G373" s="397"/>
      <c r="H373" s="394"/>
      <c r="I373" s="162" t="s">
        <v>1138</v>
      </c>
      <c r="J373" s="163"/>
      <c r="K373" s="164">
        <v>1</v>
      </c>
      <c r="L373" s="164"/>
      <c r="M373" s="164">
        <v>2</v>
      </c>
      <c r="N373" s="164"/>
      <c r="O373" s="164"/>
      <c r="P373" s="164"/>
      <c r="Q373" s="164"/>
      <c r="R373" s="164"/>
      <c r="S373" s="164"/>
      <c r="T373" s="164"/>
      <c r="U373" s="164"/>
      <c r="V373" s="164"/>
      <c r="W373" s="164"/>
      <c r="X373" s="164"/>
      <c r="Y373" s="164"/>
      <c r="Z373" s="164"/>
      <c r="AA373" s="164"/>
      <c r="AB373" s="164"/>
      <c r="AC373" s="164"/>
      <c r="AD373" s="164"/>
      <c r="AE373" s="164"/>
      <c r="AF373" s="164"/>
      <c r="AG373" s="164"/>
      <c r="AH373" s="164"/>
      <c r="AI373" s="164"/>
      <c r="AJ373" s="164"/>
      <c r="AK373" s="164"/>
      <c r="AL373" s="164"/>
      <c r="AM373" s="164"/>
      <c r="AN373" s="165"/>
      <c r="AO373" s="166">
        <f t="shared" si="148"/>
        <v>3</v>
      </c>
      <c r="AP373" s="12"/>
      <c r="AQ373" s="167">
        <f t="shared" si="161"/>
        <v>0</v>
      </c>
      <c r="AR373" s="12"/>
      <c r="AS373" s="167">
        <f t="shared" si="162"/>
        <v>0</v>
      </c>
      <c r="AT373" s="168">
        <f t="shared" si="163"/>
        <v>0</v>
      </c>
      <c r="AU373" s="167">
        <f t="shared" si="164"/>
        <v>0</v>
      </c>
    </row>
    <row r="374" spans="1:47" ht="30" customHeight="1" x14ac:dyDescent="0.25">
      <c r="A374" s="76"/>
      <c r="B374" s="158" t="s">
        <v>1668</v>
      </c>
      <c r="C374" s="159" t="s">
        <v>1690</v>
      </c>
      <c r="D374" s="160"/>
      <c r="E374" s="408"/>
      <c r="F374" s="426"/>
      <c r="G374" s="397"/>
      <c r="H374" s="394"/>
      <c r="I374" s="162" t="s">
        <v>1138</v>
      </c>
      <c r="J374" s="163"/>
      <c r="K374" s="164">
        <v>5</v>
      </c>
      <c r="L374" s="164"/>
      <c r="M374" s="164">
        <v>4</v>
      </c>
      <c r="N374" s="164"/>
      <c r="O374" s="164"/>
      <c r="P374" s="164"/>
      <c r="Q374" s="164"/>
      <c r="R374" s="164"/>
      <c r="S374" s="164"/>
      <c r="T374" s="164"/>
      <c r="U374" s="164"/>
      <c r="V374" s="164"/>
      <c r="W374" s="164"/>
      <c r="X374" s="164"/>
      <c r="Y374" s="164"/>
      <c r="Z374" s="164"/>
      <c r="AA374" s="164"/>
      <c r="AB374" s="164"/>
      <c r="AC374" s="164"/>
      <c r="AD374" s="164"/>
      <c r="AE374" s="164"/>
      <c r="AF374" s="164"/>
      <c r="AG374" s="164"/>
      <c r="AH374" s="164"/>
      <c r="AI374" s="164"/>
      <c r="AJ374" s="164"/>
      <c r="AK374" s="164"/>
      <c r="AL374" s="164"/>
      <c r="AM374" s="164"/>
      <c r="AN374" s="165"/>
      <c r="AO374" s="166">
        <f t="shared" si="148"/>
        <v>9</v>
      </c>
      <c r="AP374" s="12"/>
      <c r="AQ374" s="167">
        <f t="shared" si="161"/>
        <v>0</v>
      </c>
      <c r="AR374" s="12"/>
      <c r="AS374" s="167">
        <f t="shared" si="162"/>
        <v>0</v>
      </c>
      <c r="AT374" s="168">
        <f t="shared" si="163"/>
        <v>0</v>
      </c>
      <c r="AU374" s="167">
        <f t="shared" si="164"/>
        <v>0</v>
      </c>
    </row>
    <row r="375" spans="1:47" ht="30" customHeight="1" x14ac:dyDescent="0.25">
      <c r="A375" s="76"/>
      <c r="B375" s="158" t="s">
        <v>1669</v>
      </c>
      <c r="C375" s="159" t="s">
        <v>1691</v>
      </c>
      <c r="D375" s="160"/>
      <c r="E375" s="408"/>
      <c r="F375" s="426"/>
      <c r="G375" s="397"/>
      <c r="H375" s="394"/>
      <c r="I375" s="162" t="s">
        <v>1138</v>
      </c>
      <c r="J375" s="163"/>
      <c r="K375" s="164"/>
      <c r="L375" s="164"/>
      <c r="M375" s="164"/>
      <c r="N375" s="164"/>
      <c r="O375" s="164"/>
      <c r="P375" s="164"/>
      <c r="Q375" s="164"/>
      <c r="R375" s="164"/>
      <c r="S375" s="164"/>
      <c r="T375" s="164"/>
      <c r="U375" s="164"/>
      <c r="V375" s="164"/>
      <c r="W375" s="164"/>
      <c r="X375" s="164"/>
      <c r="Y375" s="164"/>
      <c r="Z375" s="164"/>
      <c r="AA375" s="164"/>
      <c r="AB375" s="164"/>
      <c r="AC375" s="164"/>
      <c r="AD375" s="164"/>
      <c r="AE375" s="164"/>
      <c r="AF375" s="164"/>
      <c r="AG375" s="164"/>
      <c r="AH375" s="164"/>
      <c r="AI375" s="164"/>
      <c r="AJ375" s="164"/>
      <c r="AK375" s="164"/>
      <c r="AL375" s="164"/>
      <c r="AM375" s="164"/>
      <c r="AN375" s="165"/>
      <c r="AO375" s="166">
        <f t="shared" si="148"/>
        <v>0</v>
      </c>
      <c r="AP375" s="12"/>
      <c r="AQ375" s="167">
        <f t="shared" si="161"/>
        <v>0</v>
      </c>
      <c r="AR375" s="12"/>
      <c r="AS375" s="167">
        <f t="shared" si="162"/>
        <v>0</v>
      </c>
      <c r="AT375" s="168">
        <f t="shared" si="163"/>
        <v>0</v>
      </c>
      <c r="AU375" s="167">
        <f t="shared" si="164"/>
        <v>0</v>
      </c>
    </row>
    <row r="376" spans="1:47" ht="30" customHeight="1" x14ac:dyDescent="0.25">
      <c r="A376" s="76"/>
      <c r="B376" s="158" t="s">
        <v>1670</v>
      </c>
      <c r="C376" s="159" t="s">
        <v>1692</v>
      </c>
      <c r="D376" s="160"/>
      <c r="E376" s="408"/>
      <c r="F376" s="426"/>
      <c r="G376" s="397"/>
      <c r="H376" s="394"/>
      <c r="I376" s="162" t="s">
        <v>1138</v>
      </c>
      <c r="J376" s="163"/>
      <c r="K376" s="164"/>
      <c r="L376" s="164"/>
      <c r="M376" s="164"/>
      <c r="N376" s="164"/>
      <c r="O376" s="164"/>
      <c r="P376" s="164"/>
      <c r="Q376" s="164"/>
      <c r="R376" s="164"/>
      <c r="S376" s="164"/>
      <c r="T376" s="164"/>
      <c r="U376" s="164"/>
      <c r="V376" s="164"/>
      <c r="W376" s="164"/>
      <c r="X376" s="164"/>
      <c r="Y376" s="164"/>
      <c r="Z376" s="164"/>
      <c r="AA376" s="164"/>
      <c r="AB376" s="164"/>
      <c r="AC376" s="164"/>
      <c r="AD376" s="164"/>
      <c r="AE376" s="164"/>
      <c r="AF376" s="164"/>
      <c r="AG376" s="164"/>
      <c r="AH376" s="164"/>
      <c r="AI376" s="164"/>
      <c r="AJ376" s="164"/>
      <c r="AK376" s="164"/>
      <c r="AL376" s="164"/>
      <c r="AM376" s="164"/>
      <c r="AN376" s="165"/>
      <c r="AO376" s="166">
        <f t="shared" si="148"/>
        <v>0</v>
      </c>
      <c r="AP376" s="12"/>
      <c r="AQ376" s="167">
        <f t="shared" si="161"/>
        <v>0</v>
      </c>
      <c r="AR376" s="12"/>
      <c r="AS376" s="167">
        <f t="shared" si="162"/>
        <v>0</v>
      </c>
      <c r="AT376" s="168">
        <f t="shared" si="163"/>
        <v>0</v>
      </c>
      <c r="AU376" s="167">
        <f t="shared" si="164"/>
        <v>0</v>
      </c>
    </row>
    <row r="377" spans="1:47" ht="30" customHeight="1" x14ac:dyDescent="0.25">
      <c r="A377" s="76"/>
      <c r="B377" s="158" t="s">
        <v>1671</v>
      </c>
      <c r="C377" s="159" t="s">
        <v>1693</v>
      </c>
      <c r="D377" s="160"/>
      <c r="E377" s="408"/>
      <c r="F377" s="426"/>
      <c r="G377" s="397"/>
      <c r="H377" s="394"/>
      <c r="I377" s="162" t="s">
        <v>1138</v>
      </c>
      <c r="J377" s="163"/>
      <c r="K377" s="164"/>
      <c r="L377" s="164"/>
      <c r="M377" s="164"/>
      <c r="N377" s="164"/>
      <c r="O377" s="164"/>
      <c r="P377" s="164"/>
      <c r="Q377" s="164"/>
      <c r="R377" s="164"/>
      <c r="S377" s="164"/>
      <c r="T377" s="164"/>
      <c r="U377" s="164"/>
      <c r="V377" s="164"/>
      <c r="W377" s="164"/>
      <c r="X377" s="164"/>
      <c r="Y377" s="164"/>
      <c r="Z377" s="164"/>
      <c r="AA377" s="164"/>
      <c r="AB377" s="164"/>
      <c r="AC377" s="164"/>
      <c r="AD377" s="164"/>
      <c r="AE377" s="164"/>
      <c r="AF377" s="164"/>
      <c r="AG377" s="164"/>
      <c r="AH377" s="164"/>
      <c r="AI377" s="164"/>
      <c r="AJ377" s="164"/>
      <c r="AK377" s="164"/>
      <c r="AL377" s="164"/>
      <c r="AM377" s="164"/>
      <c r="AN377" s="165"/>
      <c r="AO377" s="166">
        <f t="shared" si="148"/>
        <v>0</v>
      </c>
      <c r="AP377" s="12"/>
      <c r="AQ377" s="167">
        <f t="shared" si="161"/>
        <v>0</v>
      </c>
      <c r="AR377" s="12"/>
      <c r="AS377" s="167">
        <f t="shared" si="162"/>
        <v>0</v>
      </c>
      <c r="AT377" s="168">
        <f t="shared" si="163"/>
        <v>0</v>
      </c>
      <c r="AU377" s="167">
        <f t="shared" si="164"/>
        <v>0</v>
      </c>
    </row>
    <row r="378" spans="1:47" ht="30" customHeight="1" x14ac:dyDescent="0.25">
      <c r="A378" s="76"/>
      <c r="B378" s="158" t="s">
        <v>1672</v>
      </c>
      <c r="C378" s="159" t="s">
        <v>1694</v>
      </c>
      <c r="D378" s="160"/>
      <c r="E378" s="408"/>
      <c r="F378" s="426"/>
      <c r="G378" s="397"/>
      <c r="H378" s="394"/>
      <c r="I378" s="162" t="s">
        <v>1138</v>
      </c>
      <c r="J378" s="163"/>
      <c r="K378" s="164"/>
      <c r="L378" s="164"/>
      <c r="M378" s="164"/>
      <c r="N378" s="164"/>
      <c r="O378" s="164"/>
      <c r="P378" s="164"/>
      <c r="Q378" s="164"/>
      <c r="R378" s="164"/>
      <c r="S378" s="164"/>
      <c r="T378" s="164"/>
      <c r="U378" s="164"/>
      <c r="V378" s="164"/>
      <c r="W378" s="164"/>
      <c r="X378" s="164"/>
      <c r="Y378" s="164"/>
      <c r="Z378" s="164"/>
      <c r="AA378" s="164"/>
      <c r="AB378" s="164"/>
      <c r="AC378" s="164"/>
      <c r="AD378" s="164"/>
      <c r="AE378" s="164"/>
      <c r="AF378" s="164"/>
      <c r="AG378" s="164"/>
      <c r="AH378" s="164"/>
      <c r="AI378" s="164"/>
      <c r="AJ378" s="164"/>
      <c r="AK378" s="164"/>
      <c r="AL378" s="164"/>
      <c r="AM378" s="164"/>
      <c r="AN378" s="165"/>
      <c r="AO378" s="166">
        <f t="shared" si="148"/>
        <v>0</v>
      </c>
      <c r="AP378" s="12"/>
      <c r="AQ378" s="167">
        <f t="shared" si="161"/>
        <v>0</v>
      </c>
      <c r="AR378" s="12"/>
      <c r="AS378" s="167">
        <f t="shared" si="162"/>
        <v>0</v>
      </c>
      <c r="AT378" s="168">
        <f t="shared" si="163"/>
        <v>0</v>
      </c>
      <c r="AU378" s="167">
        <f t="shared" si="164"/>
        <v>0</v>
      </c>
    </row>
    <row r="379" spans="1:47" ht="30" customHeight="1" x14ac:dyDescent="0.25">
      <c r="A379" s="76"/>
      <c r="B379" s="158" t="s">
        <v>1673</v>
      </c>
      <c r="C379" s="159" t="s">
        <v>1695</v>
      </c>
      <c r="D379" s="160"/>
      <c r="E379" s="408"/>
      <c r="F379" s="426"/>
      <c r="G379" s="397"/>
      <c r="H379" s="394"/>
      <c r="I379" s="162" t="s">
        <v>1138</v>
      </c>
      <c r="J379" s="163"/>
      <c r="K379" s="164"/>
      <c r="L379" s="164"/>
      <c r="M379" s="164"/>
      <c r="N379" s="164"/>
      <c r="O379" s="164"/>
      <c r="P379" s="164"/>
      <c r="Q379" s="164"/>
      <c r="R379" s="164"/>
      <c r="S379" s="164"/>
      <c r="T379" s="164"/>
      <c r="U379" s="164"/>
      <c r="V379" s="164"/>
      <c r="W379" s="164"/>
      <c r="X379" s="164"/>
      <c r="Y379" s="164"/>
      <c r="Z379" s="164"/>
      <c r="AA379" s="164"/>
      <c r="AB379" s="164"/>
      <c r="AC379" s="164"/>
      <c r="AD379" s="164"/>
      <c r="AE379" s="164"/>
      <c r="AF379" s="164"/>
      <c r="AG379" s="164"/>
      <c r="AH379" s="164"/>
      <c r="AI379" s="164"/>
      <c r="AJ379" s="164"/>
      <c r="AK379" s="164"/>
      <c r="AL379" s="164"/>
      <c r="AM379" s="164"/>
      <c r="AN379" s="165"/>
      <c r="AO379" s="166">
        <f t="shared" si="148"/>
        <v>0</v>
      </c>
      <c r="AP379" s="12"/>
      <c r="AQ379" s="167">
        <f t="shared" si="161"/>
        <v>0</v>
      </c>
      <c r="AR379" s="12"/>
      <c r="AS379" s="167">
        <f t="shared" si="162"/>
        <v>0</v>
      </c>
      <c r="AT379" s="168">
        <f t="shared" si="163"/>
        <v>0</v>
      </c>
      <c r="AU379" s="167">
        <f t="shared" si="164"/>
        <v>0</v>
      </c>
    </row>
    <row r="380" spans="1:47" ht="35.25" customHeight="1" x14ac:dyDescent="0.25">
      <c r="A380" s="76"/>
      <c r="B380" s="158" t="s">
        <v>1674</v>
      </c>
      <c r="C380" s="159" t="s">
        <v>1696</v>
      </c>
      <c r="D380" s="160"/>
      <c r="E380" s="408"/>
      <c r="F380" s="426"/>
      <c r="G380" s="397"/>
      <c r="H380" s="394"/>
      <c r="I380" s="162" t="s">
        <v>1138</v>
      </c>
      <c r="J380" s="163"/>
      <c r="K380" s="164"/>
      <c r="L380" s="164"/>
      <c r="M380" s="164"/>
      <c r="N380" s="164"/>
      <c r="O380" s="164"/>
      <c r="P380" s="164"/>
      <c r="Q380" s="164"/>
      <c r="R380" s="164"/>
      <c r="S380" s="164"/>
      <c r="T380" s="164"/>
      <c r="U380" s="164"/>
      <c r="V380" s="164"/>
      <c r="W380" s="164"/>
      <c r="X380" s="164"/>
      <c r="Y380" s="164"/>
      <c r="Z380" s="164"/>
      <c r="AA380" s="164"/>
      <c r="AB380" s="164"/>
      <c r="AC380" s="164"/>
      <c r="AD380" s="164"/>
      <c r="AE380" s="164"/>
      <c r="AF380" s="164"/>
      <c r="AG380" s="164"/>
      <c r="AH380" s="164"/>
      <c r="AI380" s="164"/>
      <c r="AJ380" s="164"/>
      <c r="AK380" s="164"/>
      <c r="AL380" s="164"/>
      <c r="AM380" s="164"/>
      <c r="AN380" s="165"/>
      <c r="AO380" s="166">
        <f t="shared" si="148"/>
        <v>0</v>
      </c>
      <c r="AP380" s="12"/>
      <c r="AQ380" s="167">
        <f t="shared" si="161"/>
        <v>0</v>
      </c>
      <c r="AR380" s="12"/>
      <c r="AS380" s="167">
        <f t="shared" si="162"/>
        <v>0</v>
      </c>
      <c r="AT380" s="168">
        <f t="shared" si="163"/>
        <v>0</v>
      </c>
      <c r="AU380" s="167">
        <f t="shared" si="164"/>
        <v>0</v>
      </c>
    </row>
    <row r="381" spans="1:47" ht="35.25" customHeight="1" x14ac:dyDescent="0.25">
      <c r="A381" s="76"/>
      <c r="B381" s="158" t="s">
        <v>1675</v>
      </c>
      <c r="C381" s="159" t="s">
        <v>1697</v>
      </c>
      <c r="D381" s="160"/>
      <c r="E381" s="408"/>
      <c r="F381" s="426"/>
      <c r="G381" s="397"/>
      <c r="H381" s="394"/>
      <c r="I381" s="162" t="s">
        <v>1138</v>
      </c>
      <c r="J381" s="163"/>
      <c r="K381" s="164"/>
      <c r="L381" s="164"/>
      <c r="M381" s="164"/>
      <c r="N381" s="164"/>
      <c r="O381" s="164"/>
      <c r="P381" s="164"/>
      <c r="Q381" s="164"/>
      <c r="R381" s="164"/>
      <c r="S381" s="164"/>
      <c r="T381" s="164"/>
      <c r="U381" s="164"/>
      <c r="V381" s="164"/>
      <c r="W381" s="164"/>
      <c r="X381" s="164"/>
      <c r="Y381" s="164"/>
      <c r="Z381" s="164"/>
      <c r="AA381" s="164"/>
      <c r="AB381" s="164"/>
      <c r="AC381" s="164"/>
      <c r="AD381" s="164"/>
      <c r="AE381" s="164"/>
      <c r="AF381" s="164"/>
      <c r="AG381" s="164"/>
      <c r="AH381" s="164"/>
      <c r="AI381" s="164"/>
      <c r="AJ381" s="164"/>
      <c r="AK381" s="164"/>
      <c r="AL381" s="164"/>
      <c r="AM381" s="164"/>
      <c r="AN381" s="165"/>
      <c r="AO381" s="166">
        <f t="shared" si="148"/>
        <v>0</v>
      </c>
      <c r="AP381" s="12"/>
      <c r="AQ381" s="167">
        <f t="shared" si="161"/>
        <v>0</v>
      </c>
      <c r="AR381" s="12"/>
      <c r="AS381" s="167">
        <f t="shared" si="162"/>
        <v>0</v>
      </c>
      <c r="AT381" s="168">
        <f t="shared" si="163"/>
        <v>0</v>
      </c>
      <c r="AU381" s="167">
        <f t="shared" si="164"/>
        <v>0</v>
      </c>
    </row>
    <row r="382" spans="1:47" ht="35.25" customHeight="1" x14ac:dyDescent="0.25">
      <c r="A382" s="76"/>
      <c r="B382" s="158" t="s">
        <v>1676</v>
      </c>
      <c r="C382" s="159" t="s">
        <v>1698</v>
      </c>
      <c r="D382" s="160"/>
      <c r="E382" s="408"/>
      <c r="F382" s="426"/>
      <c r="G382" s="397"/>
      <c r="H382" s="394"/>
      <c r="I382" s="162" t="s">
        <v>1138</v>
      </c>
      <c r="J382" s="163"/>
      <c r="K382" s="164"/>
      <c r="L382" s="164"/>
      <c r="M382" s="164"/>
      <c r="N382" s="164"/>
      <c r="O382" s="164"/>
      <c r="P382" s="164"/>
      <c r="Q382" s="164"/>
      <c r="R382" s="164"/>
      <c r="S382" s="164"/>
      <c r="T382" s="164"/>
      <c r="U382" s="164"/>
      <c r="V382" s="164"/>
      <c r="W382" s="164"/>
      <c r="X382" s="164"/>
      <c r="Y382" s="164"/>
      <c r="Z382" s="164"/>
      <c r="AA382" s="164"/>
      <c r="AB382" s="164"/>
      <c r="AC382" s="164"/>
      <c r="AD382" s="164"/>
      <c r="AE382" s="164"/>
      <c r="AF382" s="164"/>
      <c r="AG382" s="164"/>
      <c r="AH382" s="164"/>
      <c r="AI382" s="164"/>
      <c r="AJ382" s="164"/>
      <c r="AK382" s="164"/>
      <c r="AL382" s="164"/>
      <c r="AM382" s="164"/>
      <c r="AN382" s="165"/>
      <c r="AO382" s="166">
        <f t="shared" si="148"/>
        <v>0</v>
      </c>
      <c r="AP382" s="12"/>
      <c r="AQ382" s="167">
        <f t="shared" si="161"/>
        <v>0</v>
      </c>
      <c r="AR382" s="12"/>
      <c r="AS382" s="167">
        <f t="shared" si="162"/>
        <v>0</v>
      </c>
      <c r="AT382" s="168">
        <f t="shared" si="163"/>
        <v>0</v>
      </c>
      <c r="AU382" s="167">
        <f t="shared" si="164"/>
        <v>0</v>
      </c>
    </row>
    <row r="383" spans="1:47" ht="35.25" customHeight="1" x14ac:dyDescent="0.25">
      <c r="A383" s="76"/>
      <c r="B383" s="169" t="s">
        <v>1677</v>
      </c>
      <c r="C383" s="170" t="s">
        <v>1699</v>
      </c>
      <c r="D383" s="171"/>
      <c r="E383" s="400"/>
      <c r="F383" s="427"/>
      <c r="G383" s="398"/>
      <c r="H383" s="395"/>
      <c r="I383" s="173" t="s">
        <v>1138</v>
      </c>
      <c r="J383" s="174"/>
      <c r="K383" s="175"/>
      <c r="L383" s="175"/>
      <c r="M383" s="175"/>
      <c r="N383" s="175"/>
      <c r="O383" s="175"/>
      <c r="P383" s="175"/>
      <c r="Q383" s="175"/>
      <c r="R383" s="175"/>
      <c r="S383" s="175"/>
      <c r="T383" s="175"/>
      <c r="U383" s="175"/>
      <c r="V383" s="175"/>
      <c r="W383" s="175"/>
      <c r="X383" s="175"/>
      <c r="Y383" s="175"/>
      <c r="Z383" s="175"/>
      <c r="AA383" s="175"/>
      <c r="AB383" s="175"/>
      <c r="AC383" s="175"/>
      <c r="AD383" s="175"/>
      <c r="AE383" s="175"/>
      <c r="AF383" s="175"/>
      <c r="AG383" s="175"/>
      <c r="AH383" s="175"/>
      <c r="AI383" s="175"/>
      <c r="AJ383" s="175"/>
      <c r="AK383" s="175"/>
      <c r="AL383" s="175"/>
      <c r="AM383" s="175"/>
      <c r="AN383" s="176"/>
      <c r="AO383" s="177">
        <f t="shared" si="148"/>
        <v>0</v>
      </c>
      <c r="AP383" s="14"/>
      <c r="AQ383" s="178">
        <f t="shared" si="157"/>
        <v>0</v>
      </c>
      <c r="AR383" s="14"/>
      <c r="AS383" s="178">
        <f t="shared" si="158"/>
        <v>0</v>
      </c>
      <c r="AT383" s="179">
        <f t="shared" si="159"/>
        <v>0</v>
      </c>
      <c r="AU383" s="178">
        <f t="shared" si="160"/>
        <v>0</v>
      </c>
    </row>
    <row r="384" spans="1:47" ht="30" customHeight="1" x14ac:dyDescent="0.25">
      <c r="A384" s="76"/>
      <c r="B384" s="148" t="s">
        <v>1700</v>
      </c>
      <c r="C384" s="149" t="s">
        <v>1680</v>
      </c>
      <c r="D384" s="150"/>
      <c r="E384" s="399" t="s">
        <v>1713</v>
      </c>
      <c r="F384" s="425" t="s">
        <v>1714</v>
      </c>
      <c r="G384" s="424" t="s">
        <v>1079</v>
      </c>
      <c r="H384" s="403" t="s">
        <v>1079</v>
      </c>
      <c r="I384" s="151" t="s">
        <v>1138</v>
      </c>
      <c r="J384" s="152"/>
      <c r="K384" s="153"/>
      <c r="L384" s="153"/>
      <c r="M384" s="153"/>
      <c r="N384" s="153"/>
      <c r="O384" s="153"/>
      <c r="P384" s="153"/>
      <c r="Q384" s="153"/>
      <c r="R384" s="153"/>
      <c r="S384" s="153"/>
      <c r="T384" s="153"/>
      <c r="U384" s="153"/>
      <c r="V384" s="153"/>
      <c r="W384" s="153"/>
      <c r="X384" s="153"/>
      <c r="Y384" s="153"/>
      <c r="Z384" s="153"/>
      <c r="AA384" s="153"/>
      <c r="AB384" s="153"/>
      <c r="AC384" s="153"/>
      <c r="AD384" s="153"/>
      <c r="AE384" s="153"/>
      <c r="AF384" s="153"/>
      <c r="AG384" s="153"/>
      <c r="AH384" s="153"/>
      <c r="AI384" s="153"/>
      <c r="AJ384" s="153"/>
      <c r="AK384" s="153"/>
      <c r="AL384" s="153"/>
      <c r="AM384" s="153"/>
      <c r="AN384" s="154"/>
      <c r="AO384" s="155">
        <f t="shared" si="148"/>
        <v>0</v>
      </c>
      <c r="AP384" s="13"/>
      <c r="AQ384" s="156">
        <f t="shared" ref="AQ384:AQ392" si="165">+AP384*AO384</f>
        <v>0</v>
      </c>
      <c r="AR384" s="13"/>
      <c r="AS384" s="156">
        <f t="shared" ref="AS384:AS392" si="166">+AR384*AO384</f>
        <v>0</v>
      </c>
      <c r="AT384" s="157">
        <f t="shared" ref="AT384:AT392" si="167">+AR384+AP384</f>
        <v>0</v>
      </c>
      <c r="AU384" s="156">
        <f t="shared" ref="AU384:AU392" si="168">+AT384*AO384</f>
        <v>0</v>
      </c>
    </row>
    <row r="385" spans="1:47" ht="30" customHeight="1" x14ac:dyDescent="0.25">
      <c r="A385" s="76"/>
      <c r="B385" s="158" t="s">
        <v>1701</v>
      </c>
      <c r="C385" s="159" t="s">
        <v>1681</v>
      </c>
      <c r="D385" s="160"/>
      <c r="E385" s="408"/>
      <c r="F385" s="426"/>
      <c r="G385" s="397"/>
      <c r="H385" s="394"/>
      <c r="I385" s="162" t="s">
        <v>1138</v>
      </c>
      <c r="J385" s="163"/>
      <c r="K385" s="164"/>
      <c r="L385" s="164"/>
      <c r="M385" s="164"/>
      <c r="N385" s="164"/>
      <c r="O385" s="164"/>
      <c r="P385" s="164"/>
      <c r="Q385" s="164"/>
      <c r="R385" s="164"/>
      <c r="S385" s="164"/>
      <c r="T385" s="164"/>
      <c r="U385" s="164"/>
      <c r="V385" s="164"/>
      <c r="W385" s="164"/>
      <c r="X385" s="164"/>
      <c r="Y385" s="164"/>
      <c r="Z385" s="164"/>
      <c r="AA385" s="164"/>
      <c r="AB385" s="164"/>
      <c r="AC385" s="164"/>
      <c r="AD385" s="164"/>
      <c r="AE385" s="164"/>
      <c r="AF385" s="164"/>
      <c r="AG385" s="164"/>
      <c r="AH385" s="164"/>
      <c r="AI385" s="164"/>
      <c r="AJ385" s="164"/>
      <c r="AK385" s="164"/>
      <c r="AL385" s="164"/>
      <c r="AM385" s="164"/>
      <c r="AN385" s="165"/>
      <c r="AO385" s="166">
        <f t="shared" si="148"/>
        <v>0</v>
      </c>
      <c r="AP385" s="12"/>
      <c r="AQ385" s="167">
        <f t="shared" si="165"/>
        <v>0</v>
      </c>
      <c r="AR385" s="12"/>
      <c r="AS385" s="167">
        <f t="shared" si="166"/>
        <v>0</v>
      </c>
      <c r="AT385" s="168">
        <f t="shared" si="167"/>
        <v>0</v>
      </c>
      <c r="AU385" s="167">
        <f t="shared" si="168"/>
        <v>0</v>
      </c>
    </row>
    <row r="386" spans="1:47" ht="30" customHeight="1" x14ac:dyDescent="0.25">
      <c r="A386" s="76"/>
      <c r="B386" s="158" t="s">
        <v>1702</v>
      </c>
      <c r="C386" s="159" t="s">
        <v>1682</v>
      </c>
      <c r="D386" s="160"/>
      <c r="E386" s="408"/>
      <c r="F386" s="426"/>
      <c r="G386" s="397"/>
      <c r="H386" s="394"/>
      <c r="I386" s="162" t="s">
        <v>1138</v>
      </c>
      <c r="J386" s="163"/>
      <c r="K386" s="164"/>
      <c r="L386" s="164"/>
      <c r="M386" s="164"/>
      <c r="N386" s="164"/>
      <c r="O386" s="164"/>
      <c r="P386" s="164"/>
      <c r="Q386" s="164"/>
      <c r="R386" s="164"/>
      <c r="S386" s="164"/>
      <c r="T386" s="164"/>
      <c r="U386" s="164"/>
      <c r="V386" s="164"/>
      <c r="W386" s="164"/>
      <c r="X386" s="164"/>
      <c r="Y386" s="164"/>
      <c r="Z386" s="164"/>
      <c r="AA386" s="164"/>
      <c r="AB386" s="164"/>
      <c r="AC386" s="164"/>
      <c r="AD386" s="164"/>
      <c r="AE386" s="164"/>
      <c r="AF386" s="164"/>
      <c r="AG386" s="164"/>
      <c r="AH386" s="164"/>
      <c r="AI386" s="164"/>
      <c r="AJ386" s="164"/>
      <c r="AK386" s="164"/>
      <c r="AL386" s="164"/>
      <c r="AM386" s="164"/>
      <c r="AN386" s="165"/>
      <c r="AO386" s="166">
        <f t="shared" si="148"/>
        <v>0</v>
      </c>
      <c r="AP386" s="12"/>
      <c r="AQ386" s="167">
        <f t="shared" si="165"/>
        <v>0</v>
      </c>
      <c r="AR386" s="12"/>
      <c r="AS386" s="167">
        <f t="shared" si="166"/>
        <v>0</v>
      </c>
      <c r="AT386" s="168">
        <f t="shared" si="167"/>
        <v>0</v>
      </c>
      <c r="AU386" s="167">
        <f t="shared" si="168"/>
        <v>0</v>
      </c>
    </row>
    <row r="387" spans="1:47" ht="30" customHeight="1" x14ac:dyDescent="0.25">
      <c r="A387" s="76"/>
      <c r="B387" s="158" t="s">
        <v>1703</v>
      </c>
      <c r="C387" s="159" t="s">
        <v>1709</v>
      </c>
      <c r="D387" s="160"/>
      <c r="E387" s="408"/>
      <c r="F387" s="426"/>
      <c r="G387" s="397"/>
      <c r="H387" s="394"/>
      <c r="I387" s="162" t="s">
        <v>1138</v>
      </c>
      <c r="J387" s="163"/>
      <c r="K387" s="164"/>
      <c r="L387" s="164"/>
      <c r="M387" s="164"/>
      <c r="N387" s="164"/>
      <c r="O387" s="164"/>
      <c r="P387" s="164"/>
      <c r="Q387" s="164"/>
      <c r="R387" s="164"/>
      <c r="S387" s="164"/>
      <c r="T387" s="164"/>
      <c r="U387" s="164"/>
      <c r="V387" s="164"/>
      <c r="W387" s="164"/>
      <c r="X387" s="164"/>
      <c r="Y387" s="164"/>
      <c r="Z387" s="164"/>
      <c r="AA387" s="164"/>
      <c r="AB387" s="164"/>
      <c r="AC387" s="164"/>
      <c r="AD387" s="164"/>
      <c r="AE387" s="164"/>
      <c r="AF387" s="164"/>
      <c r="AG387" s="164"/>
      <c r="AH387" s="164"/>
      <c r="AI387" s="164"/>
      <c r="AJ387" s="164"/>
      <c r="AK387" s="164"/>
      <c r="AL387" s="164"/>
      <c r="AM387" s="164"/>
      <c r="AN387" s="165"/>
      <c r="AO387" s="166">
        <f t="shared" si="148"/>
        <v>0</v>
      </c>
      <c r="AP387" s="12"/>
      <c r="AQ387" s="167">
        <f t="shared" si="165"/>
        <v>0</v>
      </c>
      <c r="AR387" s="12"/>
      <c r="AS387" s="167">
        <f t="shared" si="166"/>
        <v>0</v>
      </c>
      <c r="AT387" s="168">
        <f t="shared" si="167"/>
        <v>0</v>
      </c>
      <c r="AU387" s="167">
        <f t="shared" si="168"/>
        <v>0</v>
      </c>
    </row>
    <row r="388" spans="1:47" ht="30" customHeight="1" x14ac:dyDescent="0.25">
      <c r="A388" s="76"/>
      <c r="B388" s="158" t="s">
        <v>1704</v>
      </c>
      <c r="C388" s="159" t="s">
        <v>1710</v>
      </c>
      <c r="D388" s="160"/>
      <c r="E388" s="408"/>
      <c r="F388" s="426"/>
      <c r="G388" s="397"/>
      <c r="H388" s="394"/>
      <c r="I388" s="162" t="s">
        <v>1138</v>
      </c>
      <c r="J388" s="163"/>
      <c r="K388" s="164"/>
      <c r="L388" s="164"/>
      <c r="M388" s="164"/>
      <c r="N388" s="164"/>
      <c r="O388" s="164"/>
      <c r="P388" s="164"/>
      <c r="Q388" s="164"/>
      <c r="R388" s="164"/>
      <c r="S388" s="164"/>
      <c r="T388" s="164"/>
      <c r="U388" s="164"/>
      <c r="V388" s="164"/>
      <c r="W388" s="164"/>
      <c r="X388" s="164"/>
      <c r="Y388" s="164"/>
      <c r="Z388" s="164"/>
      <c r="AA388" s="164"/>
      <c r="AB388" s="164"/>
      <c r="AC388" s="164"/>
      <c r="AD388" s="164"/>
      <c r="AE388" s="164"/>
      <c r="AF388" s="164"/>
      <c r="AG388" s="164"/>
      <c r="AH388" s="164"/>
      <c r="AI388" s="164"/>
      <c r="AJ388" s="164"/>
      <c r="AK388" s="164"/>
      <c r="AL388" s="164"/>
      <c r="AM388" s="164"/>
      <c r="AN388" s="165"/>
      <c r="AO388" s="166">
        <f t="shared" si="148"/>
        <v>0</v>
      </c>
      <c r="AP388" s="12"/>
      <c r="AQ388" s="167">
        <f t="shared" si="165"/>
        <v>0</v>
      </c>
      <c r="AR388" s="12"/>
      <c r="AS388" s="167">
        <f t="shared" si="166"/>
        <v>0</v>
      </c>
      <c r="AT388" s="168">
        <f t="shared" si="167"/>
        <v>0</v>
      </c>
      <c r="AU388" s="167">
        <f t="shared" si="168"/>
        <v>0</v>
      </c>
    </row>
    <row r="389" spans="1:47" ht="30" customHeight="1" x14ac:dyDescent="0.25">
      <c r="A389" s="76"/>
      <c r="B389" s="158" t="s">
        <v>1705</v>
      </c>
      <c r="C389" s="159" t="s">
        <v>1683</v>
      </c>
      <c r="D389" s="160"/>
      <c r="E389" s="408"/>
      <c r="F389" s="426"/>
      <c r="G389" s="397"/>
      <c r="H389" s="394"/>
      <c r="I389" s="162" t="s">
        <v>1138</v>
      </c>
      <c r="J389" s="163"/>
      <c r="K389" s="164"/>
      <c r="L389" s="164"/>
      <c r="M389" s="164"/>
      <c r="N389" s="164"/>
      <c r="O389" s="164"/>
      <c r="P389" s="164"/>
      <c r="Q389" s="164"/>
      <c r="R389" s="164"/>
      <c r="S389" s="164"/>
      <c r="T389" s="164"/>
      <c r="U389" s="164"/>
      <c r="V389" s="164"/>
      <c r="W389" s="164"/>
      <c r="X389" s="164"/>
      <c r="Y389" s="164"/>
      <c r="Z389" s="164"/>
      <c r="AA389" s="164"/>
      <c r="AB389" s="164"/>
      <c r="AC389" s="164"/>
      <c r="AD389" s="164"/>
      <c r="AE389" s="164"/>
      <c r="AF389" s="164"/>
      <c r="AG389" s="164"/>
      <c r="AH389" s="164"/>
      <c r="AI389" s="164"/>
      <c r="AJ389" s="164"/>
      <c r="AK389" s="164"/>
      <c r="AL389" s="164"/>
      <c r="AM389" s="164"/>
      <c r="AN389" s="165"/>
      <c r="AO389" s="166">
        <f t="shared" si="148"/>
        <v>0</v>
      </c>
      <c r="AP389" s="12"/>
      <c r="AQ389" s="167">
        <f t="shared" si="165"/>
        <v>0</v>
      </c>
      <c r="AR389" s="12"/>
      <c r="AS389" s="167">
        <f t="shared" si="166"/>
        <v>0</v>
      </c>
      <c r="AT389" s="168">
        <f t="shared" si="167"/>
        <v>0</v>
      </c>
      <c r="AU389" s="167">
        <f t="shared" si="168"/>
        <v>0</v>
      </c>
    </row>
    <row r="390" spans="1:47" ht="30" customHeight="1" x14ac:dyDescent="0.25">
      <c r="A390" s="76"/>
      <c r="B390" s="158" t="s">
        <v>1706</v>
      </c>
      <c r="C390" s="159" t="s">
        <v>1684</v>
      </c>
      <c r="D390" s="160"/>
      <c r="E390" s="408"/>
      <c r="F390" s="426"/>
      <c r="G390" s="397"/>
      <c r="H390" s="394"/>
      <c r="I390" s="162" t="s">
        <v>1138</v>
      </c>
      <c r="J390" s="163"/>
      <c r="K390" s="164"/>
      <c r="L390" s="164"/>
      <c r="M390" s="164"/>
      <c r="N390" s="164"/>
      <c r="O390" s="164"/>
      <c r="P390" s="164"/>
      <c r="Q390" s="164"/>
      <c r="R390" s="164"/>
      <c r="S390" s="164"/>
      <c r="T390" s="164"/>
      <c r="U390" s="164"/>
      <c r="V390" s="164"/>
      <c r="W390" s="164"/>
      <c r="X390" s="164"/>
      <c r="Y390" s="164"/>
      <c r="Z390" s="164"/>
      <c r="AA390" s="164"/>
      <c r="AB390" s="164"/>
      <c r="AC390" s="164"/>
      <c r="AD390" s="164"/>
      <c r="AE390" s="164"/>
      <c r="AF390" s="164"/>
      <c r="AG390" s="164"/>
      <c r="AH390" s="164"/>
      <c r="AI390" s="164"/>
      <c r="AJ390" s="164"/>
      <c r="AK390" s="164"/>
      <c r="AL390" s="164"/>
      <c r="AM390" s="164"/>
      <c r="AN390" s="165"/>
      <c r="AO390" s="166">
        <f t="shared" si="148"/>
        <v>0</v>
      </c>
      <c r="AP390" s="12"/>
      <c r="AQ390" s="167">
        <f t="shared" si="165"/>
        <v>0</v>
      </c>
      <c r="AR390" s="12"/>
      <c r="AS390" s="167">
        <f t="shared" si="166"/>
        <v>0</v>
      </c>
      <c r="AT390" s="168">
        <f t="shared" si="167"/>
        <v>0</v>
      </c>
      <c r="AU390" s="167">
        <f t="shared" si="168"/>
        <v>0</v>
      </c>
    </row>
    <row r="391" spans="1:47" ht="30" customHeight="1" x14ac:dyDescent="0.25">
      <c r="A391" s="76"/>
      <c r="B391" s="158" t="s">
        <v>1707</v>
      </c>
      <c r="C391" s="159" t="s">
        <v>1711</v>
      </c>
      <c r="D391" s="160"/>
      <c r="E391" s="408"/>
      <c r="F391" s="426"/>
      <c r="G391" s="397"/>
      <c r="H391" s="394"/>
      <c r="I391" s="162" t="s">
        <v>1138</v>
      </c>
      <c r="J391" s="163"/>
      <c r="K391" s="164"/>
      <c r="L391" s="164"/>
      <c r="M391" s="164"/>
      <c r="N391" s="164"/>
      <c r="O391" s="164"/>
      <c r="P391" s="164"/>
      <c r="Q391" s="164"/>
      <c r="R391" s="164"/>
      <c r="S391" s="164"/>
      <c r="T391" s="164"/>
      <c r="U391" s="164"/>
      <c r="V391" s="164"/>
      <c r="W391" s="164"/>
      <c r="X391" s="164"/>
      <c r="Y391" s="164"/>
      <c r="Z391" s="164"/>
      <c r="AA391" s="164"/>
      <c r="AB391" s="164"/>
      <c r="AC391" s="164"/>
      <c r="AD391" s="164"/>
      <c r="AE391" s="164"/>
      <c r="AF391" s="164"/>
      <c r="AG391" s="164"/>
      <c r="AH391" s="164"/>
      <c r="AI391" s="164"/>
      <c r="AJ391" s="164"/>
      <c r="AK391" s="164"/>
      <c r="AL391" s="164"/>
      <c r="AM391" s="164"/>
      <c r="AN391" s="165"/>
      <c r="AO391" s="166">
        <f t="shared" si="148"/>
        <v>0</v>
      </c>
      <c r="AP391" s="12"/>
      <c r="AQ391" s="167">
        <f t="shared" si="165"/>
        <v>0</v>
      </c>
      <c r="AR391" s="12"/>
      <c r="AS391" s="167">
        <f t="shared" si="166"/>
        <v>0</v>
      </c>
      <c r="AT391" s="168">
        <f t="shared" si="167"/>
        <v>0</v>
      </c>
      <c r="AU391" s="167">
        <f t="shared" si="168"/>
        <v>0</v>
      </c>
    </row>
    <row r="392" spans="1:47" ht="30" customHeight="1" x14ac:dyDescent="0.25">
      <c r="A392" s="76"/>
      <c r="B392" s="169" t="s">
        <v>1708</v>
      </c>
      <c r="C392" s="170" t="s">
        <v>1712</v>
      </c>
      <c r="D392" s="171"/>
      <c r="E392" s="400"/>
      <c r="F392" s="427"/>
      <c r="G392" s="398"/>
      <c r="H392" s="395"/>
      <c r="I392" s="173" t="s">
        <v>1138</v>
      </c>
      <c r="J392" s="174"/>
      <c r="K392" s="175"/>
      <c r="L392" s="175"/>
      <c r="M392" s="175"/>
      <c r="N392" s="175"/>
      <c r="O392" s="175"/>
      <c r="P392" s="175"/>
      <c r="Q392" s="175"/>
      <c r="R392" s="175"/>
      <c r="S392" s="175"/>
      <c r="T392" s="175"/>
      <c r="U392" s="175"/>
      <c r="V392" s="175"/>
      <c r="W392" s="175"/>
      <c r="X392" s="175"/>
      <c r="Y392" s="175"/>
      <c r="Z392" s="175"/>
      <c r="AA392" s="175"/>
      <c r="AB392" s="175"/>
      <c r="AC392" s="175"/>
      <c r="AD392" s="175"/>
      <c r="AE392" s="175"/>
      <c r="AF392" s="175"/>
      <c r="AG392" s="175"/>
      <c r="AH392" s="175"/>
      <c r="AI392" s="175"/>
      <c r="AJ392" s="175"/>
      <c r="AK392" s="175"/>
      <c r="AL392" s="175"/>
      <c r="AM392" s="175"/>
      <c r="AN392" s="176"/>
      <c r="AO392" s="177">
        <f t="shared" si="148"/>
        <v>0</v>
      </c>
      <c r="AP392" s="14"/>
      <c r="AQ392" s="178">
        <f t="shared" si="165"/>
        <v>0</v>
      </c>
      <c r="AR392" s="14"/>
      <c r="AS392" s="178">
        <f t="shared" si="166"/>
        <v>0</v>
      </c>
      <c r="AT392" s="179">
        <f t="shared" si="167"/>
        <v>0</v>
      </c>
      <c r="AU392" s="178">
        <f t="shared" si="168"/>
        <v>0</v>
      </c>
    </row>
    <row r="393" spans="1:47" ht="61.5" customHeight="1" x14ac:dyDescent="0.25">
      <c r="A393" s="76"/>
      <c r="B393" s="148" t="s">
        <v>1715</v>
      </c>
      <c r="C393" s="406" t="s">
        <v>1718</v>
      </c>
      <c r="D393" s="407"/>
      <c r="E393" s="399" t="s">
        <v>1721</v>
      </c>
      <c r="F393" s="425" t="s">
        <v>1736</v>
      </c>
      <c r="G393" s="424" t="s">
        <v>1079</v>
      </c>
      <c r="H393" s="403" t="s">
        <v>1079</v>
      </c>
      <c r="I393" s="151" t="s">
        <v>1138</v>
      </c>
      <c r="J393" s="152"/>
      <c r="K393" s="153">
        <v>10</v>
      </c>
      <c r="L393" s="153">
        <v>3</v>
      </c>
      <c r="M393" s="153">
        <v>1</v>
      </c>
      <c r="N393" s="153"/>
      <c r="O393" s="153"/>
      <c r="P393" s="153"/>
      <c r="Q393" s="153"/>
      <c r="R393" s="153"/>
      <c r="S393" s="153"/>
      <c r="T393" s="153"/>
      <c r="U393" s="153"/>
      <c r="V393" s="153"/>
      <c r="W393" s="153"/>
      <c r="X393" s="153"/>
      <c r="Y393" s="153"/>
      <c r="Z393" s="153"/>
      <c r="AA393" s="153"/>
      <c r="AB393" s="153"/>
      <c r="AC393" s="153"/>
      <c r="AD393" s="153"/>
      <c r="AE393" s="153"/>
      <c r="AF393" s="153"/>
      <c r="AG393" s="153"/>
      <c r="AH393" s="153"/>
      <c r="AI393" s="153"/>
      <c r="AJ393" s="153"/>
      <c r="AK393" s="153"/>
      <c r="AL393" s="153"/>
      <c r="AM393" s="153"/>
      <c r="AN393" s="154"/>
      <c r="AO393" s="155">
        <f t="shared" si="148"/>
        <v>14</v>
      </c>
      <c r="AP393" s="13"/>
      <c r="AQ393" s="156">
        <f t="shared" ref="AQ393:AQ410" si="169">+AP393*AO393</f>
        <v>0</v>
      </c>
      <c r="AR393" s="13"/>
      <c r="AS393" s="156">
        <f t="shared" ref="AS393:AS410" si="170">+AR393*AO393</f>
        <v>0</v>
      </c>
      <c r="AT393" s="157">
        <f t="shared" ref="AT393:AT410" si="171">+AR393+AP393</f>
        <v>0</v>
      </c>
      <c r="AU393" s="156">
        <f t="shared" ref="AU393:AU410" si="172">+AT393*AO393</f>
        <v>0</v>
      </c>
    </row>
    <row r="394" spans="1:47" ht="61.5" customHeight="1" x14ac:dyDescent="0.25">
      <c r="A394" s="76"/>
      <c r="B394" s="158" t="s">
        <v>1716</v>
      </c>
      <c r="C394" s="411" t="s">
        <v>1719</v>
      </c>
      <c r="D394" s="412"/>
      <c r="E394" s="408"/>
      <c r="F394" s="426"/>
      <c r="G394" s="397"/>
      <c r="H394" s="394"/>
      <c r="I394" s="162" t="s">
        <v>1138</v>
      </c>
      <c r="J394" s="163"/>
      <c r="K394" s="164"/>
      <c r="L394" s="164"/>
      <c r="M394" s="164"/>
      <c r="N394" s="164"/>
      <c r="O394" s="164"/>
      <c r="P394" s="164"/>
      <c r="Q394" s="164"/>
      <c r="R394" s="164"/>
      <c r="S394" s="164"/>
      <c r="T394" s="164"/>
      <c r="U394" s="164"/>
      <c r="V394" s="164"/>
      <c r="W394" s="164"/>
      <c r="X394" s="164"/>
      <c r="Y394" s="164"/>
      <c r="Z394" s="164"/>
      <c r="AA394" s="164"/>
      <c r="AB394" s="164"/>
      <c r="AC394" s="164"/>
      <c r="AD394" s="164"/>
      <c r="AE394" s="164"/>
      <c r="AF394" s="164"/>
      <c r="AG394" s="164"/>
      <c r="AH394" s="164"/>
      <c r="AI394" s="164"/>
      <c r="AJ394" s="164"/>
      <c r="AK394" s="164"/>
      <c r="AL394" s="164"/>
      <c r="AM394" s="164"/>
      <c r="AN394" s="165"/>
      <c r="AO394" s="166">
        <f t="shared" si="148"/>
        <v>0</v>
      </c>
      <c r="AP394" s="12"/>
      <c r="AQ394" s="167">
        <f t="shared" si="169"/>
        <v>0</v>
      </c>
      <c r="AR394" s="12"/>
      <c r="AS394" s="167">
        <f t="shared" si="170"/>
        <v>0</v>
      </c>
      <c r="AT394" s="168">
        <f t="shared" si="171"/>
        <v>0</v>
      </c>
      <c r="AU394" s="167">
        <f t="shared" si="172"/>
        <v>0</v>
      </c>
    </row>
    <row r="395" spans="1:47" ht="61.5" customHeight="1" x14ac:dyDescent="0.25">
      <c r="A395" s="76"/>
      <c r="B395" s="169" t="s">
        <v>1717</v>
      </c>
      <c r="C395" s="404" t="s">
        <v>1720</v>
      </c>
      <c r="D395" s="405"/>
      <c r="E395" s="400"/>
      <c r="F395" s="427"/>
      <c r="G395" s="398"/>
      <c r="H395" s="395"/>
      <c r="I395" s="173" t="s">
        <v>1138</v>
      </c>
      <c r="J395" s="174"/>
      <c r="K395" s="175"/>
      <c r="L395" s="175"/>
      <c r="M395" s="175"/>
      <c r="N395" s="175"/>
      <c r="O395" s="175"/>
      <c r="P395" s="175"/>
      <c r="Q395" s="175"/>
      <c r="R395" s="175"/>
      <c r="S395" s="175"/>
      <c r="T395" s="175"/>
      <c r="U395" s="175"/>
      <c r="V395" s="175"/>
      <c r="W395" s="175"/>
      <c r="X395" s="175"/>
      <c r="Y395" s="175"/>
      <c r="Z395" s="175"/>
      <c r="AA395" s="175"/>
      <c r="AB395" s="175"/>
      <c r="AC395" s="175"/>
      <c r="AD395" s="175"/>
      <c r="AE395" s="175"/>
      <c r="AF395" s="175"/>
      <c r="AG395" s="175"/>
      <c r="AH395" s="175"/>
      <c r="AI395" s="175"/>
      <c r="AJ395" s="175"/>
      <c r="AK395" s="175"/>
      <c r="AL395" s="175"/>
      <c r="AM395" s="175"/>
      <c r="AN395" s="176"/>
      <c r="AO395" s="177">
        <f t="shared" si="148"/>
        <v>0</v>
      </c>
      <c r="AP395" s="14"/>
      <c r="AQ395" s="178">
        <f t="shared" si="169"/>
        <v>0</v>
      </c>
      <c r="AR395" s="14"/>
      <c r="AS395" s="178">
        <f t="shared" si="170"/>
        <v>0</v>
      </c>
      <c r="AT395" s="179">
        <f t="shared" si="171"/>
        <v>0</v>
      </c>
      <c r="AU395" s="178">
        <f t="shared" si="172"/>
        <v>0</v>
      </c>
    </row>
    <row r="396" spans="1:47" ht="35.25" customHeight="1" x14ac:dyDescent="0.25">
      <c r="A396" s="76"/>
      <c r="B396" s="148" t="s">
        <v>1722</v>
      </c>
      <c r="C396" s="406" t="s">
        <v>1739</v>
      </c>
      <c r="D396" s="407"/>
      <c r="E396" s="399" t="s">
        <v>1735</v>
      </c>
      <c r="F396" s="425" t="s">
        <v>1736</v>
      </c>
      <c r="G396" s="424" t="s">
        <v>1079</v>
      </c>
      <c r="H396" s="403" t="s">
        <v>1079</v>
      </c>
      <c r="I396" s="151" t="s">
        <v>1138</v>
      </c>
      <c r="J396" s="152"/>
      <c r="K396" s="153"/>
      <c r="L396" s="153"/>
      <c r="M396" s="153"/>
      <c r="N396" s="153"/>
      <c r="O396" s="153"/>
      <c r="P396" s="153"/>
      <c r="Q396" s="153"/>
      <c r="R396" s="153"/>
      <c r="S396" s="153"/>
      <c r="T396" s="153"/>
      <c r="U396" s="153"/>
      <c r="V396" s="153"/>
      <c r="W396" s="153"/>
      <c r="X396" s="153"/>
      <c r="Y396" s="153"/>
      <c r="Z396" s="153"/>
      <c r="AA396" s="153"/>
      <c r="AB396" s="153"/>
      <c r="AC396" s="153"/>
      <c r="AD396" s="153"/>
      <c r="AE396" s="153"/>
      <c r="AF396" s="153"/>
      <c r="AG396" s="153"/>
      <c r="AH396" s="153"/>
      <c r="AI396" s="153"/>
      <c r="AJ396" s="153"/>
      <c r="AK396" s="153"/>
      <c r="AL396" s="153"/>
      <c r="AM396" s="153"/>
      <c r="AN396" s="154"/>
      <c r="AO396" s="155">
        <f t="shared" si="148"/>
        <v>0</v>
      </c>
      <c r="AP396" s="13"/>
      <c r="AQ396" s="156">
        <f t="shared" si="169"/>
        <v>0</v>
      </c>
      <c r="AR396" s="13"/>
      <c r="AS396" s="156">
        <f t="shared" si="170"/>
        <v>0</v>
      </c>
      <c r="AT396" s="157">
        <f t="shared" si="171"/>
        <v>0</v>
      </c>
      <c r="AU396" s="156">
        <f t="shared" si="172"/>
        <v>0</v>
      </c>
    </row>
    <row r="397" spans="1:47" ht="35.25" customHeight="1" x14ac:dyDescent="0.25">
      <c r="A397" s="76"/>
      <c r="B397" s="158" t="s">
        <v>1723</v>
      </c>
      <c r="C397" s="411" t="s">
        <v>1740</v>
      </c>
      <c r="D397" s="412"/>
      <c r="E397" s="408"/>
      <c r="F397" s="426"/>
      <c r="G397" s="397"/>
      <c r="H397" s="394"/>
      <c r="I397" s="162" t="s">
        <v>1138</v>
      </c>
      <c r="J397" s="163"/>
      <c r="K397" s="164"/>
      <c r="L397" s="164"/>
      <c r="M397" s="164"/>
      <c r="N397" s="164"/>
      <c r="O397" s="164"/>
      <c r="P397" s="164"/>
      <c r="Q397" s="164"/>
      <c r="R397" s="164"/>
      <c r="S397" s="164"/>
      <c r="T397" s="164"/>
      <c r="U397" s="164"/>
      <c r="V397" s="164"/>
      <c r="W397" s="164"/>
      <c r="X397" s="164"/>
      <c r="Y397" s="164"/>
      <c r="Z397" s="164"/>
      <c r="AA397" s="164"/>
      <c r="AB397" s="164"/>
      <c r="AC397" s="164"/>
      <c r="AD397" s="164"/>
      <c r="AE397" s="164"/>
      <c r="AF397" s="164"/>
      <c r="AG397" s="164"/>
      <c r="AH397" s="164"/>
      <c r="AI397" s="164"/>
      <c r="AJ397" s="164"/>
      <c r="AK397" s="164"/>
      <c r="AL397" s="164"/>
      <c r="AM397" s="164"/>
      <c r="AN397" s="165"/>
      <c r="AO397" s="166">
        <f t="shared" si="148"/>
        <v>0</v>
      </c>
      <c r="AP397" s="12"/>
      <c r="AQ397" s="167">
        <f t="shared" si="169"/>
        <v>0</v>
      </c>
      <c r="AR397" s="12"/>
      <c r="AS397" s="167">
        <f t="shared" si="170"/>
        <v>0</v>
      </c>
      <c r="AT397" s="168">
        <f t="shared" si="171"/>
        <v>0</v>
      </c>
      <c r="AU397" s="167">
        <f t="shared" si="172"/>
        <v>0</v>
      </c>
    </row>
    <row r="398" spans="1:47" ht="35.25" customHeight="1" x14ac:dyDescent="0.25">
      <c r="A398" s="76"/>
      <c r="B398" s="158" t="s">
        <v>1724</v>
      </c>
      <c r="C398" s="411" t="s">
        <v>1741</v>
      </c>
      <c r="D398" s="412"/>
      <c r="E398" s="408"/>
      <c r="F398" s="426"/>
      <c r="G398" s="397"/>
      <c r="H398" s="394"/>
      <c r="I398" s="162" t="s">
        <v>1138</v>
      </c>
      <c r="J398" s="163"/>
      <c r="K398" s="164"/>
      <c r="L398" s="164"/>
      <c r="M398" s="164"/>
      <c r="N398" s="164"/>
      <c r="O398" s="164"/>
      <c r="P398" s="164"/>
      <c r="Q398" s="164"/>
      <c r="R398" s="164"/>
      <c r="S398" s="164"/>
      <c r="T398" s="164"/>
      <c r="U398" s="164"/>
      <c r="V398" s="164"/>
      <c r="W398" s="164"/>
      <c r="X398" s="164"/>
      <c r="Y398" s="164"/>
      <c r="Z398" s="164"/>
      <c r="AA398" s="164"/>
      <c r="AB398" s="164"/>
      <c r="AC398" s="164"/>
      <c r="AD398" s="164"/>
      <c r="AE398" s="164"/>
      <c r="AF398" s="164"/>
      <c r="AG398" s="164"/>
      <c r="AH398" s="164"/>
      <c r="AI398" s="164"/>
      <c r="AJ398" s="164"/>
      <c r="AK398" s="164"/>
      <c r="AL398" s="164"/>
      <c r="AM398" s="164"/>
      <c r="AN398" s="165"/>
      <c r="AO398" s="166">
        <f t="shared" si="148"/>
        <v>0</v>
      </c>
      <c r="AP398" s="12"/>
      <c r="AQ398" s="167">
        <f t="shared" si="169"/>
        <v>0</v>
      </c>
      <c r="AR398" s="12"/>
      <c r="AS398" s="167">
        <f t="shared" si="170"/>
        <v>0</v>
      </c>
      <c r="AT398" s="168">
        <f t="shared" si="171"/>
        <v>0</v>
      </c>
      <c r="AU398" s="167">
        <f t="shared" si="172"/>
        <v>0</v>
      </c>
    </row>
    <row r="399" spans="1:47" ht="35.25" customHeight="1" x14ac:dyDescent="0.25">
      <c r="A399" s="76"/>
      <c r="B399" s="158" t="s">
        <v>1725</v>
      </c>
      <c r="C399" s="411" t="s">
        <v>1742</v>
      </c>
      <c r="D399" s="412"/>
      <c r="E399" s="408"/>
      <c r="F399" s="426"/>
      <c r="G399" s="397"/>
      <c r="H399" s="394"/>
      <c r="I399" s="162" t="s">
        <v>1138</v>
      </c>
      <c r="J399" s="163"/>
      <c r="K399" s="164"/>
      <c r="L399" s="164"/>
      <c r="M399" s="164"/>
      <c r="N399" s="164"/>
      <c r="O399" s="164"/>
      <c r="P399" s="164"/>
      <c r="Q399" s="164"/>
      <c r="R399" s="164"/>
      <c r="S399" s="164"/>
      <c r="T399" s="164"/>
      <c r="U399" s="164"/>
      <c r="V399" s="164"/>
      <c r="W399" s="164"/>
      <c r="X399" s="164"/>
      <c r="Y399" s="164"/>
      <c r="Z399" s="164"/>
      <c r="AA399" s="164"/>
      <c r="AB399" s="164"/>
      <c r="AC399" s="164"/>
      <c r="AD399" s="164"/>
      <c r="AE399" s="164"/>
      <c r="AF399" s="164"/>
      <c r="AG399" s="164"/>
      <c r="AH399" s="164"/>
      <c r="AI399" s="164"/>
      <c r="AJ399" s="164"/>
      <c r="AK399" s="164"/>
      <c r="AL399" s="164"/>
      <c r="AM399" s="164"/>
      <c r="AN399" s="165"/>
      <c r="AO399" s="166">
        <f t="shared" si="148"/>
        <v>0</v>
      </c>
      <c r="AP399" s="12"/>
      <c r="AQ399" s="167">
        <f t="shared" si="169"/>
        <v>0</v>
      </c>
      <c r="AR399" s="12"/>
      <c r="AS399" s="167">
        <f t="shared" si="170"/>
        <v>0</v>
      </c>
      <c r="AT399" s="168">
        <f t="shared" si="171"/>
        <v>0</v>
      </c>
      <c r="AU399" s="167">
        <f t="shared" si="172"/>
        <v>0</v>
      </c>
    </row>
    <row r="400" spans="1:47" ht="35.25" customHeight="1" x14ac:dyDescent="0.25">
      <c r="A400" s="76"/>
      <c r="B400" s="158" t="s">
        <v>1726</v>
      </c>
      <c r="C400" s="411" t="s">
        <v>1743</v>
      </c>
      <c r="D400" s="412"/>
      <c r="E400" s="408"/>
      <c r="F400" s="426"/>
      <c r="G400" s="397"/>
      <c r="H400" s="394"/>
      <c r="I400" s="162" t="s">
        <v>1138</v>
      </c>
      <c r="J400" s="163"/>
      <c r="K400" s="164"/>
      <c r="L400" s="164"/>
      <c r="M400" s="164"/>
      <c r="N400" s="164"/>
      <c r="O400" s="164"/>
      <c r="P400" s="164"/>
      <c r="Q400" s="164"/>
      <c r="R400" s="164"/>
      <c r="S400" s="164"/>
      <c r="T400" s="164"/>
      <c r="U400" s="164"/>
      <c r="V400" s="164"/>
      <c r="W400" s="164"/>
      <c r="X400" s="164"/>
      <c r="Y400" s="164"/>
      <c r="Z400" s="164"/>
      <c r="AA400" s="164"/>
      <c r="AB400" s="164"/>
      <c r="AC400" s="164"/>
      <c r="AD400" s="164"/>
      <c r="AE400" s="164"/>
      <c r="AF400" s="164"/>
      <c r="AG400" s="164"/>
      <c r="AH400" s="164"/>
      <c r="AI400" s="164"/>
      <c r="AJ400" s="164"/>
      <c r="AK400" s="164"/>
      <c r="AL400" s="164"/>
      <c r="AM400" s="164"/>
      <c r="AN400" s="165"/>
      <c r="AO400" s="166">
        <f t="shared" si="148"/>
        <v>0</v>
      </c>
      <c r="AP400" s="12"/>
      <c r="AQ400" s="167">
        <f t="shared" si="169"/>
        <v>0</v>
      </c>
      <c r="AR400" s="12"/>
      <c r="AS400" s="167">
        <f t="shared" si="170"/>
        <v>0</v>
      </c>
      <c r="AT400" s="168">
        <f t="shared" si="171"/>
        <v>0</v>
      </c>
      <c r="AU400" s="167">
        <f t="shared" si="172"/>
        <v>0</v>
      </c>
    </row>
    <row r="401" spans="1:47" ht="35.25" customHeight="1" x14ac:dyDescent="0.25">
      <c r="A401" s="76"/>
      <c r="B401" s="158" t="s">
        <v>1727</v>
      </c>
      <c r="C401" s="411" t="s">
        <v>1744</v>
      </c>
      <c r="D401" s="412"/>
      <c r="E401" s="408"/>
      <c r="F401" s="426"/>
      <c r="G401" s="397"/>
      <c r="H401" s="394"/>
      <c r="I401" s="162" t="s">
        <v>1138</v>
      </c>
      <c r="J401" s="163"/>
      <c r="K401" s="164"/>
      <c r="L401" s="164"/>
      <c r="M401" s="164"/>
      <c r="N401" s="164"/>
      <c r="O401" s="164"/>
      <c r="P401" s="164"/>
      <c r="Q401" s="164"/>
      <c r="R401" s="164"/>
      <c r="S401" s="164"/>
      <c r="T401" s="164"/>
      <c r="U401" s="164"/>
      <c r="V401" s="164"/>
      <c r="W401" s="164"/>
      <c r="X401" s="164"/>
      <c r="Y401" s="164"/>
      <c r="Z401" s="164"/>
      <c r="AA401" s="164"/>
      <c r="AB401" s="164"/>
      <c r="AC401" s="164"/>
      <c r="AD401" s="164"/>
      <c r="AE401" s="164"/>
      <c r="AF401" s="164"/>
      <c r="AG401" s="164"/>
      <c r="AH401" s="164"/>
      <c r="AI401" s="164"/>
      <c r="AJ401" s="164"/>
      <c r="AK401" s="164"/>
      <c r="AL401" s="164"/>
      <c r="AM401" s="164"/>
      <c r="AN401" s="165"/>
      <c r="AO401" s="166">
        <f t="shared" si="148"/>
        <v>0</v>
      </c>
      <c r="AP401" s="12"/>
      <c r="AQ401" s="167">
        <f t="shared" si="169"/>
        <v>0</v>
      </c>
      <c r="AR401" s="12"/>
      <c r="AS401" s="167">
        <f t="shared" si="170"/>
        <v>0</v>
      </c>
      <c r="AT401" s="168">
        <f t="shared" si="171"/>
        <v>0</v>
      </c>
      <c r="AU401" s="167">
        <f t="shared" si="172"/>
        <v>0</v>
      </c>
    </row>
    <row r="402" spans="1:47" ht="35.25" customHeight="1" x14ac:dyDescent="0.25">
      <c r="A402" s="76"/>
      <c r="B402" s="158" t="s">
        <v>1728</v>
      </c>
      <c r="C402" s="411" t="s">
        <v>1745</v>
      </c>
      <c r="D402" s="412"/>
      <c r="E402" s="408"/>
      <c r="F402" s="426"/>
      <c r="G402" s="397"/>
      <c r="H402" s="394"/>
      <c r="I402" s="162" t="s">
        <v>1138</v>
      </c>
      <c r="J402" s="163"/>
      <c r="K402" s="164"/>
      <c r="L402" s="164"/>
      <c r="M402" s="164"/>
      <c r="N402" s="164"/>
      <c r="O402" s="164"/>
      <c r="P402" s="164"/>
      <c r="Q402" s="164"/>
      <c r="R402" s="164"/>
      <c r="S402" s="164"/>
      <c r="T402" s="164"/>
      <c r="U402" s="164"/>
      <c r="V402" s="164"/>
      <c r="W402" s="164"/>
      <c r="X402" s="164"/>
      <c r="Y402" s="164"/>
      <c r="Z402" s="164"/>
      <c r="AA402" s="164"/>
      <c r="AB402" s="164"/>
      <c r="AC402" s="164"/>
      <c r="AD402" s="164"/>
      <c r="AE402" s="164"/>
      <c r="AF402" s="164"/>
      <c r="AG402" s="164"/>
      <c r="AH402" s="164"/>
      <c r="AI402" s="164"/>
      <c r="AJ402" s="164"/>
      <c r="AK402" s="164"/>
      <c r="AL402" s="164"/>
      <c r="AM402" s="164"/>
      <c r="AN402" s="165"/>
      <c r="AO402" s="166">
        <f t="shared" si="148"/>
        <v>0</v>
      </c>
      <c r="AP402" s="12"/>
      <c r="AQ402" s="167">
        <f t="shared" si="169"/>
        <v>0</v>
      </c>
      <c r="AR402" s="12"/>
      <c r="AS402" s="167">
        <f t="shared" si="170"/>
        <v>0</v>
      </c>
      <c r="AT402" s="168">
        <f t="shared" si="171"/>
        <v>0</v>
      </c>
      <c r="AU402" s="167">
        <f t="shared" si="172"/>
        <v>0</v>
      </c>
    </row>
    <row r="403" spans="1:47" ht="30" customHeight="1" x14ac:dyDescent="0.25">
      <c r="A403" s="76"/>
      <c r="B403" s="158" t="s">
        <v>1729</v>
      </c>
      <c r="C403" s="411" t="s">
        <v>1746</v>
      </c>
      <c r="D403" s="412"/>
      <c r="E403" s="408"/>
      <c r="F403" s="426"/>
      <c r="G403" s="397"/>
      <c r="H403" s="394"/>
      <c r="I403" s="162" t="s">
        <v>1138</v>
      </c>
      <c r="J403" s="163"/>
      <c r="K403" s="164"/>
      <c r="L403" s="164"/>
      <c r="M403" s="164"/>
      <c r="N403" s="164"/>
      <c r="O403" s="164"/>
      <c r="P403" s="164"/>
      <c r="Q403" s="164"/>
      <c r="R403" s="164"/>
      <c r="S403" s="164"/>
      <c r="T403" s="164"/>
      <c r="U403" s="164"/>
      <c r="V403" s="164"/>
      <c r="W403" s="164"/>
      <c r="X403" s="164"/>
      <c r="Y403" s="164"/>
      <c r="Z403" s="164"/>
      <c r="AA403" s="164"/>
      <c r="AB403" s="164"/>
      <c r="AC403" s="164"/>
      <c r="AD403" s="164"/>
      <c r="AE403" s="164"/>
      <c r="AF403" s="164"/>
      <c r="AG403" s="164"/>
      <c r="AH403" s="164"/>
      <c r="AI403" s="164"/>
      <c r="AJ403" s="164"/>
      <c r="AK403" s="164"/>
      <c r="AL403" s="164"/>
      <c r="AM403" s="164"/>
      <c r="AN403" s="165"/>
      <c r="AO403" s="166">
        <f t="shared" si="148"/>
        <v>0</v>
      </c>
      <c r="AP403" s="12"/>
      <c r="AQ403" s="167">
        <f t="shared" si="169"/>
        <v>0</v>
      </c>
      <c r="AR403" s="12"/>
      <c r="AS403" s="167">
        <f t="shared" si="170"/>
        <v>0</v>
      </c>
      <c r="AT403" s="168">
        <f t="shared" si="171"/>
        <v>0</v>
      </c>
      <c r="AU403" s="167">
        <f t="shared" si="172"/>
        <v>0</v>
      </c>
    </row>
    <row r="404" spans="1:47" ht="30" customHeight="1" x14ac:dyDescent="0.25">
      <c r="A404" s="76"/>
      <c r="B404" s="158" t="s">
        <v>1730</v>
      </c>
      <c r="C404" s="411" t="s">
        <v>1747</v>
      </c>
      <c r="D404" s="412"/>
      <c r="E404" s="408"/>
      <c r="F404" s="426"/>
      <c r="G404" s="397"/>
      <c r="H404" s="394"/>
      <c r="I404" s="162" t="s">
        <v>1138</v>
      </c>
      <c r="J404" s="163"/>
      <c r="K404" s="164"/>
      <c r="L404" s="164"/>
      <c r="M404" s="164"/>
      <c r="N404" s="164"/>
      <c r="O404" s="164"/>
      <c r="P404" s="164"/>
      <c r="Q404" s="164"/>
      <c r="R404" s="164"/>
      <c r="S404" s="164"/>
      <c r="T404" s="164"/>
      <c r="U404" s="164"/>
      <c r="V404" s="164"/>
      <c r="W404" s="164"/>
      <c r="X404" s="164"/>
      <c r="Y404" s="164"/>
      <c r="Z404" s="164"/>
      <c r="AA404" s="164"/>
      <c r="AB404" s="164"/>
      <c r="AC404" s="164"/>
      <c r="AD404" s="164"/>
      <c r="AE404" s="164"/>
      <c r="AF404" s="164"/>
      <c r="AG404" s="164"/>
      <c r="AH404" s="164"/>
      <c r="AI404" s="164"/>
      <c r="AJ404" s="164"/>
      <c r="AK404" s="164"/>
      <c r="AL404" s="164"/>
      <c r="AM404" s="164"/>
      <c r="AN404" s="165"/>
      <c r="AO404" s="166">
        <f t="shared" si="148"/>
        <v>0</v>
      </c>
      <c r="AP404" s="12"/>
      <c r="AQ404" s="167">
        <f t="shared" si="169"/>
        <v>0</v>
      </c>
      <c r="AR404" s="12"/>
      <c r="AS404" s="167">
        <f t="shared" si="170"/>
        <v>0</v>
      </c>
      <c r="AT404" s="168">
        <f t="shared" si="171"/>
        <v>0</v>
      </c>
      <c r="AU404" s="167">
        <f t="shared" si="172"/>
        <v>0</v>
      </c>
    </row>
    <row r="405" spans="1:47" ht="30" customHeight="1" x14ac:dyDescent="0.25">
      <c r="A405" s="76"/>
      <c r="B405" s="158" t="s">
        <v>1731</v>
      </c>
      <c r="C405" s="411" t="s">
        <v>1748</v>
      </c>
      <c r="D405" s="412"/>
      <c r="E405" s="408"/>
      <c r="F405" s="426"/>
      <c r="G405" s="397"/>
      <c r="H405" s="394"/>
      <c r="I405" s="162" t="s">
        <v>1138</v>
      </c>
      <c r="J405" s="163"/>
      <c r="K405" s="164">
        <v>10</v>
      </c>
      <c r="L405" s="164"/>
      <c r="M405" s="164"/>
      <c r="N405" s="164"/>
      <c r="O405" s="164"/>
      <c r="P405" s="164"/>
      <c r="Q405" s="164"/>
      <c r="R405" s="164"/>
      <c r="S405" s="164"/>
      <c r="T405" s="164"/>
      <c r="U405" s="164"/>
      <c r="V405" s="164"/>
      <c r="W405" s="164"/>
      <c r="X405" s="164"/>
      <c r="Y405" s="164"/>
      <c r="Z405" s="164"/>
      <c r="AA405" s="164"/>
      <c r="AB405" s="164"/>
      <c r="AC405" s="164"/>
      <c r="AD405" s="164"/>
      <c r="AE405" s="164"/>
      <c r="AF405" s="164"/>
      <c r="AG405" s="164"/>
      <c r="AH405" s="164"/>
      <c r="AI405" s="164"/>
      <c r="AJ405" s="164"/>
      <c r="AK405" s="164"/>
      <c r="AL405" s="164"/>
      <c r="AM405" s="164"/>
      <c r="AN405" s="165"/>
      <c r="AO405" s="166">
        <f t="shared" si="148"/>
        <v>10</v>
      </c>
      <c r="AP405" s="12"/>
      <c r="AQ405" s="167">
        <f t="shared" si="169"/>
        <v>0</v>
      </c>
      <c r="AR405" s="12"/>
      <c r="AS405" s="167">
        <f t="shared" si="170"/>
        <v>0</v>
      </c>
      <c r="AT405" s="168">
        <f t="shared" si="171"/>
        <v>0</v>
      </c>
      <c r="AU405" s="167">
        <f t="shared" si="172"/>
        <v>0</v>
      </c>
    </row>
    <row r="406" spans="1:47" ht="30" customHeight="1" x14ac:dyDescent="0.25">
      <c r="A406" s="76"/>
      <c r="B406" s="158" t="s">
        <v>1732</v>
      </c>
      <c r="C406" s="411" t="s">
        <v>1749</v>
      </c>
      <c r="D406" s="412"/>
      <c r="E406" s="408"/>
      <c r="F406" s="426"/>
      <c r="G406" s="397"/>
      <c r="H406" s="394"/>
      <c r="I406" s="162" t="s">
        <v>1138</v>
      </c>
      <c r="J406" s="163"/>
      <c r="K406" s="164">
        <v>10</v>
      </c>
      <c r="L406" s="164"/>
      <c r="M406" s="164"/>
      <c r="N406" s="164"/>
      <c r="O406" s="164"/>
      <c r="P406" s="164"/>
      <c r="Q406" s="164"/>
      <c r="R406" s="164"/>
      <c r="S406" s="164"/>
      <c r="T406" s="164"/>
      <c r="U406" s="164"/>
      <c r="V406" s="164"/>
      <c r="W406" s="164"/>
      <c r="X406" s="164"/>
      <c r="Y406" s="164"/>
      <c r="Z406" s="164"/>
      <c r="AA406" s="164"/>
      <c r="AB406" s="164"/>
      <c r="AC406" s="164"/>
      <c r="AD406" s="164"/>
      <c r="AE406" s="164"/>
      <c r="AF406" s="164"/>
      <c r="AG406" s="164"/>
      <c r="AH406" s="164"/>
      <c r="AI406" s="164"/>
      <c r="AJ406" s="164"/>
      <c r="AK406" s="164"/>
      <c r="AL406" s="164"/>
      <c r="AM406" s="164"/>
      <c r="AN406" s="165"/>
      <c r="AO406" s="166">
        <f t="shared" si="148"/>
        <v>10</v>
      </c>
      <c r="AP406" s="12"/>
      <c r="AQ406" s="167">
        <f t="shared" ref="AQ406:AQ409" si="173">+AP406*AO406</f>
        <v>0</v>
      </c>
      <c r="AR406" s="12"/>
      <c r="AS406" s="167">
        <f t="shared" ref="AS406:AS409" si="174">+AR406*AO406</f>
        <v>0</v>
      </c>
      <c r="AT406" s="168">
        <f t="shared" ref="AT406:AT409" si="175">+AR406+AP406</f>
        <v>0</v>
      </c>
      <c r="AU406" s="167">
        <f t="shared" ref="AU406:AU409" si="176">+AT406*AO406</f>
        <v>0</v>
      </c>
    </row>
    <row r="407" spans="1:47" ht="30" customHeight="1" x14ac:dyDescent="0.25">
      <c r="A407" s="76"/>
      <c r="B407" s="158" t="s">
        <v>1733</v>
      </c>
      <c r="C407" s="411" t="s">
        <v>1750</v>
      </c>
      <c r="D407" s="412"/>
      <c r="E407" s="408"/>
      <c r="F407" s="426"/>
      <c r="G407" s="397"/>
      <c r="H407" s="394"/>
      <c r="I407" s="162" t="s">
        <v>1138</v>
      </c>
      <c r="J407" s="163"/>
      <c r="K407" s="164"/>
      <c r="L407" s="164"/>
      <c r="M407" s="164"/>
      <c r="N407" s="164"/>
      <c r="O407" s="164"/>
      <c r="P407" s="164"/>
      <c r="Q407" s="164"/>
      <c r="R407" s="164"/>
      <c r="S407" s="164"/>
      <c r="T407" s="164"/>
      <c r="U407" s="164"/>
      <c r="V407" s="164"/>
      <c r="W407" s="164"/>
      <c r="X407" s="164"/>
      <c r="Y407" s="164"/>
      <c r="Z407" s="164"/>
      <c r="AA407" s="164"/>
      <c r="AB407" s="164"/>
      <c r="AC407" s="164"/>
      <c r="AD407" s="164"/>
      <c r="AE407" s="164"/>
      <c r="AF407" s="164"/>
      <c r="AG407" s="164"/>
      <c r="AH407" s="164"/>
      <c r="AI407" s="164"/>
      <c r="AJ407" s="164"/>
      <c r="AK407" s="164"/>
      <c r="AL407" s="164"/>
      <c r="AM407" s="164"/>
      <c r="AN407" s="165"/>
      <c r="AO407" s="166">
        <f t="shared" si="148"/>
        <v>0</v>
      </c>
      <c r="AP407" s="12"/>
      <c r="AQ407" s="167">
        <f t="shared" si="173"/>
        <v>0</v>
      </c>
      <c r="AR407" s="12"/>
      <c r="AS407" s="167">
        <f t="shared" si="174"/>
        <v>0</v>
      </c>
      <c r="AT407" s="168">
        <f t="shared" si="175"/>
        <v>0</v>
      </c>
      <c r="AU407" s="167">
        <f t="shared" si="176"/>
        <v>0</v>
      </c>
    </row>
    <row r="408" spans="1:47" ht="30" customHeight="1" x14ac:dyDescent="0.25">
      <c r="A408" s="76"/>
      <c r="B408" s="158" t="s">
        <v>1734</v>
      </c>
      <c r="C408" s="411" t="s">
        <v>1751</v>
      </c>
      <c r="D408" s="412"/>
      <c r="E408" s="408"/>
      <c r="F408" s="426"/>
      <c r="G408" s="397"/>
      <c r="H408" s="394"/>
      <c r="I408" s="162" t="s">
        <v>1138</v>
      </c>
      <c r="J408" s="163"/>
      <c r="K408" s="164"/>
      <c r="L408" s="164"/>
      <c r="M408" s="164"/>
      <c r="N408" s="164"/>
      <c r="O408" s="164"/>
      <c r="P408" s="164"/>
      <c r="Q408" s="164"/>
      <c r="R408" s="164"/>
      <c r="S408" s="164"/>
      <c r="T408" s="164"/>
      <c r="U408" s="164"/>
      <c r="V408" s="164"/>
      <c r="W408" s="164"/>
      <c r="X408" s="164"/>
      <c r="Y408" s="164"/>
      <c r="Z408" s="164"/>
      <c r="AA408" s="164"/>
      <c r="AB408" s="164"/>
      <c r="AC408" s="164"/>
      <c r="AD408" s="164"/>
      <c r="AE408" s="164"/>
      <c r="AF408" s="164"/>
      <c r="AG408" s="164"/>
      <c r="AH408" s="164"/>
      <c r="AI408" s="164"/>
      <c r="AJ408" s="164"/>
      <c r="AK408" s="164"/>
      <c r="AL408" s="164"/>
      <c r="AM408" s="164"/>
      <c r="AN408" s="165"/>
      <c r="AO408" s="166">
        <f t="shared" si="148"/>
        <v>0</v>
      </c>
      <c r="AP408" s="12"/>
      <c r="AQ408" s="167">
        <f t="shared" si="173"/>
        <v>0</v>
      </c>
      <c r="AR408" s="12"/>
      <c r="AS408" s="167">
        <f t="shared" si="174"/>
        <v>0</v>
      </c>
      <c r="AT408" s="168">
        <f t="shared" si="175"/>
        <v>0</v>
      </c>
      <c r="AU408" s="167">
        <f t="shared" si="176"/>
        <v>0</v>
      </c>
    </row>
    <row r="409" spans="1:47" ht="106.5" customHeight="1" x14ac:dyDescent="0.25">
      <c r="A409" s="76"/>
      <c r="B409" s="158" t="s">
        <v>1737</v>
      </c>
      <c r="C409" s="411" t="s">
        <v>1752</v>
      </c>
      <c r="D409" s="412"/>
      <c r="E409" s="408"/>
      <c r="F409" s="426"/>
      <c r="G409" s="397"/>
      <c r="H409" s="394"/>
      <c r="I409" s="162" t="s">
        <v>1138</v>
      </c>
      <c r="J409" s="163">
        <v>2</v>
      </c>
      <c r="K409" s="164">
        <v>17</v>
      </c>
      <c r="L409" s="164"/>
      <c r="M409" s="164"/>
      <c r="N409" s="164"/>
      <c r="O409" s="164"/>
      <c r="P409" s="164"/>
      <c r="Q409" s="164"/>
      <c r="R409" s="164"/>
      <c r="S409" s="164"/>
      <c r="T409" s="164"/>
      <c r="U409" s="164"/>
      <c r="V409" s="164"/>
      <c r="W409" s="164"/>
      <c r="X409" s="164"/>
      <c r="Y409" s="164"/>
      <c r="Z409" s="164"/>
      <c r="AA409" s="164"/>
      <c r="AB409" s="164"/>
      <c r="AC409" s="164"/>
      <c r="AD409" s="164"/>
      <c r="AE409" s="164"/>
      <c r="AF409" s="164"/>
      <c r="AG409" s="164"/>
      <c r="AH409" s="164"/>
      <c r="AI409" s="164"/>
      <c r="AJ409" s="164"/>
      <c r="AK409" s="164"/>
      <c r="AL409" s="164"/>
      <c r="AM409" s="164"/>
      <c r="AN409" s="165"/>
      <c r="AO409" s="166">
        <f t="shared" si="148"/>
        <v>19</v>
      </c>
      <c r="AP409" s="12"/>
      <c r="AQ409" s="167">
        <f t="shared" si="173"/>
        <v>0</v>
      </c>
      <c r="AR409" s="12"/>
      <c r="AS409" s="167">
        <f t="shared" si="174"/>
        <v>0</v>
      </c>
      <c r="AT409" s="168">
        <f t="shared" si="175"/>
        <v>0</v>
      </c>
      <c r="AU409" s="167">
        <f t="shared" si="176"/>
        <v>0</v>
      </c>
    </row>
    <row r="410" spans="1:47" ht="106.5" customHeight="1" x14ac:dyDescent="0.25">
      <c r="A410" s="76"/>
      <c r="B410" s="169" t="s">
        <v>1738</v>
      </c>
      <c r="C410" s="404" t="s">
        <v>1753</v>
      </c>
      <c r="D410" s="405"/>
      <c r="E410" s="400"/>
      <c r="F410" s="427"/>
      <c r="G410" s="398"/>
      <c r="H410" s="395"/>
      <c r="I410" s="173" t="s">
        <v>1138</v>
      </c>
      <c r="J410" s="174"/>
      <c r="K410" s="175">
        <v>22</v>
      </c>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5"/>
      <c r="AJ410" s="175"/>
      <c r="AK410" s="175"/>
      <c r="AL410" s="175"/>
      <c r="AM410" s="175"/>
      <c r="AN410" s="176"/>
      <c r="AO410" s="177">
        <f t="shared" si="148"/>
        <v>22</v>
      </c>
      <c r="AP410" s="14"/>
      <c r="AQ410" s="178">
        <f t="shared" si="169"/>
        <v>0</v>
      </c>
      <c r="AR410" s="14"/>
      <c r="AS410" s="178">
        <f t="shared" si="170"/>
        <v>0</v>
      </c>
      <c r="AT410" s="179">
        <f t="shared" si="171"/>
        <v>0</v>
      </c>
      <c r="AU410" s="178">
        <f t="shared" si="172"/>
        <v>0</v>
      </c>
    </row>
    <row r="411" spans="1:47" ht="57.75" customHeight="1" x14ac:dyDescent="0.25">
      <c r="A411" s="76"/>
      <c r="B411" s="37" t="s">
        <v>1754</v>
      </c>
      <c r="C411" s="276" t="s">
        <v>1755</v>
      </c>
      <c r="D411" s="278"/>
      <c r="E411" s="188" t="s">
        <v>1756</v>
      </c>
      <c r="F411" s="198"/>
      <c r="G411" s="190" t="s">
        <v>1079</v>
      </c>
      <c r="H411" s="191" t="s">
        <v>1079</v>
      </c>
      <c r="I411" s="41" t="s">
        <v>1138</v>
      </c>
      <c r="J411" s="136"/>
      <c r="K411" s="137">
        <v>3</v>
      </c>
      <c r="L411" s="137"/>
      <c r="M411" s="137"/>
      <c r="N411" s="137"/>
      <c r="O411" s="137"/>
      <c r="P411" s="137"/>
      <c r="Q411" s="137"/>
      <c r="R411" s="137"/>
      <c r="S411" s="137"/>
      <c r="T411" s="137"/>
      <c r="U411" s="137"/>
      <c r="V411" s="137"/>
      <c r="W411" s="137"/>
      <c r="X411" s="137"/>
      <c r="Y411" s="137"/>
      <c r="Z411" s="137"/>
      <c r="AA411" s="137"/>
      <c r="AB411" s="137"/>
      <c r="AC411" s="137"/>
      <c r="AD411" s="137"/>
      <c r="AE411" s="137"/>
      <c r="AF411" s="137"/>
      <c r="AG411" s="137"/>
      <c r="AH411" s="137"/>
      <c r="AI411" s="137"/>
      <c r="AJ411" s="137"/>
      <c r="AK411" s="137"/>
      <c r="AL411" s="137"/>
      <c r="AM411" s="137"/>
      <c r="AN411" s="138"/>
      <c r="AO411" s="42">
        <f t="shared" si="148"/>
        <v>3</v>
      </c>
      <c r="AP411" s="1"/>
      <c r="AQ411" s="43">
        <f t="shared" ref="AQ411" si="177">+AP411*AO411</f>
        <v>0</v>
      </c>
      <c r="AR411" s="1"/>
      <c r="AS411" s="43">
        <f t="shared" ref="AS411" si="178">+AR411*AO411</f>
        <v>0</v>
      </c>
      <c r="AT411" s="44">
        <f t="shared" ref="AT411" si="179">+AR411+AP411</f>
        <v>0</v>
      </c>
      <c r="AU411" s="43">
        <f t="shared" ref="AU411" si="180">+AT411*AO411</f>
        <v>0</v>
      </c>
    </row>
    <row r="412" spans="1:47" ht="52.5" customHeight="1" x14ac:dyDescent="0.25">
      <c r="A412" s="140"/>
      <c r="B412" s="37">
        <v>12</v>
      </c>
      <c r="C412" s="270" t="s">
        <v>1757</v>
      </c>
      <c r="D412" s="271"/>
      <c r="E412" s="271"/>
      <c r="F412" s="356"/>
      <c r="G412" s="97"/>
      <c r="H412" s="84"/>
      <c r="I412" s="97"/>
      <c r="J412" s="83"/>
      <c r="K412" s="83"/>
      <c r="L412" s="83"/>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4"/>
      <c r="AP412" s="78"/>
      <c r="AQ412" s="79">
        <f>SUM(AQ413:AQ442)</f>
        <v>0</v>
      </c>
      <c r="AR412" s="78"/>
      <c r="AS412" s="79">
        <f>SUM(AS413:AS442)</f>
        <v>0</v>
      </c>
      <c r="AT412" s="78"/>
      <c r="AU412" s="79">
        <f>SUM(AU413:AU442)</f>
        <v>0</v>
      </c>
    </row>
    <row r="413" spans="1:47" ht="97.5" customHeight="1" x14ac:dyDescent="0.25">
      <c r="A413" s="76"/>
      <c r="B413" s="148" t="s">
        <v>1758</v>
      </c>
      <c r="C413" s="406" t="s">
        <v>1781</v>
      </c>
      <c r="D413" s="407"/>
      <c r="E413" s="399" t="s">
        <v>1804</v>
      </c>
      <c r="F413" s="401" t="s">
        <v>2300</v>
      </c>
      <c r="G413" s="421" t="s">
        <v>2299</v>
      </c>
      <c r="H413" s="403" t="s">
        <v>1079</v>
      </c>
      <c r="I413" s="151" t="s">
        <v>1138</v>
      </c>
      <c r="J413" s="152">
        <v>6</v>
      </c>
      <c r="K413" s="153">
        <v>12</v>
      </c>
      <c r="L413" s="153">
        <v>7</v>
      </c>
      <c r="M413" s="153"/>
      <c r="N413" s="153"/>
      <c r="O413" s="153"/>
      <c r="P413" s="153"/>
      <c r="Q413" s="153"/>
      <c r="R413" s="153"/>
      <c r="S413" s="153"/>
      <c r="T413" s="153"/>
      <c r="U413" s="153"/>
      <c r="V413" s="153"/>
      <c r="W413" s="153"/>
      <c r="X413" s="153"/>
      <c r="Y413" s="153"/>
      <c r="Z413" s="153"/>
      <c r="AA413" s="153"/>
      <c r="AB413" s="153"/>
      <c r="AC413" s="153"/>
      <c r="AD413" s="153"/>
      <c r="AE413" s="153"/>
      <c r="AF413" s="153"/>
      <c r="AG413" s="153"/>
      <c r="AH413" s="153"/>
      <c r="AI413" s="153"/>
      <c r="AJ413" s="153"/>
      <c r="AK413" s="153"/>
      <c r="AL413" s="153"/>
      <c r="AM413" s="153"/>
      <c r="AN413" s="154"/>
      <c r="AO413" s="155">
        <f t="shared" ref="AO413:AO442" si="181">SUM(J413:AN413)</f>
        <v>25</v>
      </c>
      <c r="AP413" s="13"/>
      <c r="AQ413" s="156">
        <f t="shared" ref="AQ413:AQ435" si="182">+AP413*AO413</f>
        <v>0</v>
      </c>
      <c r="AR413" s="13"/>
      <c r="AS413" s="156">
        <f t="shared" ref="AS413:AS435" si="183">+AR413*AO413</f>
        <v>0</v>
      </c>
      <c r="AT413" s="157">
        <f t="shared" ref="AT413:AT435" si="184">+AR413+AP413</f>
        <v>0</v>
      </c>
      <c r="AU413" s="156">
        <f t="shared" ref="AU413:AU435" si="185">+AT413*AO413</f>
        <v>0</v>
      </c>
    </row>
    <row r="414" spans="1:47" ht="97.5" customHeight="1" x14ac:dyDescent="0.25">
      <c r="A414" s="76"/>
      <c r="B414" s="158" t="s">
        <v>1759</v>
      </c>
      <c r="C414" s="411" t="s">
        <v>1782</v>
      </c>
      <c r="D414" s="412"/>
      <c r="E414" s="408"/>
      <c r="F414" s="409"/>
      <c r="G414" s="422"/>
      <c r="H414" s="394"/>
      <c r="I414" s="162" t="s">
        <v>1138</v>
      </c>
      <c r="J414" s="163"/>
      <c r="K414" s="164">
        <v>6</v>
      </c>
      <c r="L414" s="164">
        <v>3</v>
      </c>
      <c r="M414" s="164"/>
      <c r="N414" s="164"/>
      <c r="O414" s="164"/>
      <c r="P414" s="164"/>
      <c r="Q414" s="164"/>
      <c r="R414" s="164"/>
      <c r="S414" s="164"/>
      <c r="T414" s="164"/>
      <c r="U414" s="164"/>
      <c r="V414" s="164"/>
      <c r="W414" s="164"/>
      <c r="X414" s="164"/>
      <c r="Y414" s="164"/>
      <c r="Z414" s="164"/>
      <c r="AA414" s="164"/>
      <c r="AB414" s="164"/>
      <c r="AC414" s="164"/>
      <c r="AD414" s="164"/>
      <c r="AE414" s="164"/>
      <c r="AF414" s="164"/>
      <c r="AG414" s="164"/>
      <c r="AH414" s="164"/>
      <c r="AI414" s="164"/>
      <c r="AJ414" s="164"/>
      <c r="AK414" s="164"/>
      <c r="AL414" s="164"/>
      <c r="AM414" s="164"/>
      <c r="AN414" s="165"/>
      <c r="AO414" s="166">
        <f t="shared" si="181"/>
        <v>9</v>
      </c>
      <c r="AP414" s="12"/>
      <c r="AQ414" s="167">
        <f t="shared" si="182"/>
        <v>0</v>
      </c>
      <c r="AR414" s="12"/>
      <c r="AS414" s="167">
        <f t="shared" si="183"/>
        <v>0</v>
      </c>
      <c r="AT414" s="168">
        <f t="shared" si="184"/>
        <v>0</v>
      </c>
      <c r="AU414" s="167">
        <f t="shared" si="185"/>
        <v>0</v>
      </c>
    </row>
    <row r="415" spans="1:47" ht="96" customHeight="1" x14ac:dyDescent="0.25">
      <c r="A415" s="76"/>
      <c r="B415" s="158" t="s">
        <v>1760</v>
      </c>
      <c r="C415" s="411" t="s">
        <v>1783</v>
      </c>
      <c r="D415" s="412"/>
      <c r="E415" s="408"/>
      <c r="F415" s="409"/>
      <c r="G415" s="422"/>
      <c r="H415" s="394"/>
      <c r="I415" s="162" t="s">
        <v>1138</v>
      </c>
      <c r="J415" s="163"/>
      <c r="K415" s="164">
        <v>4</v>
      </c>
      <c r="L415" s="164">
        <v>2</v>
      </c>
      <c r="M415" s="164"/>
      <c r="N415" s="164"/>
      <c r="O415" s="164"/>
      <c r="P415" s="164"/>
      <c r="Q415" s="164"/>
      <c r="R415" s="164"/>
      <c r="S415" s="164"/>
      <c r="T415" s="164"/>
      <c r="U415" s="164"/>
      <c r="V415" s="164"/>
      <c r="W415" s="164"/>
      <c r="X415" s="164"/>
      <c r="Y415" s="164"/>
      <c r="Z415" s="164"/>
      <c r="AA415" s="164"/>
      <c r="AB415" s="164"/>
      <c r="AC415" s="164"/>
      <c r="AD415" s="164"/>
      <c r="AE415" s="164"/>
      <c r="AF415" s="164"/>
      <c r="AG415" s="164"/>
      <c r="AH415" s="164"/>
      <c r="AI415" s="164"/>
      <c r="AJ415" s="164"/>
      <c r="AK415" s="164"/>
      <c r="AL415" s="164"/>
      <c r="AM415" s="164"/>
      <c r="AN415" s="165"/>
      <c r="AO415" s="166">
        <f t="shared" si="181"/>
        <v>6</v>
      </c>
      <c r="AP415" s="12"/>
      <c r="AQ415" s="167">
        <f t="shared" si="182"/>
        <v>0</v>
      </c>
      <c r="AR415" s="12"/>
      <c r="AS415" s="167">
        <f t="shared" si="183"/>
        <v>0</v>
      </c>
      <c r="AT415" s="168">
        <f t="shared" si="184"/>
        <v>0</v>
      </c>
      <c r="AU415" s="167">
        <f t="shared" si="185"/>
        <v>0</v>
      </c>
    </row>
    <row r="416" spans="1:47" ht="51" customHeight="1" x14ac:dyDescent="0.25">
      <c r="A416" s="76"/>
      <c r="B416" s="158" t="s">
        <v>1761</v>
      </c>
      <c r="C416" s="411" t="s">
        <v>1784</v>
      </c>
      <c r="D416" s="412"/>
      <c r="E416" s="408"/>
      <c r="F416" s="409"/>
      <c r="G416" s="422"/>
      <c r="H416" s="394"/>
      <c r="I416" s="162" t="s">
        <v>1138</v>
      </c>
      <c r="J416" s="163"/>
      <c r="K416" s="164"/>
      <c r="L416" s="164"/>
      <c r="M416" s="164"/>
      <c r="N416" s="164"/>
      <c r="O416" s="164"/>
      <c r="P416" s="164"/>
      <c r="Q416" s="164"/>
      <c r="R416" s="164"/>
      <c r="S416" s="164"/>
      <c r="T416" s="164"/>
      <c r="U416" s="164"/>
      <c r="V416" s="164"/>
      <c r="W416" s="164"/>
      <c r="X416" s="164"/>
      <c r="Y416" s="164"/>
      <c r="Z416" s="164"/>
      <c r="AA416" s="164"/>
      <c r="AB416" s="164"/>
      <c r="AC416" s="164"/>
      <c r="AD416" s="164"/>
      <c r="AE416" s="164"/>
      <c r="AF416" s="164"/>
      <c r="AG416" s="164"/>
      <c r="AH416" s="164"/>
      <c r="AI416" s="164"/>
      <c r="AJ416" s="164"/>
      <c r="AK416" s="164"/>
      <c r="AL416" s="164"/>
      <c r="AM416" s="164"/>
      <c r="AN416" s="165"/>
      <c r="AO416" s="166">
        <f t="shared" si="181"/>
        <v>0</v>
      </c>
      <c r="AP416" s="12"/>
      <c r="AQ416" s="167">
        <f t="shared" si="182"/>
        <v>0</v>
      </c>
      <c r="AR416" s="12"/>
      <c r="AS416" s="167">
        <f t="shared" si="183"/>
        <v>0</v>
      </c>
      <c r="AT416" s="168">
        <f t="shared" si="184"/>
        <v>0</v>
      </c>
      <c r="AU416" s="167">
        <f t="shared" si="185"/>
        <v>0</v>
      </c>
    </row>
    <row r="417" spans="1:47" ht="30" customHeight="1" x14ac:dyDescent="0.25">
      <c r="A417" s="76"/>
      <c r="B417" s="158" t="s">
        <v>1762</v>
      </c>
      <c r="C417" s="411" t="s">
        <v>1785</v>
      </c>
      <c r="D417" s="412"/>
      <c r="E417" s="408"/>
      <c r="F417" s="409"/>
      <c r="G417" s="422"/>
      <c r="H417" s="394"/>
      <c r="I417" s="162" t="s">
        <v>1138</v>
      </c>
      <c r="J417" s="163"/>
      <c r="K417" s="164"/>
      <c r="L417" s="164"/>
      <c r="M417" s="164"/>
      <c r="N417" s="164"/>
      <c r="O417" s="164"/>
      <c r="P417" s="164"/>
      <c r="Q417" s="164"/>
      <c r="R417" s="164"/>
      <c r="S417" s="164"/>
      <c r="T417" s="164"/>
      <c r="U417" s="164"/>
      <c r="V417" s="164"/>
      <c r="W417" s="164"/>
      <c r="X417" s="164"/>
      <c r="Y417" s="164"/>
      <c r="Z417" s="164"/>
      <c r="AA417" s="164"/>
      <c r="AB417" s="164"/>
      <c r="AC417" s="164"/>
      <c r="AD417" s="164"/>
      <c r="AE417" s="164"/>
      <c r="AF417" s="164"/>
      <c r="AG417" s="164"/>
      <c r="AH417" s="164"/>
      <c r="AI417" s="164"/>
      <c r="AJ417" s="164"/>
      <c r="AK417" s="164"/>
      <c r="AL417" s="164"/>
      <c r="AM417" s="164"/>
      <c r="AN417" s="165"/>
      <c r="AO417" s="166">
        <f t="shared" si="181"/>
        <v>0</v>
      </c>
      <c r="AP417" s="12"/>
      <c r="AQ417" s="167">
        <f t="shared" si="182"/>
        <v>0</v>
      </c>
      <c r="AR417" s="12"/>
      <c r="AS417" s="167">
        <f t="shared" si="183"/>
        <v>0</v>
      </c>
      <c r="AT417" s="168">
        <f t="shared" si="184"/>
        <v>0</v>
      </c>
      <c r="AU417" s="167">
        <f t="shared" si="185"/>
        <v>0</v>
      </c>
    </row>
    <row r="418" spans="1:47" ht="30" customHeight="1" x14ac:dyDescent="0.25">
      <c r="A418" s="76"/>
      <c r="B418" s="158" t="s">
        <v>1763</v>
      </c>
      <c r="C418" s="411" t="s">
        <v>1786</v>
      </c>
      <c r="D418" s="412"/>
      <c r="E418" s="408"/>
      <c r="F418" s="409"/>
      <c r="G418" s="422"/>
      <c r="H418" s="394"/>
      <c r="I418" s="162" t="s">
        <v>1138</v>
      </c>
      <c r="J418" s="163"/>
      <c r="K418" s="164">
        <v>16</v>
      </c>
      <c r="L418" s="164"/>
      <c r="M418" s="164"/>
      <c r="N418" s="164"/>
      <c r="O418" s="164"/>
      <c r="P418" s="164"/>
      <c r="Q418" s="164"/>
      <c r="R418" s="164"/>
      <c r="S418" s="164"/>
      <c r="T418" s="164"/>
      <c r="U418" s="164"/>
      <c r="V418" s="164"/>
      <c r="W418" s="164"/>
      <c r="X418" s="164"/>
      <c r="Y418" s="164"/>
      <c r="Z418" s="164"/>
      <c r="AA418" s="164"/>
      <c r="AB418" s="164"/>
      <c r="AC418" s="164"/>
      <c r="AD418" s="164"/>
      <c r="AE418" s="164"/>
      <c r="AF418" s="164"/>
      <c r="AG418" s="164"/>
      <c r="AH418" s="164"/>
      <c r="AI418" s="164"/>
      <c r="AJ418" s="164"/>
      <c r="AK418" s="164"/>
      <c r="AL418" s="164"/>
      <c r="AM418" s="164"/>
      <c r="AN418" s="165"/>
      <c r="AO418" s="166">
        <f t="shared" si="181"/>
        <v>16</v>
      </c>
      <c r="AP418" s="12"/>
      <c r="AQ418" s="167">
        <f t="shared" si="182"/>
        <v>0</v>
      </c>
      <c r="AR418" s="12"/>
      <c r="AS418" s="167">
        <f t="shared" si="183"/>
        <v>0</v>
      </c>
      <c r="AT418" s="168">
        <f t="shared" si="184"/>
        <v>0</v>
      </c>
      <c r="AU418" s="167">
        <f t="shared" si="185"/>
        <v>0</v>
      </c>
    </row>
    <row r="419" spans="1:47" ht="30" customHeight="1" x14ac:dyDescent="0.25">
      <c r="A419" s="76"/>
      <c r="B419" s="158" t="s">
        <v>1764</v>
      </c>
      <c r="C419" s="411" t="s">
        <v>1787</v>
      </c>
      <c r="D419" s="412"/>
      <c r="E419" s="408"/>
      <c r="F419" s="409"/>
      <c r="G419" s="422"/>
      <c r="H419" s="394"/>
      <c r="I419" s="162" t="s">
        <v>1138</v>
      </c>
      <c r="J419" s="163">
        <v>20</v>
      </c>
      <c r="K419" s="164">
        <v>33</v>
      </c>
      <c r="L419" s="164">
        <v>13</v>
      </c>
      <c r="M419" s="164"/>
      <c r="N419" s="164"/>
      <c r="O419" s="164"/>
      <c r="P419" s="164"/>
      <c r="Q419" s="164"/>
      <c r="R419" s="164"/>
      <c r="S419" s="164"/>
      <c r="T419" s="164"/>
      <c r="U419" s="164"/>
      <c r="V419" s="164"/>
      <c r="W419" s="164"/>
      <c r="X419" s="164"/>
      <c r="Y419" s="164"/>
      <c r="Z419" s="164"/>
      <c r="AA419" s="164"/>
      <c r="AB419" s="164"/>
      <c r="AC419" s="164"/>
      <c r="AD419" s="164"/>
      <c r="AE419" s="164"/>
      <c r="AF419" s="164"/>
      <c r="AG419" s="164"/>
      <c r="AH419" s="164"/>
      <c r="AI419" s="164"/>
      <c r="AJ419" s="164"/>
      <c r="AK419" s="164"/>
      <c r="AL419" s="164"/>
      <c r="AM419" s="164"/>
      <c r="AN419" s="165"/>
      <c r="AO419" s="166">
        <f t="shared" si="181"/>
        <v>66</v>
      </c>
      <c r="AP419" s="12"/>
      <c r="AQ419" s="167">
        <f t="shared" si="182"/>
        <v>0</v>
      </c>
      <c r="AR419" s="12"/>
      <c r="AS419" s="167">
        <f t="shared" si="183"/>
        <v>0</v>
      </c>
      <c r="AT419" s="168">
        <f t="shared" si="184"/>
        <v>0</v>
      </c>
      <c r="AU419" s="167">
        <f t="shared" si="185"/>
        <v>0</v>
      </c>
    </row>
    <row r="420" spans="1:47" ht="30" customHeight="1" x14ac:dyDescent="0.25">
      <c r="A420" s="76"/>
      <c r="B420" s="158" t="s">
        <v>1765</v>
      </c>
      <c r="C420" s="411" t="s">
        <v>1788</v>
      </c>
      <c r="D420" s="412"/>
      <c r="E420" s="408"/>
      <c r="F420" s="409"/>
      <c r="G420" s="422"/>
      <c r="H420" s="394"/>
      <c r="I420" s="162" t="s">
        <v>1138</v>
      </c>
      <c r="J420" s="163">
        <v>13</v>
      </c>
      <c r="K420" s="164">
        <v>9</v>
      </c>
      <c r="L420" s="164">
        <v>5</v>
      </c>
      <c r="M420" s="164"/>
      <c r="N420" s="164"/>
      <c r="O420" s="164"/>
      <c r="P420" s="164"/>
      <c r="Q420" s="164"/>
      <c r="R420" s="164"/>
      <c r="S420" s="164"/>
      <c r="T420" s="164"/>
      <c r="U420" s="164"/>
      <c r="V420" s="164"/>
      <c r="W420" s="164"/>
      <c r="X420" s="164"/>
      <c r="Y420" s="164"/>
      <c r="Z420" s="164"/>
      <c r="AA420" s="164"/>
      <c r="AB420" s="164"/>
      <c r="AC420" s="164"/>
      <c r="AD420" s="164"/>
      <c r="AE420" s="164"/>
      <c r="AF420" s="164"/>
      <c r="AG420" s="164"/>
      <c r="AH420" s="164"/>
      <c r="AI420" s="164"/>
      <c r="AJ420" s="164"/>
      <c r="AK420" s="164"/>
      <c r="AL420" s="164"/>
      <c r="AM420" s="164"/>
      <c r="AN420" s="165"/>
      <c r="AO420" s="166">
        <f t="shared" si="181"/>
        <v>27</v>
      </c>
      <c r="AP420" s="12"/>
      <c r="AQ420" s="167">
        <f t="shared" si="182"/>
        <v>0</v>
      </c>
      <c r="AR420" s="12"/>
      <c r="AS420" s="167">
        <f t="shared" si="183"/>
        <v>0</v>
      </c>
      <c r="AT420" s="168">
        <f t="shared" si="184"/>
        <v>0</v>
      </c>
      <c r="AU420" s="167">
        <f t="shared" si="185"/>
        <v>0</v>
      </c>
    </row>
    <row r="421" spans="1:47" ht="30" customHeight="1" x14ac:dyDescent="0.25">
      <c r="A421" s="76"/>
      <c r="B421" s="158" t="s">
        <v>1766</v>
      </c>
      <c r="C421" s="411" t="s">
        <v>1789</v>
      </c>
      <c r="D421" s="412"/>
      <c r="E421" s="408"/>
      <c r="F421" s="409"/>
      <c r="G421" s="422"/>
      <c r="H421" s="394"/>
      <c r="I421" s="162" t="s">
        <v>1138</v>
      </c>
      <c r="J421" s="163">
        <v>5</v>
      </c>
      <c r="K421" s="164">
        <v>1</v>
      </c>
      <c r="L421" s="164">
        <v>3</v>
      </c>
      <c r="M421" s="164"/>
      <c r="N421" s="164"/>
      <c r="O421" s="164"/>
      <c r="P421" s="164"/>
      <c r="Q421" s="164"/>
      <c r="R421" s="164"/>
      <c r="S421" s="164"/>
      <c r="T421" s="164"/>
      <c r="U421" s="164"/>
      <c r="V421" s="164"/>
      <c r="W421" s="164"/>
      <c r="X421" s="164"/>
      <c r="Y421" s="164"/>
      <c r="Z421" s="164"/>
      <c r="AA421" s="164"/>
      <c r="AB421" s="164"/>
      <c r="AC421" s="164"/>
      <c r="AD421" s="164"/>
      <c r="AE421" s="164"/>
      <c r="AF421" s="164"/>
      <c r="AG421" s="164"/>
      <c r="AH421" s="164"/>
      <c r="AI421" s="164"/>
      <c r="AJ421" s="164"/>
      <c r="AK421" s="164"/>
      <c r="AL421" s="164"/>
      <c r="AM421" s="164"/>
      <c r="AN421" s="165"/>
      <c r="AO421" s="166">
        <f t="shared" si="181"/>
        <v>9</v>
      </c>
      <c r="AP421" s="12"/>
      <c r="AQ421" s="167">
        <f t="shared" si="182"/>
        <v>0</v>
      </c>
      <c r="AR421" s="12"/>
      <c r="AS421" s="167">
        <f t="shared" si="183"/>
        <v>0</v>
      </c>
      <c r="AT421" s="168">
        <f t="shared" si="184"/>
        <v>0</v>
      </c>
      <c r="AU421" s="167">
        <f t="shared" si="185"/>
        <v>0</v>
      </c>
    </row>
    <row r="422" spans="1:47" ht="35.25" customHeight="1" x14ac:dyDescent="0.25">
      <c r="A422" s="76"/>
      <c r="B422" s="158" t="s">
        <v>1767</v>
      </c>
      <c r="C422" s="411" t="s">
        <v>1790</v>
      </c>
      <c r="D422" s="412"/>
      <c r="E422" s="408"/>
      <c r="F422" s="409"/>
      <c r="G422" s="422"/>
      <c r="H422" s="394"/>
      <c r="I422" s="162" t="s">
        <v>1138</v>
      </c>
      <c r="J422" s="163">
        <v>2</v>
      </c>
      <c r="K422" s="164">
        <v>24</v>
      </c>
      <c r="L422" s="164">
        <v>48</v>
      </c>
      <c r="M422" s="164">
        <v>4</v>
      </c>
      <c r="N422" s="164"/>
      <c r="O422" s="164"/>
      <c r="P422" s="164"/>
      <c r="Q422" s="164"/>
      <c r="R422" s="164"/>
      <c r="S422" s="164"/>
      <c r="T422" s="164"/>
      <c r="U422" s="164"/>
      <c r="V422" s="164"/>
      <c r="W422" s="164"/>
      <c r="X422" s="164"/>
      <c r="Y422" s="164"/>
      <c r="Z422" s="164"/>
      <c r="AA422" s="164"/>
      <c r="AB422" s="164"/>
      <c r="AC422" s="164"/>
      <c r="AD422" s="164"/>
      <c r="AE422" s="164"/>
      <c r="AF422" s="164"/>
      <c r="AG422" s="164"/>
      <c r="AH422" s="164"/>
      <c r="AI422" s="164"/>
      <c r="AJ422" s="164"/>
      <c r="AK422" s="164"/>
      <c r="AL422" s="164"/>
      <c r="AM422" s="164"/>
      <c r="AN422" s="165"/>
      <c r="AO422" s="166">
        <f t="shared" si="181"/>
        <v>78</v>
      </c>
      <c r="AP422" s="12"/>
      <c r="AQ422" s="167">
        <f t="shared" si="182"/>
        <v>0</v>
      </c>
      <c r="AR422" s="12"/>
      <c r="AS422" s="167">
        <f t="shared" si="183"/>
        <v>0</v>
      </c>
      <c r="AT422" s="168">
        <f t="shared" si="184"/>
        <v>0</v>
      </c>
      <c r="AU422" s="167">
        <f t="shared" si="185"/>
        <v>0</v>
      </c>
    </row>
    <row r="423" spans="1:47" ht="35.25" customHeight="1" x14ac:dyDescent="0.25">
      <c r="A423" s="76"/>
      <c r="B423" s="158" t="s">
        <v>1768</v>
      </c>
      <c r="C423" s="411" t="s">
        <v>1791</v>
      </c>
      <c r="D423" s="412"/>
      <c r="E423" s="408"/>
      <c r="F423" s="409"/>
      <c r="G423" s="422"/>
      <c r="H423" s="394"/>
      <c r="I423" s="162" t="s">
        <v>1138</v>
      </c>
      <c r="J423" s="163">
        <v>2</v>
      </c>
      <c r="K423" s="164">
        <v>16</v>
      </c>
      <c r="L423" s="164">
        <v>16</v>
      </c>
      <c r="M423" s="164">
        <v>1</v>
      </c>
      <c r="N423" s="164"/>
      <c r="O423" s="164"/>
      <c r="P423" s="164"/>
      <c r="Q423" s="164"/>
      <c r="R423" s="164"/>
      <c r="S423" s="164"/>
      <c r="T423" s="164"/>
      <c r="U423" s="164"/>
      <c r="V423" s="164"/>
      <c r="W423" s="164"/>
      <c r="X423" s="164"/>
      <c r="Y423" s="164"/>
      <c r="Z423" s="164"/>
      <c r="AA423" s="164"/>
      <c r="AB423" s="164"/>
      <c r="AC423" s="164"/>
      <c r="AD423" s="164"/>
      <c r="AE423" s="164"/>
      <c r="AF423" s="164"/>
      <c r="AG423" s="164"/>
      <c r="AH423" s="164"/>
      <c r="AI423" s="164"/>
      <c r="AJ423" s="164"/>
      <c r="AK423" s="164"/>
      <c r="AL423" s="164"/>
      <c r="AM423" s="164"/>
      <c r="AN423" s="165"/>
      <c r="AO423" s="166">
        <f t="shared" si="181"/>
        <v>35</v>
      </c>
      <c r="AP423" s="12"/>
      <c r="AQ423" s="167">
        <f t="shared" ref="AQ423:AQ433" si="186">+AP423*AO423</f>
        <v>0</v>
      </c>
      <c r="AR423" s="12"/>
      <c r="AS423" s="167">
        <f t="shared" ref="AS423:AS433" si="187">+AR423*AO423</f>
        <v>0</v>
      </c>
      <c r="AT423" s="168">
        <f t="shared" ref="AT423:AT433" si="188">+AR423+AP423</f>
        <v>0</v>
      </c>
      <c r="AU423" s="167">
        <f t="shared" ref="AU423:AU433" si="189">+AT423*AO423</f>
        <v>0</v>
      </c>
    </row>
    <row r="424" spans="1:47" ht="35.25" customHeight="1" x14ac:dyDescent="0.25">
      <c r="A424" s="76"/>
      <c r="B424" s="158" t="s">
        <v>1769</v>
      </c>
      <c r="C424" s="411" t="s">
        <v>1792</v>
      </c>
      <c r="D424" s="412"/>
      <c r="E424" s="408"/>
      <c r="F424" s="409"/>
      <c r="G424" s="422"/>
      <c r="H424" s="394"/>
      <c r="I424" s="162" t="s">
        <v>1138</v>
      </c>
      <c r="J424" s="163">
        <v>3</v>
      </c>
      <c r="K424" s="164"/>
      <c r="L424" s="164"/>
      <c r="M424" s="164"/>
      <c r="N424" s="164"/>
      <c r="O424" s="164"/>
      <c r="P424" s="164"/>
      <c r="Q424" s="164"/>
      <c r="R424" s="164"/>
      <c r="S424" s="164"/>
      <c r="T424" s="164"/>
      <c r="U424" s="164"/>
      <c r="V424" s="164"/>
      <c r="W424" s="164"/>
      <c r="X424" s="164"/>
      <c r="Y424" s="164"/>
      <c r="Z424" s="164"/>
      <c r="AA424" s="164"/>
      <c r="AB424" s="164"/>
      <c r="AC424" s="164"/>
      <c r="AD424" s="164"/>
      <c r="AE424" s="164"/>
      <c r="AF424" s="164"/>
      <c r="AG424" s="164"/>
      <c r="AH424" s="164"/>
      <c r="AI424" s="164"/>
      <c r="AJ424" s="164"/>
      <c r="AK424" s="164"/>
      <c r="AL424" s="164"/>
      <c r="AM424" s="164"/>
      <c r="AN424" s="165"/>
      <c r="AO424" s="166">
        <f t="shared" si="181"/>
        <v>3</v>
      </c>
      <c r="AP424" s="12"/>
      <c r="AQ424" s="167">
        <f t="shared" si="186"/>
        <v>0</v>
      </c>
      <c r="AR424" s="12"/>
      <c r="AS424" s="167">
        <f t="shared" si="187"/>
        <v>0</v>
      </c>
      <c r="AT424" s="168">
        <f t="shared" si="188"/>
        <v>0</v>
      </c>
      <c r="AU424" s="167">
        <f t="shared" si="189"/>
        <v>0</v>
      </c>
    </row>
    <row r="425" spans="1:47" ht="35.25" customHeight="1" x14ac:dyDescent="0.25">
      <c r="A425" s="76"/>
      <c r="B425" s="158" t="s">
        <v>1770</v>
      </c>
      <c r="C425" s="411" t="s">
        <v>1793</v>
      </c>
      <c r="D425" s="412"/>
      <c r="E425" s="408"/>
      <c r="F425" s="409"/>
      <c r="G425" s="422"/>
      <c r="H425" s="394"/>
      <c r="I425" s="162" t="s">
        <v>1138</v>
      </c>
      <c r="J425" s="163">
        <v>0</v>
      </c>
      <c r="K425" s="164">
        <v>6</v>
      </c>
      <c r="L425" s="164"/>
      <c r="M425" s="164"/>
      <c r="N425" s="164"/>
      <c r="O425" s="164"/>
      <c r="P425" s="164"/>
      <c r="Q425" s="164"/>
      <c r="R425" s="164"/>
      <c r="S425" s="164"/>
      <c r="T425" s="164"/>
      <c r="U425" s="164"/>
      <c r="V425" s="164"/>
      <c r="W425" s="164"/>
      <c r="X425" s="164"/>
      <c r="Y425" s="164"/>
      <c r="Z425" s="164"/>
      <c r="AA425" s="164"/>
      <c r="AB425" s="164"/>
      <c r="AC425" s="164"/>
      <c r="AD425" s="164"/>
      <c r="AE425" s="164"/>
      <c r="AF425" s="164"/>
      <c r="AG425" s="164"/>
      <c r="AH425" s="164"/>
      <c r="AI425" s="164"/>
      <c r="AJ425" s="164"/>
      <c r="AK425" s="164"/>
      <c r="AL425" s="164"/>
      <c r="AM425" s="164"/>
      <c r="AN425" s="165"/>
      <c r="AO425" s="166">
        <f t="shared" si="181"/>
        <v>6</v>
      </c>
      <c r="AP425" s="12"/>
      <c r="AQ425" s="167">
        <f t="shared" si="186"/>
        <v>0</v>
      </c>
      <c r="AR425" s="12"/>
      <c r="AS425" s="167">
        <f t="shared" si="187"/>
        <v>0</v>
      </c>
      <c r="AT425" s="168">
        <f t="shared" si="188"/>
        <v>0</v>
      </c>
      <c r="AU425" s="167">
        <f t="shared" si="189"/>
        <v>0</v>
      </c>
    </row>
    <row r="426" spans="1:47" ht="35.25" customHeight="1" x14ac:dyDescent="0.25">
      <c r="A426" s="76"/>
      <c r="B426" s="158" t="s">
        <v>1771</v>
      </c>
      <c r="C426" s="411" t="s">
        <v>1794</v>
      </c>
      <c r="D426" s="412"/>
      <c r="E426" s="408"/>
      <c r="F426" s="409"/>
      <c r="G426" s="422"/>
      <c r="H426" s="394"/>
      <c r="I426" s="162" t="s">
        <v>1138</v>
      </c>
      <c r="J426" s="163">
        <v>2</v>
      </c>
      <c r="K426" s="164">
        <v>4</v>
      </c>
      <c r="L426" s="164"/>
      <c r="M426" s="164"/>
      <c r="N426" s="164"/>
      <c r="O426" s="164"/>
      <c r="P426" s="164"/>
      <c r="Q426" s="164"/>
      <c r="R426" s="164"/>
      <c r="S426" s="164"/>
      <c r="T426" s="164"/>
      <c r="U426" s="164"/>
      <c r="V426" s="164"/>
      <c r="W426" s="164"/>
      <c r="X426" s="164"/>
      <c r="Y426" s="164"/>
      <c r="Z426" s="164"/>
      <c r="AA426" s="164"/>
      <c r="AB426" s="164"/>
      <c r="AC426" s="164"/>
      <c r="AD426" s="164"/>
      <c r="AE426" s="164"/>
      <c r="AF426" s="164"/>
      <c r="AG426" s="164"/>
      <c r="AH426" s="164"/>
      <c r="AI426" s="164"/>
      <c r="AJ426" s="164"/>
      <c r="AK426" s="164"/>
      <c r="AL426" s="164"/>
      <c r="AM426" s="164"/>
      <c r="AN426" s="165"/>
      <c r="AO426" s="166">
        <f t="shared" si="181"/>
        <v>6</v>
      </c>
      <c r="AP426" s="12"/>
      <c r="AQ426" s="167">
        <f t="shared" si="186"/>
        <v>0</v>
      </c>
      <c r="AR426" s="12"/>
      <c r="AS426" s="167">
        <f t="shared" si="187"/>
        <v>0</v>
      </c>
      <c r="AT426" s="168">
        <f t="shared" si="188"/>
        <v>0</v>
      </c>
      <c r="AU426" s="167">
        <f t="shared" si="189"/>
        <v>0</v>
      </c>
    </row>
    <row r="427" spans="1:47" ht="35.25" customHeight="1" x14ac:dyDescent="0.25">
      <c r="A427" s="76"/>
      <c r="B427" s="158" t="s">
        <v>1772</v>
      </c>
      <c r="C427" s="411" t="s">
        <v>1795</v>
      </c>
      <c r="D427" s="412"/>
      <c r="E427" s="408"/>
      <c r="F427" s="409"/>
      <c r="G427" s="422"/>
      <c r="H427" s="394"/>
      <c r="I427" s="162" t="s">
        <v>1138</v>
      </c>
      <c r="J427" s="163"/>
      <c r="K427" s="164">
        <v>1</v>
      </c>
      <c r="L427" s="164"/>
      <c r="M427" s="164"/>
      <c r="N427" s="164"/>
      <c r="O427" s="164"/>
      <c r="P427" s="164"/>
      <c r="Q427" s="164"/>
      <c r="R427" s="164"/>
      <c r="S427" s="164"/>
      <c r="T427" s="164"/>
      <c r="U427" s="164"/>
      <c r="V427" s="164"/>
      <c r="W427" s="164"/>
      <c r="X427" s="164"/>
      <c r="Y427" s="164"/>
      <c r="Z427" s="164"/>
      <c r="AA427" s="164"/>
      <c r="AB427" s="164"/>
      <c r="AC427" s="164"/>
      <c r="AD427" s="164"/>
      <c r="AE427" s="164"/>
      <c r="AF427" s="164"/>
      <c r="AG427" s="164"/>
      <c r="AH427" s="164"/>
      <c r="AI427" s="164"/>
      <c r="AJ427" s="164"/>
      <c r="AK427" s="164"/>
      <c r="AL427" s="164"/>
      <c r="AM427" s="164"/>
      <c r="AN427" s="165"/>
      <c r="AO427" s="166">
        <f t="shared" si="181"/>
        <v>1</v>
      </c>
      <c r="AP427" s="12"/>
      <c r="AQ427" s="167">
        <f t="shared" si="186"/>
        <v>0</v>
      </c>
      <c r="AR427" s="12"/>
      <c r="AS427" s="167">
        <f t="shared" si="187"/>
        <v>0</v>
      </c>
      <c r="AT427" s="168">
        <f t="shared" si="188"/>
        <v>0</v>
      </c>
      <c r="AU427" s="167">
        <f t="shared" si="189"/>
        <v>0</v>
      </c>
    </row>
    <row r="428" spans="1:47" ht="57.75" customHeight="1" x14ac:dyDescent="0.25">
      <c r="A428" s="76"/>
      <c r="B428" s="158" t="s">
        <v>1773</v>
      </c>
      <c r="C428" s="411" t="s">
        <v>1796</v>
      </c>
      <c r="D428" s="412"/>
      <c r="E428" s="408"/>
      <c r="F428" s="409"/>
      <c r="G428" s="422"/>
      <c r="H428" s="394"/>
      <c r="I428" s="162" t="s">
        <v>1138</v>
      </c>
      <c r="J428" s="163"/>
      <c r="K428" s="164">
        <v>2</v>
      </c>
      <c r="L428" s="164"/>
      <c r="M428" s="164"/>
      <c r="N428" s="164"/>
      <c r="O428" s="164"/>
      <c r="P428" s="164"/>
      <c r="Q428" s="164"/>
      <c r="R428" s="164"/>
      <c r="S428" s="164"/>
      <c r="T428" s="164"/>
      <c r="U428" s="164"/>
      <c r="V428" s="164"/>
      <c r="W428" s="164"/>
      <c r="X428" s="164"/>
      <c r="Y428" s="164"/>
      <c r="Z428" s="164"/>
      <c r="AA428" s="164"/>
      <c r="AB428" s="164"/>
      <c r="AC428" s="164"/>
      <c r="AD428" s="164"/>
      <c r="AE428" s="164"/>
      <c r="AF428" s="164"/>
      <c r="AG428" s="164"/>
      <c r="AH428" s="164"/>
      <c r="AI428" s="164"/>
      <c r="AJ428" s="164"/>
      <c r="AK428" s="164"/>
      <c r="AL428" s="164"/>
      <c r="AM428" s="164"/>
      <c r="AN428" s="165"/>
      <c r="AO428" s="166">
        <f t="shared" si="181"/>
        <v>2</v>
      </c>
      <c r="AP428" s="12"/>
      <c r="AQ428" s="167">
        <f t="shared" si="186"/>
        <v>0</v>
      </c>
      <c r="AR428" s="12"/>
      <c r="AS428" s="167">
        <f t="shared" si="187"/>
        <v>0</v>
      </c>
      <c r="AT428" s="168">
        <f t="shared" si="188"/>
        <v>0</v>
      </c>
      <c r="AU428" s="167">
        <f t="shared" si="189"/>
        <v>0</v>
      </c>
    </row>
    <row r="429" spans="1:47" ht="57.75" customHeight="1" x14ac:dyDescent="0.25">
      <c r="A429" s="76"/>
      <c r="B429" s="158" t="s">
        <v>1774</v>
      </c>
      <c r="C429" s="411" t="s">
        <v>1797</v>
      </c>
      <c r="D429" s="412"/>
      <c r="E429" s="408"/>
      <c r="F429" s="409"/>
      <c r="G429" s="422"/>
      <c r="H429" s="394"/>
      <c r="I429" s="162" t="s">
        <v>1138</v>
      </c>
      <c r="J429" s="163"/>
      <c r="K429" s="164">
        <v>9</v>
      </c>
      <c r="L429" s="164"/>
      <c r="M429" s="164"/>
      <c r="N429" s="164"/>
      <c r="O429" s="164"/>
      <c r="P429" s="164"/>
      <c r="Q429" s="164"/>
      <c r="R429" s="164"/>
      <c r="S429" s="164"/>
      <c r="T429" s="164"/>
      <c r="U429" s="164"/>
      <c r="V429" s="164"/>
      <c r="W429" s="164"/>
      <c r="X429" s="164"/>
      <c r="Y429" s="164"/>
      <c r="Z429" s="164"/>
      <c r="AA429" s="164"/>
      <c r="AB429" s="164"/>
      <c r="AC429" s="164"/>
      <c r="AD429" s="164"/>
      <c r="AE429" s="164"/>
      <c r="AF429" s="164"/>
      <c r="AG429" s="164"/>
      <c r="AH429" s="164"/>
      <c r="AI429" s="164"/>
      <c r="AJ429" s="164"/>
      <c r="AK429" s="164"/>
      <c r="AL429" s="164"/>
      <c r="AM429" s="164"/>
      <c r="AN429" s="165"/>
      <c r="AO429" s="166">
        <f t="shared" si="181"/>
        <v>9</v>
      </c>
      <c r="AP429" s="12"/>
      <c r="AQ429" s="167">
        <f t="shared" si="186"/>
        <v>0</v>
      </c>
      <c r="AR429" s="12"/>
      <c r="AS429" s="167">
        <f t="shared" si="187"/>
        <v>0</v>
      </c>
      <c r="AT429" s="168">
        <f t="shared" si="188"/>
        <v>0</v>
      </c>
      <c r="AU429" s="167">
        <f t="shared" si="189"/>
        <v>0</v>
      </c>
    </row>
    <row r="430" spans="1:47" ht="57.75" customHeight="1" x14ac:dyDescent="0.25">
      <c r="A430" s="76"/>
      <c r="B430" s="158" t="s">
        <v>1775</v>
      </c>
      <c r="C430" s="411" t="s">
        <v>1798</v>
      </c>
      <c r="D430" s="412"/>
      <c r="E430" s="408"/>
      <c r="F430" s="409"/>
      <c r="G430" s="422"/>
      <c r="H430" s="394"/>
      <c r="I430" s="162" t="s">
        <v>1138</v>
      </c>
      <c r="J430" s="163"/>
      <c r="K430" s="164">
        <v>3</v>
      </c>
      <c r="L430" s="164"/>
      <c r="M430" s="164"/>
      <c r="N430" s="164"/>
      <c r="O430" s="164"/>
      <c r="P430" s="164"/>
      <c r="Q430" s="164"/>
      <c r="R430" s="164"/>
      <c r="S430" s="164"/>
      <c r="T430" s="164"/>
      <c r="U430" s="164"/>
      <c r="V430" s="164"/>
      <c r="W430" s="164"/>
      <c r="X430" s="164"/>
      <c r="Y430" s="164"/>
      <c r="Z430" s="164"/>
      <c r="AA430" s="164"/>
      <c r="AB430" s="164"/>
      <c r="AC430" s="164"/>
      <c r="AD430" s="164"/>
      <c r="AE430" s="164"/>
      <c r="AF430" s="164"/>
      <c r="AG430" s="164"/>
      <c r="AH430" s="164"/>
      <c r="AI430" s="164"/>
      <c r="AJ430" s="164"/>
      <c r="AK430" s="164"/>
      <c r="AL430" s="164"/>
      <c r="AM430" s="164"/>
      <c r="AN430" s="165"/>
      <c r="AO430" s="166">
        <f t="shared" si="181"/>
        <v>3</v>
      </c>
      <c r="AP430" s="12"/>
      <c r="AQ430" s="167">
        <f t="shared" si="186"/>
        <v>0</v>
      </c>
      <c r="AR430" s="12"/>
      <c r="AS430" s="167">
        <f t="shared" si="187"/>
        <v>0</v>
      </c>
      <c r="AT430" s="168">
        <f t="shared" si="188"/>
        <v>0</v>
      </c>
      <c r="AU430" s="167">
        <f t="shared" si="189"/>
        <v>0</v>
      </c>
    </row>
    <row r="431" spans="1:47" ht="35.25" customHeight="1" x14ac:dyDescent="0.25">
      <c r="A431" s="76"/>
      <c r="B431" s="158" t="s">
        <v>1776</v>
      </c>
      <c r="C431" s="411" t="s">
        <v>1799</v>
      </c>
      <c r="D431" s="412"/>
      <c r="E431" s="408"/>
      <c r="F431" s="409"/>
      <c r="G431" s="422"/>
      <c r="H431" s="394"/>
      <c r="I431" s="162" t="s">
        <v>1138</v>
      </c>
      <c r="J431" s="163"/>
      <c r="K431" s="164">
        <v>14</v>
      </c>
      <c r="L431" s="164">
        <v>17</v>
      </c>
      <c r="M431" s="164"/>
      <c r="N431" s="164"/>
      <c r="O431" s="164"/>
      <c r="P431" s="164"/>
      <c r="Q431" s="164"/>
      <c r="R431" s="164"/>
      <c r="S431" s="164"/>
      <c r="T431" s="164"/>
      <c r="U431" s="164"/>
      <c r="V431" s="164"/>
      <c r="W431" s="164"/>
      <c r="X431" s="164"/>
      <c r="Y431" s="164"/>
      <c r="Z431" s="164"/>
      <c r="AA431" s="164"/>
      <c r="AB431" s="164"/>
      <c r="AC431" s="164"/>
      <c r="AD431" s="164"/>
      <c r="AE431" s="164"/>
      <c r="AF431" s="164"/>
      <c r="AG431" s="164"/>
      <c r="AH431" s="164"/>
      <c r="AI431" s="164"/>
      <c r="AJ431" s="164"/>
      <c r="AK431" s="164"/>
      <c r="AL431" s="164"/>
      <c r="AM431" s="164"/>
      <c r="AN431" s="165"/>
      <c r="AO431" s="166">
        <f t="shared" si="181"/>
        <v>31</v>
      </c>
      <c r="AP431" s="12"/>
      <c r="AQ431" s="167">
        <f t="shared" si="186"/>
        <v>0</v>
      </c>
      <c r="AR431" s="12"/>
      <c r="AS431" s="167">
        <f t="shared" si="187"/>
        <v>0</v>
      </c>
      <c r="AT431" s="168">
        <f t="shared" si="188"/>
        <v>0</v>
      </c>
      <c r="AU431" s="167">
        <f t="shared" si="189"/>
        <v>0</v>
      </c>
    </row>
    <row r="432" spans="1:47" ht="35.25" customHeight="1" x14ac:dyDescent="0.25">
      <c r="A432" s="76"/>
      <c r="B432" s="158" t="s">
        <v>1777</v>
      </c>
      <c r="C432" s="411" t="s">
        <v>1800</v>
      </c>
      <c r="D432" s="412"/>
      <c r="E432" s="408"/>
      <c r="F432" s="409"/>
      <c r="G432" s="422"/>
      <c r="H432" s="394"/>
      <c r="I432" s="162" t="s">
        <v>1138</v>
      </c>
      <c r="J432" s="163"/>
      <c r="K432" s="164">
        <v>6</v>
      </c>
      <c r="L432" s="164">
        <v>4</v>
      </c>
      <c r="M432" s="164"/>
      <c r="N432" s="164"/>
      <c r="O432" s="164"/>
      <c r="P432" s="164"/>
      <c r="Q432" s="164"/>
      <c r="R432" s="164"/>
      <c r="S432" s="164"/>
      <c r="T432" s="164"/>
      <c r="U432" s="164"/>
      <c r="V432" s="164"/>
      <c r="W432" s="164"/>
      <c r="X432" s="164"/>
      <c r="Y432" s="164"/>
      <c r="Z432" s="164"/>
      <c r="AA432" s="164"/>
      <c r="AB432" s="164"/>
      <c r="AC432" s="164"/>
      <c r="AD432" s="164"/>
      <c r="AE432" s="164"/>
      <c r="AF432" s="164"/>
      <c r="AG432" s="164"/>
      <c r="AH432" s="164"/>
      <c r="AI432" s="164"/>
      <c r="AJ432" s="164"/>
      <c r="AK432" s="164"/>
      <c r="AL432" s="164"/>
      <c r="AM432" s="164"/>
      <c r="AN432" s="165"/>
      <c r="AO432" s="166">
        <f t="shared" si="181"/>
        <v>10</v>
      </c>
      <c r="AP432" s="12"/>
      <c r="AQ432" s="167">
        <f t="shared" si="186"/>
        <v>0</v>
      </c>
      <c r="AR432" s="12"/>
      <c r="AS432" s="167">
        <f t="shared" si="187"/>
        <v>0</v>
      </c>
      <c r="AT432" s="168">
        <f t="shared" si="188"/>
        <v>0</v>
      </c>
      <c r="AU432" s="167">
        <f t="shared" si="189"/>
        <v>0</v>
      </c>
    </row>
    <row r="433" spans="1:47" ht="35.25" customHeight="1" x14ac:dyDescent="0.25">
      <c r="A433" s="76"/>
      <c r="B433" s="158" t="s">
        <v>1778</v>
      </c>
      <c r="C433" s="411" t="s">
        <v>1801</v>
      </c>
      <c r="D433" s="412"/>
      <c r="E433" s="408"/>
      <c r="F433" s="409"/>
      <c r="G433" s="422"/>
      <c r="H433" s="394"/>
      <c r="I433" s="162" t="s">
        <v>1138</v>
      </c>
      <c r="J433" s="163"/>
      <c r="K433" s="164"/>
      <c r="L433" s="164">
        <v>4</v>
      </c>
      <c r="M433" s="164"/>
      <c r="N433" s="164"/>
      <c r="O433" s="164"/>
      <c r="P433" s="164"/>
      <c r="Q433" s="164"/>
      <c r="R433" s="164"/>
      <c r="S433" s="164"/>
      <c r="T433" s="164"/>
      <c r="U433" s="164"/>
      <c r="V433" s="164"/>
      <c r="W433" s="164"/>
      <c r="X433" s="164"/>
      <c r="Y433" s="164"/>
      <c r="Z433" s="164"/>
      <c r="AA433" s="164"/>
      <c r="AB433" s="164"/>
      <c r="AC433" s="164"/>
      <c r="AD433" s="164"/>
      <c r="AE433" s="164"/>
      <c r="AF433" s="164"/>
      <c r="AG433" s="164"/>
      <c r="AH433" s="164"/>
      <c r="AI433" s="164"/>
      <c r="AJ433" s="164"/>
      <c r="AK433" s="164"/>
      <c r="AL433" s="164"/>
      <c r="AM433" s="164"/>
      <c r="AN433" s="165"/>
      <c r="AO433" s="166">
        <f t="shared" si="181"/>
        <v>4</v>
      </c>
      <c r="AP433" s="12"/>
      <c r="AQ433" s="167">
        <f t="shared" si="186"/>
        <v>0</v>
      </c>
      <c r="AR433" s="12"/>
      <c r="AS433" s="167">
        <f t="shared" si="187"/>
        <v>0</v>
      </c>
      <c r="AT433" s="168">
        <f t="shared" si="188"/>
        <v>0</v>
      </c>
      <c r="AU433" s="167">
        <f t="shared" si="189"/>
        <v>0</v>
      </c>
    </row>
    <row r="434" spans="1:47" ht="35.25" customHeight="1" x14ac:dyDescent="0.25">
      <c r="A434" s="76"/>
      <c r="B434" s="158" t="s">
        <v>1779</v>
      </c>
      <c r="C434" s="411" t="s">
        <v>1802</v>
      </c>
      <c r="D434" s="412"/>
      <c r="E434" s="408"/>
      <c r="F434" s="409"/>
      <c r="G434" s="422"/>
      <c r="H434" s="394"/>
      <c r="I434" s="162" t="s">
        <v>1138</v>
      </c>
      <c r="J434" s="163"/>
      <c r="K434" s="164"/>
      <c r="L434" s="164">
        <v>2</v>
      </c>
      <c r="M434" s="164"/>
      <c r="N434" s="164"/>
      <c r="O434" s="164"/>
      <c r="P434" s="164"/>
      <c r="Q434" s="164"/>
      <c r="R434" s="164"/>
      <c r="S434" s="164"/>
      <c r="T434" s="164"/>
      <c r="U434" s="164"/>
      <c r="V434" s="164"/>
      <c r="W434" s="164"/>
      <c r="X434" s="164"/>
      <c r="Y434" s="164"/>
      <c r="Z434" s="164"/>
      <c r="AA434" s="164"/>
      <c r="AB434" s="164"/>
      <c r="AC434" s="164"/>
      <c r="AD434" s="164"/>
      <c r="AE434" s="164"/>
      <c r="AF434" s="164"/>
      <c r="AG434" s="164"/>
      <c r="AH434" s="164"/>
      <c r="AI434" s="164"/>
      <c r="AJ434" s="164"/>
      <c r="AK434" s="164"/>
      <c r="AL434" s="164"/>
      <c r="AM434" s="164"/>
      <c r="AN434" s="165"/>
      <c r="AO434" s="166">
        <f t="shared" si="181"/>
        <v>2</v>
      </c>
      <c r="AP434" s="12"/>
      <c r="AQ434" s="167">
        <f t="shared" si="182"/>
        <v>0</v>
      </c>
      <c r="AR434" s="12"/>
      <c r="AS434" s="167">
        <f t="shared" si="183"/>
        <v>0</v>
      </c>
      <c r="AT434" s="168">
        <f t="shared" si="184"/>
        <v>0</v>
      </c>
      <c r="AU434" s="167">
        <f t="shared" si="185"/>
        <v>0</v>
      </c>
    </row>
    <row r="435" spans="1:47" ht="35.25" customHeight="1" x14ac:dyDescent="0.25">
      <c r="A435" s="76"/>
      <c r="B435" s="169" t="s">
        <v>1780</v>
      </c>
      <c r="C435" s="404" t="s">
        <v>1803</v>
      </c>
      <c r="D435" s="405"/>
      <c r="E435" s="400"/>
      <c r="F435" s="402"/>
      <c r="G435" s="423"/>
      <c r="H435" s="395"/>
      <c r="I435" s="173" t="s">
        <v>1138</v>
      </c>
      <c r="J435" s="174"/>
      <c r="K435" s="175"/>
      <c r="L435" s="175">
        <v>93</v>
      </c>
      <c r="M435" s="175"/>
      <c r="N435" s="175"/>
      <c r="O435" s="175"/>
      <c r="P435" s="175"/>
      <c r="Q435" s="175"/>
      <c r="R435" s="175"/>
      <c r="S435" s="175"/>
      <c r="T435" s="175"/>
      <c r="U435" s="175"/>
      <c r="V435" s="175"/>
      <c r="W435" s="175"/>
      <c r="X435" s="175"/>
      <c r="Y435" s="175"/>
      <c r="Z435" s="175"/>
      <c r="AA435" s="175"/>
      <c r="AB435" s="175"/>
      <c r="AC435" s="175"/>
      <c r="AD435" s="175"/>
      <c r="AE435" s="175"/>
      <c r="AF435" s="175"/>
      <c r="AG435" s="175"/>
      <c r="AH435" s="175"/>
      <c r="AI435" s="175"/>
      <c r="AJ435" s="175"/>
      <c r="AK435" s="175"/>
      <c r="AL435" s="175"/>
      <c r="AM435" s="175"/>
      <c r="AN435" s="176"/>
      <c r="AO435" s="177">
        <f t="shared" si="181"/>
        <v>93</v>
      </c>
      <c r="AP435" s="14"/>
      <c r="AQ435" s="178">
        <f t="shared" si="182"/>
        <v>0</v>
      </c>
      <c r="AR435" s="14"/>
      <c r="AS435" s="178">
        <f t="shared" si="183"/>
        <v>0</v>
      </c>
      <c r="AT435" s="179">
        <f t="shared" si="184"/>
        <v>0</v>
      </c>
      <c r="AU435" s="178">
        <f t="shared" si="185"/>
        <v>0</v>
      </c>
    </row>
    <row r="436" spans="1:47" ht="29.25" customHeight="1" x14ac:dyDescent="0.25">
      <c r="A436" s="76"/>
      <c r="B436" s="148" t="s">
        <v>1805</v>
      </c>
      <c r="C436" s="406" t="s">
        <v>1811</v>
      </c>
      <c r="D436" s="407"/>
      <c r="E436" s="399" t="s">
        <v>1819</v>
      </c>
      <c r="F436" s="401" t="s">
        <v>2300</v>
      </c>
      <c r="G436" s="421" t="str">
        <f>+G413</f>
        <v>İŞVEREN / YÜKLENİCİ</v>
      </c>
      <c r="H436" s="403" t="str">
        <f>+H413</f>
        <v>YÜKLENİCİ</v>
      </c>
      <c r="I436" s="151" t="s">
        <v>1138</v>
      </c>
      <c r="J436" s="152"/>
      <c r="K436" s="153"/>
      <c r="L436" s="153"/>
      <c r="M436" s="153"/>
      <c r="N436" s="153">
        <v>2</v>
      </c>
      <c r="O436" s="153"/>
      <c r="P436" s="153"/>
      <c r="Q436" s="153"/>
      <c r="R436" s="153"/>
      <c r="S436" s="153"/>
      <c r="T436" s="153"/>
      <c r="U436" s="153"/>
      <c r="V436" s="153"/>
      <c r="W436" s="153"/>
      <c r="X436" s="153"/>
      <c r="Y436" s="153"/>
      <c r="Z436" s="153"/>
      <c r="AA436" s="153"/>
      <c r="AB436" s="153"/>
      <c r="AC436" s="153"/>
      <c r="AD436" s="153"/>
      <c r="AE436" s="153"/>
      <c r="AF436" s="153"/>
      <c r="AG436" s="153"/>
      <c r="AH436" s="153"/>
      <c r="AI436" s="153"/>
      <c r="AJ436" s="153"/>
      <c r="AK436" s="153"/>
      <c r="AL436" s="153"/>
      <c r="AM436" s="153"/>
      <c r="AN436" s="154"/>
      <c r="AO436" s="155">
        <f t="shared" si="181"/>
        <v>2</v>
      </c>
      <c r="AP436" s="13"/>
      <c r="AQ436" s="156">
        <f t="shared" ref="AQ436:AQ442" si="190">+AP436*AO436</f>
        <v>0</v>
      </c>
      <c r="AR436" s="13"/>
      <c r="AS436" s="156">
        <f t="shared" ref="AS436:AS442" si="191">+AR436*AO436</f>
        <v>0</v>
      </c>
      <c r="AT436" s="157">
        <f t="shared" ref="AT436:AT442" si="192">+AR436+AP436</f>
        <v>0</v>
      </c>
      <c r="AU436" s="156">
        <f t="shared" ref="AU436:AU442" si="193">+AT436*AO436</f>
        <v>0</v>
      </c>
    </row>
    <row r="437" spans="1:47" ht="29.25" customHeight="1" x14ac:dyDescent="0.25">
      <c r="A437" s="76"/>
      <c r="B437" s="158" t="s">
        <v>1806</v>
      </c>
      <c r="C437" s="411" t="s">
        <v>1812</v>
      </c>
      <c r="D437" s="412"/>
      <c r="E437" s="408"/>
      <c r="F437" s="409"/>
      <c r="G437" s="422"/>
      <c r="H437" s="394"/>
      <c r="I437" s="162" t="s">
        <v>1138</v>
      </c>
      <c r="J437" s="163"/>
      <c r="K437" s="164"/>
      <c r="L437" s="164"/>
      <c r="M437" s="164"/>
      <c r="N437" s="164">
        <v>20</v>
      </c>
      <c r="O437" s="164"/>
      <c r="P437" s="164"/>
      <c r="Q437" s="164"/>
      <c r="R437" s="164"/>
      <c r="S437" s="164"/>
      <c r="T437" s="164"/>
      <c r="U437" s="164"/>
      <c r="V437" s="164"/>
      <c r="W437" s="164"/>
      <c r="X437" s="164"/>
      <c r="Y437" s="164"/>
      <c r="Z437" s="164"/>
      <c r="AA437" s="164"/>
      <c r="AB437" s="164"/>
      <c r="AC437" s="164"/>
      <c r="AD437" s="164"/>
      <c r="AE437" s="164"/>
      <c r="AF437" s="164"/>
      <c r="AG437" s="164"/>
      <c r="AH437" s="164"/>
      <c r="AI437" s="164"/>
      <c r="AJ437" s="164"/>
      <c r="AK437" s="164"/>
      <c r="AL437" s="164"/>
      <c r="AM437" s="164"/>
      <c r="AN437" s="165"/>
      <c r="AO437" s="166">
        <f t="shared" si="181"/>
        <v>20</v>
      </c>
      <c r="AP437" s="12"/>
      <c r="AQ437" s="167">
        <f t="shared" si="190"/>
        <v>0</v>
      </c>
      <c r="AR437" s="12"/>
      <c r="AS437" s="167">
        <f t="shared" si="191"/>
        <v>0</v>
      </c>
      <c r="AT437" s="168">
        <f t="shared" si="192"/>
        <v>0</v>
      </c>
      <c r="AU437" s="167">
        <f t="shared" si="193"/>
        <v>0</v>
      </c>
    </row>
    <row r="438" spans="1:47" ht="29.25" customHeight="1" x14ac:dyDescent="0.25">
      <c r="A438" s="76"/>
      <c r="B438" s="158" t="s">
        <v>1807</v>
      </c>
      <c r="C438" s="411" t="s">
        <v>1813</v>
      </c>
      <c r="D438" s="412"/>
      <c r="E438" s="408"/>
      <c r="F438" s="409"/>
      <c r="G438" s="422"/>
      <c r="H438" s="394"/>
      <c r="I438" s="162" t="s">
        <v>1138</v>
      </c>
      <c r="J438" s="163"/>
      <c r="K438" s="164"/>
      <c r="L438" s="164"/>
      <c r="M438" s="164"/>
      <c r="N438" s="164">
        <v>5</v>
      </c>
      <c r="O438" s="164"/>
      <c r="P438" s="164"/>
      <c r="Q438" s="164"/>
      <c r="R438" s="164"/>
      <c r="S438" s="164"/>
      <c r="T438" s="164"/>
      <c r="U438" s="164"/>
      <c r="V438" s="164"/>
      <c r="W438" s="164"/>
      <c r="X438" s="164"/>
      <c r="Y438" s="164"/>
      <c r="Z438" s="164"/>
      <c r="AA438" s="164"/>
      <c r="AB438" s="164"/>
      <c r="AC438" s="164"/>
      <c r="AD438" s="164"/>
      <c r="AE438" s="164"/>
      <c r="AF438" s="164"/>
      <c r="AG438" s="164"/>
      <c r="AH438" s="164"/>
      <c r="AI438" s="164"/>
      <c r="AJ438" s="164"/>
      <c r="AK438" s="164"/>
      <c r="AL438" s="164"/>
      <c r="AM438" s="164"/>
      <c r="AN438" s="165"/>
      <c r="AO438" s="166">
        <f t="shared" si="181"/>
        <v>5</v>
      </c>
      <c r="AP438" s="12"/>
      <c r="AQ438" s="167">
        <f t="shared" si="190"/>
        <v>0</v>
      </c>
      <c r="AR438" s="12"/>
      <c r="AS438" s="167">
        <f t="shared" si="191"/>
        <v>0</v>
      </c>
      <c r="AT438" s="168">
        <f t="shared" si="192"/>
        <v>0</v>
      </c>
      <c r="AU438" s="167">
        <f t="shared" si="193"/>
        <v>0</v>
      </c>
    </row>
    <row r="439" spans="1:47" ht="29.25" customHeight="1" x14ac:dyDescent="0.25">
      <c r="A439" s="76"/>
      <c r="B439" s="158" t="s">
        <v>1808</v>
      </c>
      <c r="C439" s="411" t="s">
        <v>1814</v>
      </c>
      <c r="D439" s="412"/>
      <c r="E439" s="408"/>
      <c r="F439" s="409"/>
      <c r="G439" s="422"/>
      <c r="H439" s="394"/>
      <c r="I439" s="162" t="s">
        <v>1138</v>
      </c>
      <c r="J439" s="163"/>
      <c r="K439" s="164"/>
      <c r="L439" s="164"/>
      <c r="M439" s="164"/>
      <c r="N439" s="164">
        <v>7</v>
      </c>
      <c r="O439" s="164"/>
      <c r="P439" s="164"/>
      <c r="Q439" s="164"/>
      <c r="R439" s="164"/>
      <c r="S439" s="164"/>
      <c r="T439" s="164"/>
      <c r="U439" s="164"/>
      <c r="V439" s="164"/>
      <c r="W439" s="164"/>
      <c r="X439" s="164"/>
      <c r="Y439" s="164"/>
      <c r="Z439" s="164"/>
      <c r="AA439" s="164"/>
      <c r="AB439" s="164"/>
      <c r="AC439" s="164"/>
      <c r="AD439" s="164"/>
      <c r="AE439" s="164"/>
      <c r="AF439" s="164"/>
      <c r="AG439" s="164"/>
      <c r="AH439" s="164"/>
      <c r="AI439" s="164"/>
      <c r="AJ439" s="164"/>
      <c r="AK439" s="164"/>
      <c r="AL439" s="164"/>
      <c r="AM439" s="164"/>
      <c r="AN439" s="165"/>
      <c r="AO439" s="166">
        <f t="shared" si="181"/>
        <v>7</v>
      </c>
      <c r="AP439" s="12"/>
      <c r="AQ439" s="167">
        <f t="shared" si="190"/>
        <v>0</v>
      </c>
      <c r="AR439" s="12"/>
      <c r="AS439" s="167">
        <f t="shared" si="191"/>
        <v>0</v>
      </c>
      <c r="AT439" s="168">
        <f t="shared" si="192"/>
        <v>0</v>
      </c>
      <c r="AU439" s="167">
        <f t="shared" si="193"/>
        <v>0</v>
      </c>
    </row>
    <row r="440" spans="1:47" ht="29.25" customHeight="1" x14ac:dyDescent="0.25">
      <c r="A440" s="76"/>
      <c r="B440" s="158" t="s">
        <v>1809</v>
      </c>
      <c r="C440" s="411" t="s">
        <v>1815</v>
      </c>
      <c r="D440" s="412"/>
      <c r="E440" s="408"/>
      <c r="F440" s="409"/>
      <c r="G440" s="422"/>
      <c r="H440" s="394"/>
      <c r="I440" s="162" t="s">
        <v>1138</v>
      </c>
      <c r="J440" s="163"/>
      <c r="K440" s="164"/>
      <c r="L440" s="164"/>
      <c r="M440" s="164"/>
      <c r="N440" s="164">
        <v>10</v>
      </c>
      <c r="O440" s="164"/>
      <c r="P440" s="164"/>
      <c r="Q440" s="164"/>
      <c r="R440" s="164"/>
      <c r="S440" s="164"/>
      <c r="T440" s="164"/>
      <c r="U440" s="164"/>
      <c r="V440" s="164"/>
      <c r="W440" s="164"/>
      <c r="X440" s="164"/>
      <c r="Y440" s="164"/>
      <c r="Z440" s="164"/>
      <c r="AA440" s="164"/>
      <c r="AB440" s="164"/>
      <c r="AC440" s="164"/>
      <c r="AD440" s="164"/>
      <c r="AE440" s="164"/>
      <c r="AF440" s="164"/>
      <c r="AG440" s="164"/>
      <c r="AH440" s="164"/>
      <c r="AI440" s="164"/>
      <c r="AJ440" s="164"/>
      <c r="AK440" s="164"/>
      <c r="AL440" s="164"/>
      <c r="AM440" s="164"/>
      <c r="AN440" s="165"/>
      <c r="AO440" s="166">
        <f t="shared" si="181"/>
        <v>10</v>
      </c>
      <c r="AP440" s="12"/>
      <c r="AQ440" s="167">
        <f t="shared" si="190"/>
        <v>0</v>
      </c>
      <c r="AR440" s="12"/>
      <c r="AS440" s="167">
        <f t="shared" si="191"/>
        <v>0</v>
      </c>
      <c r="AT440" s="168">
        <f t="shared" si="192"/>
        <v>0</v>
      </c>
      <c r="AU440" s="167">
        <f t="shared" si="193"/>
        <v>0</v>
      </c>
    </row>
    <row r="441" spans="1:47" ht="29.25" customHeight="1" x14ac:dyDescent="0.25">
      <c r="A441" s="76"/>
      <c r="B441" s="158" t="s">
        <v>1810</v>
      </c>
      <c r="C441" s="199" t="s">
        <v>1816</v>
      </c>
      <c r="D441" s="200"/>
      <c r="E441" s="408"/>
      <c r="F441" s="409"/>
      <c r="G441" s="422"/>
      <c r="H441" s="394"/>
      <c r="I441" s="201" t="s">
        <v>1138</v>
      </c>
      <c r="J441" s="202"/>
      <c r="K441" s="203"/>
      <c r="L441" s="203"/>
      <c r="M441" s="203"/>
      <c r="N441" s="203">
        <v>3</v>
      </c>
      <c r="O441" s="203"/>
      <c r="P441" s="203"/>
      <c r="Q441" s="203"/>
      <c r="R441" s="203"/>
      <c r="S441" s="203"/>
      <c r="T441" s="203"/>
      <c r="U441" s="203"/>
      <c r="V441" s="203"/>
      <c r="W441" s="203"/>
      <c r="X441" s="203"/>
      <c r="Y441" s="203"/>
      <c r="Z441" s="203"/>
      <c r="AA441" s="203"/>
      <c r="AB441" s="203"/>
      <c r="AC441" s="203"/>
      <c r="AD441" s="203"/>
      <c r="AE441" s="203"/>
      <c r="AF441" s="203"/>
      <c r="AG441" s="203"/>
      <c r="AH441" s="203"/>
      <c r="AI441" s="203"/>
      <c r="AJ441" s="203"/>
      <c r="AK441" s="203"/>
      <c r="AL441" s="203"/>
      <c r="AM441" s="203"/>
      <c r="AN441" s="204"/>
      <c r="AO441" s="205">
        <f t="shared" si="181"/>
        <v>3</v>
      </c>
      <c r="AP441" s="12"/>
      <c r="AQ441" s="167">
        <f t="shared" ref="AQ441" si="194">+AP441*AO441</f>
        <v>0</v>
      </c>
      <c r="AR441" s="12"/>
      <c r="AS441" s="167">
        <f t="shared" ref="AS441" si="195">+AR441*AO441</f>
        <v>0</v>
      </c>
      <c r="AT441" s="168">
        <f t="shared" ref="AT441" si="196">+AR441+AP441</f>
        <v>0</v>
      </c>
      <c r="AU441" s="167">
        <f t="shared" ref="AU441" si="197">+AT441*AO441</f>
        <v>0</v>
      </c>
    </row>
    <row r="442" spans="1:47" ht="29.25" customHeight="1" x14ac:dyDescent="0.25">
      <c r="A442" s="76"/>
      <c r="B442" s="169" t="s">
        <v>1818</v>
      </c>
      <c r="C442" s="404" t="s">
        <v>1817</v>
      </c>
      <c r="D442" s="405"/>
      <c r="E442" s="400"/>
      <c r="F442" s="402"/>
      <c r="G442" s="423"/>
      <c r="H442" s="395"/>
      <c r="I442" s="173" t="s">
        <v>1138</v>
      </c>
      <c r="J442" s="174"/>
      <c r="K442" s="175"/>
      <c r="L442" s="175"/>
      <c r="M442" s="175"/>
      <c r="N442" s="175">
        <v>0</v>
      </c>
      <c r="O442" s="175"/>
      <c r="P442" s="175"/>
      <c r="Q442" s="175"/>
      <c r="R442" s="175"/>
      <c r="S442" s="175"/>
      <c r="T442" s="175"/>
      <c r="U442" s="175"/>
      <c r="V442" s="175"/>
      <c r="W442" s="175"/>
      <c r="X442" s="175"/>
      <c r="Y442" s="175"/>
      <c r="Z442" s="175"/>
      <c r="AA442" s="175"/>
      <c r="AB442" s="175"/>
      <c r="AC442" s="175"/>
      <c r="AD442" s="175"/>
      <c r="AE442" s="175"/>
      <c r="AF442" s="175"/>
      <c r="AG442" s="175"/>
      <c r="AH442" s="175"/>
      <c r="AI442" s="175"/>
      <c r="AJ442" s="175"/>
      <c r="AK442" s="175"/>
      <c r="AL442" s="175"/>
      <c r="AM442" s="175"/>
      <c r="AN442" s="176"/>
      <c r="AO442" s="177">
        <f t="shared" si="181"/>
        <v>0</v>
      </c>
      <c r="AP442" s="14"/>
      <c r="AQ442" s="178">
        <f t="shared" si="190"/>
        <v>0</v>
      </c>
      <c r="AR442" s="14"/>
      <c r="AS442" s="178">
        <f t="shared" si="191"/>
        <v>0</v>
      </c>
      <c r="AT442" s="179">
        <f t="shared" si="192"/>
        <v>0</v>
      </c>
      <c r="AU442" s="178">
        <f t="shared" si="193"/>
        <v>0</v>
      </c>
    </row>
    <row r="443" spans="1:47" ht="52.5" customHeight="1" x14ac:dyDescent="0.25">
      <c r="A443" s="140"/>
      <c r="B443" s="37">
        <v>13</v>
      </c>
      <c r="C443" s="270" t="s">
        <v>1820</v>
      </c>
      <c r="D443" s="271"/>
      <c r="E443" s="271"/>
      <c r="F443" s="356"/>
      <c r="G443" s="97"/>
      <c r="H443" s="84"/>
      <c r="I443" s="97"/>
      <c r="J443" s="83"/>
      <c r="K443" s="83"/>
      <c r="L443" s="83"/>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4"/>
      <c r="AP443" s="78"/>
      <c r="AQ443" s="79">
        <f>SUM(AQ444:AQ500)</f>
        <v>0</v>
      </c>
      <c r="AR443" s="78"/>
      <c r="AS443" s="79">
        <f>SUM(AS444:AS500)</f>
        <v>0</v>
      </c>
      <c r="AT443" s="78"/>
      <c r="AU443" s="79">
        <f>SUM(AU444:AU500)</f>
        <v>0</v>
      </c>
    </row>
    <row r="444" spans="1:47" ht="30" customHeight="1" x14ac:dyDescent="0.25">
      <c r="A444" s="76"/>
      <c r="B444" s="148" t="s">
        <v>1821</v>
      </c>
      <c r="C444" s="406" t="s">
        <v>1842</v>
      </c>
      <c r="D444" s="407"/>
      <c r="E444" s="399" t="s">
        <v>1841</v>
      </c>
      <c r="F444" s="401" t="s">
        <v>1862</v>
      </c>
      <c r="G444" s="403" t="s">
        <v>1079</v>
      </c>
      <c r="H444" s="403" t="s">
        <v>1079</v>
      </c>
      <c r="I444" s="151" t="s">
        <v>532</v>
      </c>
      <c r="J444" s="152"/>
      <c r="K444" s="153">
        <v>20</v>
      </c>
      <c r="L444" s="153">
        <v>18</v>
      </c>
      <c r="M444" s="153"/>
      <c r="N444" s="153"/>
      <c r="O444" s="153"/>
      <c r="P444" s="153"/>
      <c r="Q444" s="153"/>
      <c r="R444" s="153"/>
      <c r="S444" s="153"/>
      <c r="T444" s="153"/>
      <c r="U444" s="153"/>
      <c r="V444" s="153"/>
      <c r="W444" s="153"/>
      <c r="X444" s="153"/>
      <c r="Y444" s="153"/>
      <c r="Z444" s="153"/>
      <c r="AA444" s="153"/>
      <c r="AB444" s="153"/>
      <c r="AC444" s="153"/>
      <c r="AD444" s="153"/>
      <c r="AE444" s="153"/>
      <c r="AF444" s="153"/>
      <c r="AG444" s="153"/>
      <c r="AH444" s="153"/>
      <c r="AI444" s="153"/>
      <c r="AJ444" s="153"/>
      <c r="AK444" s="153"/>
      <c r="AL444" s="153"/>
      <c r="AM444" s="153"/>
      <c r="AN444" s="154"/>
      <c r="AO444" s="155">
        <f t="shared" ref="AO444:AO500" si="198">SUM(J444:AN444)</f>
        <v>38</v>
      </c>
      <c r="AP444" s="13"/>
      <c r="AQ444" s="156">
        <f t="shared" ref="AQ444:AQ463" si="199">+AP444*AO444</f>
        <v>0</v>
      </c>
      <c r="AR444" s="13"/>
      <c r="AS444" s="156">
        <f t="shared" ref="AS444:AS463" si="200">+AR444*AO444</f>
        <v>0</v>
      </c>
      <c r="AT444" s="157">
        <f t="shared" ref="AT444:AT463" si="201">+AR444+AP444</f>
        <v>0</v>
      </c>
      <c r="AU444" s="156">
        <f t="shared" ref="AU444:AU463" si="202">+AT444*AO444</f>
        <v>0</v>
      </c>
    </row>
    <row r="445" spans="1:47" ht="30" customHeight="1" x14ac:dyDescent="0.25">
      <c r="A445" s="76"/>
      <c r="B445" s="158" t="s">
        <v>1822</v>
      </c>
      <c r="C445" s="411" t="s">
        <v>1843</v>
      </c>
      <c r="D445" s="412"/>
      <c r="E445" s="408"/>
      <c r="F445" s="409"/>
      <c r="G445" s="394"/>
      <c r="H445" s="394"/>
      <c r="I445" s="162" t="s">
        <v>532</v>
      </c>
      <c r="J445" s="163"/>
      <c r="K445" s="164"/>
      <c r="L445" s="164"/>
      <c r="M445" s="164"/>
      <c r="N445" s="164"/>
      <c r="O445" s="164"/>
      <c r="P445" s="164"/>
      <c r="Q445" s="164"/>
      <c r="R445" s="164"/>
      <c r="S445" s="164"/>
      <c r="T445" s="164"/>
      <c r="U445" s="164"/>
      <c r="V445" s="164"/>
      <c r="W445" s="164"/>
      <c r="X445" s="164"/>
      <c r="Y445" s="164"/>
      <c r="Z445" s="164"/>
      <c r="AA445" s="164"/>
      <c r="AB445" s="164"/>
      <c r="AC445" s="164"/>
      <c r="AD445" s="164"/>
      <c r="AE445" s="164"/>
      <c r="AF445" s="164"/>
      <c r="AG445" s="164"/>
      <c r="AH445" s="164"/>
      <c r="AI445" s="164"/>
      <c r="AJ445" s="164"/>
      <c r="AK445" s="164"/>
      <c r="AL445" s="164"/>
      <c r="AM445" s="164"/>
      <c r="AN445" s="165"/>
      <c r="AO445" s="166">
        <f t="shared" si="198"/>
        <v>0</v>
      </c>
      <c r="AP445" s="12"/>
      <c r="AQ445" s="167">
        <f t="shared" si="199"/>
        <v>0</v>
      </c>
      <c r="AR445" s="12"/>
      <c r="AS445" s="167">
        <f t="shared" si="200"/>
        <v>0</v>
      </c>
      <c r="AT445" s="168">
        <f t="shared" si="201"/>
        <v>0</v>
      </c>
      <c r="AU445" s="167">
        <f t="shared" si="202"/>
        <v>0</v>
      </c>
    </row>
    <row r="446" spans="1:47" ht="30" customHeight="1" x14ac:dyDescent="0.25">
      <c r="A446" s="76"/>
      <c r="B446" s="158" t="s">
        <v>1823</v>
      </c>
      <c r="C446" s="159" t="s">
        <v>1844</v>
      </c>
      <c r="D446" s="195"/>
      <c r="E446" s="408"/>
      <c r="F446" s="409"/>
      <c r="G446" s="394"/>
      <c r="H446" s="394"/>
      <c r="I446" s="162" t="s">
        <v>1138</v>
      </c>
      <c r="J446" s="163"/>
      <c r="K446" s="164">
        <v>35</v>
      </c>
      <c r="L446" s="164">
        <v>35</v>
      </c>
      <c r="M446" s="164"/>
      <c r="N446" s="164"/>
      <c r="O446" s="164"/>
      <c r="P446" s="164"/>
      <c r="Q446" s="164"/>
      <c r="R446" s="164"/>
      <c r="S446" s="164"/>
      <c r="T446" s="164"/>
      <c r="U446" s="164"/>
      <c r="V446" s="164"/>
      <c r="W446" s="164"/>
      <c r="X446" s="164"/>
      <c r="Y446" s="164"/>
      <c r="Z446" s="164"/>
      <c r="AA446" s="164"/>
      <c r="AB446" s="164"/>
      <c r="AC446" s="164"/>
      <c r="AD446" s="164"/>
      <c r="AE446" s="164"/>
      <c r="AF446" s="164"/>
      <c r="AG446" s="164"/>
      <c r="AH446" s="164"/>
      <c r="AI446" s="164"/>
      <c r="AJ446" s="164"/>
      <c r="AK446" s="164"/>
      <c r="AL446" s="164"/>
      <c r="AM446" s="164"/>
      <c r="AN446" s="165"/>
      <c r="AO446" s="166">
        <f t="shared" si="198"/>
        <v>70</v>
      </c>
      <c r="AP446" s="12"/>
      <c r="AQ446" s="167">
        <f t="shared" si="199"/>
        <v>0</v>
      </c>
      <c r="AR446" s="12"/>
      <c r="AS446" s="167">
        <f t="shared" si="200"/>
        <v>0</v>
      </c>
      <c r="AT446" s="168">
        <f t="shared" si="201"/>
        <v>0</v>
      </c>
      <c r="AU446" s="167">
        <f t="shared" si="202"/>
        <v>0</v>
      </c>
    </row>
    <row r="447" spans="1:47" ht="30" customHeight="1" x14ac:dyDescent="0.25">
      <c r="A447" s="76"/>
      <c r="B447" s="158" t="s">
        <v>1824</v>
      </c>
      <c r="C447" s="159" t="s">
        <v>1845</v>
      </c>
      <c r="D447" s="195"/>
      <c r="E447" s="408"/>
      <c r="F447" s="409"/>
      <c r="G447" s="394"/>
      <c r="H447" s="394"/>
      <c r="I447" s="162" t="s">
        <v>1138</v>
      </c>
      <c r="J447" s="163"/>
      <c r="K447" s="164"/>
      <c r="L447" s="164">
        <v>1</v>
      </c>
      <c r="M447" s="164"/>
      <c r="N447" s="164"/>
      <c r="O447" s="164"/>
      <c r="P447" s="164"/>
      <c r="Q447" s="164"/>
      <c r="R447" s="164"/>
      <c r="S447" s="164"/>
      <c r="T447" s="164"/>
      <c r="U447" s="164"/>
      <c r="V447" s="164"/>
      <c r="W447" s="164"/>
      <c r="X447" s="164"/>
      <c r="Y447" s="164"/>
      <c r="Z447" s="164"/>
      <c r="AA447" s="164"/>
      <c r="AB447" s="164"/>
      <c r="AC447" s="164"/>
      <c r="AD447" s="164"/>
      <c r="AE447" s="164"/>
      <c r="AF447" s="164"/>
      <c r="AG447" s="164"/>
      <c r="AH447" s="164"/>
      <c r="AI447" s="164"/>
      <c r="AJ447" s="164"/>
      <c r="AK447" s="164"/>
      <c r="AL447" s="164"/>
      <c r="AM447" s="164"/>
      <c r="AN447" s="165"/>
      <c r="AO447" s="166">
        <f t="shared" si="198"/>
        <v>1</v>
      </c>
      <c r="AP447" s="12"/>
      <c r="AQ447" s="167">
        <f t="shared" si="199"/>
        <v>0</v>
      </c>
      <c r="AR447" s="12"/>
      <c r="AS447" s="167">
        <f t="shared" si="200"/>
        <v>0</v>
      </c>
      <c r="AT447" s="168">
        <f t="shared" si="201"/>
        <v>0</v>
      </c>
      <c r="AU447" s="167">
        <f t="shared" si="202"/>
        <v>0</v>
      </c>
    </row>
    <row r="448" spans="1:47" ht="30" customHeight="1" x14ac:dyDescent="0.25">
      <c r="A448" s="76"/>
      <c r="B448" s="158" t="s">
        <v>1825</v>
      </c>
      <c r="C448" s="159" t="s">
        <v>1846</v>
      </c>
      <c r="D448" s="195"/>
      <c r="E448" s="408"/>
      <c r="F448" s="409"/>
      <c r="G448" s="394"/>
      <c r="H448" s="394"/>
      <c r="I448" s="162" t="s">
        <v>1138</v>
      </c>
      <c r="J448" s="163"/>
      <c r="K448" s="164"/>
      <c r="L448" s="164"/>
      <c r="M448" s="164"/>
      <c r="N448" s="164"/>
      <c r="O448" s="164"/>
      <c r="P448" s="164"/>
      <c r="Q448" s="164"/>
      <c r="R448" s="164"/>
      <c r="S448" s="164"/>
      <c r="T448" s="164"/>
      <c r="U448" s="164"/>
      <c r="V448" s="164"/>
      <c r="W448" s="164"/>
      <c r="X448" s="164"/>
      <c r="Y448" s="164"/>
      <c r="Z448" s="164"/>
      <c r="AA448" s="164"/>
      <c r="AB448" s="164"/>
      <c r="AC448" s="164"/>
      <c r="AD448" s="164"/>
      <c r="AE448" s="164"/>
      <c r="AF448" s="164"/>
      <c r="AG448" s="164"/>
      <c r="AH448" s="164"/>
      <c r="AI448" s="164"/>
      <c r="AJ448" s="164"/>
      <c r="AK448" s="164"/>
      <c r="AL448" s="164"/>
      <c r="AM448" s="164"/>
      <c r="AN448" s="165"/>
      <c r="AO448" s="166">
        <f t="shared" si="198"/>
        <v>0</v>
      </c>
      <c r="AP448" s="12"/>
      <c r="AQ448" s="167">
        <f t="shared" si="199"/>
        <v>0</v>
      </c>
      <c r="AR448" s="12"/>
      <c r="AS448" s="167">
        <f t="shared" si="200"/>
        <v>0</v>
      </c>
      <c r="AT448" s="168">
        <f t="shared" si="201"/>
        <v>0</v>
      </c>
      <c r="AU448" s="167">
        <f t="shared" si="202"/>
        <v>0</v>
      </c>
    </row>
    <row r="449" spans="1:47" ht="30" customHeight="1" x14ac:dyDescent="0.25">
      <c r="A449" s="76"/>
      <c r="B449" s="158" t="s">
        <v>1826</v>
      </c>
      <c r="C449" s="159" t="s">
        <v>1847</v>
      </c>
      <c r="D449" s="195"/>
      <c r="E449" s="408"/>
      <c r="F449" s="409"/>
      <c r="G449" s="394"/>
      <c r="H449" s="394"/>
      <c r="I449" s="162" t="s">
        <v>1138</v>
      </c>
      <c r="J449" s="163"/>
      <c r="K449" s="164">
        <v>1</v>
      </c>
      <c r="L449" s="164"/>
      <c r="M449" s="164"/>
      <c r="N449" s="164"/>
      <c r="O449" s="164"/>
      <c r="P449" s="164"/>
      <c r="Q449" s="164"/>
      <c r="R449" s="164"/>
      <c r="S449" s="164"/>
      <c r="T449" s="164"/>
      <c r="U449" s="164"/>
      <c r="V449" s="164"/>
      <c r="W449" s="164"/>
      <c r="X449" s="164"/>
      <c r="Y449" s="164"/>
      <c r="Z449" s="164"/>
      <c r="AA449" s="164"/>
      <c r="AB449" s="164"/>
      <c r="AC449" s="164"/>
      <c r="AD449" s="164"/>
      <c r="AE449" s="164"/>
      <c r="AF449" s="164"/>
      <c r="AG449" s="164"/>
      <c r="AH449" s="164"/>
      <c r="AI449" s="164"/>
      <c r="AJ449" s="164"/>
      <c r="AK449" s="164"/>
      <c r="AL449" s="164"/>
      <c r="AM449" s="164"/>
      <c r="AN449" s="165"/>
      <c r="AO449" s="166">
        <f t="shared" si="198"/>
        <v>1</v>
      </c>
      <c r="AP449" s="12"/>
      <c r="AQ449" s="167">
        <f t="shared" si="199"/>
        <v>0</v>
      </c>
      <c r="AR449" s="12"/>
      <c r="AS449" s="167">
        <f t="shared" si="200"/>
        <v>0</v>
      </c>
      <c r="AT449" s="168">
        <f t="shared" si="201"/>
        <v>0</v>
      </c>
      <c r="AU449" s="167">
        <f t="shared" si="202"/>
        <v>0</v>
      </c>
    </row>
    <row r="450" spans="1:47" ht="30" customHeight="1" x14ac:dyDescent="0.25">
      <c r="A450" s="76"/>
      <c r="B450" s="158" t="s">
        <v>1827</v>
      </c>
      <c r="C450" s="159" t="s">
        <v>1848</v>
      </c>
      <c r="D450" s="195"/>
      <c r="E450" s="408"/>
      <c r="F450" s="409"/>
      <c r="G450" s="394"/>
      <c r="H450" s="394"/>
      <c r="I450" s="162" t="s">
        <v>1138</v>
      </c>
      <c r="J450" s="163"/>
      <c r="K450" s="164"/>
      <c r="L450" s="164">
        <v>1</v>
      </c>
      <c r="M450" s="164"/>
      <c r="N450" s="164"/>
      <c r="O450" s="164"/>
      <c r="P450" s="164"/>
      <c r="Q450" s="164"/>
      <c r="R450" s="164"/>
      <c r="S450" s="164"/>
      <c r="T450" s="164"/>
      <c r="U450" s="164"/>
      <c r="V450" s="164"/>
      <c r="W450" s="164"/>
      <c r="X450" s="164"/>
      <c r="Y450" s="164"/>
      <c r="Z450" s="164"/>
      <c r="AA450" s="164"/>
      <c r="AB450" s="164"/>
      <c r="AC450" s="164"/>
      <c r="AD450" s="164"/>
      <c r="AE450" s="164"/>
      <c r="AF450" s="164"/>
      <c r="AG450" s="164"/>
      <c r="AH450" s="164"/>
      <c r="AI450" s="164"/>
      <c r="AJ450" s="164"/>
      <c r="AK450" s="164"/>
      <c r="AL450" s="164"/>
      <c r="AM450" s="164"/>
      <c r="AN450" s="165"/>
      <c r="AO450" s="166">
        <f t="shared" si="198"/>
        <v>1</v>
      </c>
      <c r="AP450" s="12"/>
      <c r="AQ450" s="167">
        <f t="shared" si="199"/>
        <v>0</v>
      </c>
      <c r="AR450" s="12"/>
      <c r="AS450" s="167">
        <f t="shared" si="200"/>
        <v>0</v>
      </c>
      <c r="AT450" s="168">
        <f t="shared" si="201"/>
        <v>0</v>
      </c>
      <c r="AU450" s="167">
        <f t="shared" si="202"/>
        <v>0</v>
      </c>
    </row>
    <row r="451" spans="1:47" ht="52.5" customHeight="1" x14ac:dyDescent="0.25">
      <c r="A451" s="76"/>
      <c r="B451" s="158" t="s">
        <v>1828</v>
      </c>
      <c r="C451" s="159" t="s">
        <v>1849</v>
      </c>
      <c r="D451" s="195"/>
      <c r="E451" s="408"/>
      <c r="F451" s="415" t="s">
        <v>1863</v>
      </c>
      <c r="G451" s="394"/>
      <c r="H451" s="394"/>
      <c r="I451" s="162" t="s">
        <v>1138</v>
      </c>
      <c r="J451" s="163">
        <v>100</v>
      </c>
      <c r="K451" s="164">
        <v>80</v>
      </c>
      <c r="L451" s="164">
        <v>450</v>
      </c>
      <c r="M451" s="164"/>
      <c r="N451" s="164"/>
      <c r="O451" s="164"/>
      <c r="P451" s="164"/>
      <c r="Q451" s="164"/>
      <c r="R451" s="164"/>
      <c r="S451" s="164"/>
      <c r="T451" s="164"/>
      <c r="U451" s="164"/>
      <c r="V451" s="164"/>
      <c r="W451" s="164"/>
      <c r="X451" s="164"/>
      <c r="Y451" s="164"/>
      <c r="Z451" s="164"/>
      <c r="AA451" s="164"/>
      <c r="AB451" s="164"/>
      <c r="AC451" s="164"/>
      <c r="AD451" s="164"/>
      <c r="AE451" s="164"/>
      <c r="AF451" s="164"/>
      <c r="AG451" s="164"/>
      <c r="AH451" s="164"/>
      <c r="AI451" s="164"/>
      <c r="AJ451" s="164"/>
      <c r="AK451" s="164"/>
      <c r="AL451" s="164"/>
      <c r="AM451" s="164"/>
      <c r="AN451" s="165"/>
      <c r="AO451" s="166">
        <f t="shared" si="198"/>
        <v>630</v>
      </c>
      <c r="AP451" s="12"/>
      <c r="AQ451" s="167">
        <f t="shared" si="199"/>
        <v>0</v>
      </c>
      <c r="AR451" s="12"/>
      <c r="AS451" s="167">
        <f t="shared" si="200"/>
        <v>0</v>
      </c>
      <c r="AT451" s="168">
        <f t="shared" si="201"/>
        <v>0</v>
      </c>
      <c r="AU451" s="167">
        <f t="shared" si="202"/>
        <v>0</v>
      </c>
    </row>
    <row r="452" spans="1:47" ht="52.5" customHeight="1" x14ac:dyDescent="0.25">
      <c r="A452" s="76"/>
      <c r="B452" s="158" t="s">
        <v>1829</v>
      </c>
      <c r="C452" s="159" t="s">
        <v>1850</v>
      </c>
      <c r="D452" s="195"/>
      <c r="E452" s="408"/>
      <c r="F452" s="409"/>
      <c r="G452" s="394"/>
      <c r="H452" s="394"/>
      <c r="I452" s="162" t="s">
        <v>1138</v>
      </c>
      <c r="J452" s="163">
        <v>10</v>
      </c>
      <c r="K452" s="164">
        <v>10</v>
      </c>
      <c r="L452" s="164">
        <v>30</v>
      </c>
      <c r="M452" s="164"/>
      <c r="N452" s="164"/>
      <c r="O452" s="164"/>
      <c r="P452" s="164"/>
      <c r="Q452" s="164"/>
      <c r="R452" s="164"/>
      <c r="S452" s="164"/>
      <c r="T452" s="164"/>
      <c r="U452" s="164"/>
      <c r="V452" s="164"/>
      <c r="W452" s="164"/>
      <c r="X452" s="164"/>
      <c r="Y452" s="164"/>
      <c r="Z452" s="164"/>
      <c r="AA452" s="164"/>
      <c r="AB452" s="164"/>
      <c r="AC452" s="164"/>
      <c r="AD452" s="164"/>
      <c r="AE452" s="164"/>
      <c r="AF452" s="164"/>
      <c r="AG452" s="164"/>
      <c r="AH452" s="164"/>
      <c r="AI452" s="164"/>
      <c r="AJ452" s="164"/>
      <c r="AK452" s="164"/>
      <c r="AL452" s="164"/>
      <c r="AM452" s="164"/>
      <c r="AN452" s="165"/>
      <c r="AO452" s="166">
        <f t="shared" si="198"/>
        <v>50</v>
      </c>
      <c r="AP452" s="12"/>
      <c r="AQ452" s="167">
        <f t="shared" si="199"/>
        <v>0</v>
      </c>
      <c r="AR452" s="12"/>
      <c r="AS452" s="167">
        <f t="shared" si="200"/>
        <v>0</v>
      </c>
      <c r="AT452" s="168">
        <f t="shared" si="201"/>
        <v>0</v>
      </c>
      <c r="AU452" s="167">
        <f t="shared" si="202"/>
        <v>0</v>
      </c>
    </row>
    <row r="453" spans="1:47" ht="52.5" customHeight="1" x14ac:dyDescent="0.25">
      <c r="A453" s="76"/>
      <c r="B453" s="158" t="s">
        <v>1830</v>
      </c>
      <c r="C453" s="159" t="s">
        <v>1851</v>
      </c>
      <c r="D453" s="195"/>
      <c r="E453" s="408"/>
      <c r="F453" s="409"/>
      <c r="G453" s="394"/>
      <c r="H453" s="394"/>
      <c r="I453" s="162" t="s">
        <v>1138</v>
      </c>
      <c r="J453" s="163"/>
      <c r="K453" s="164"/>
      <c r="L453" s="164"/>
      <c r="M453" s="164"/>
      <c r="N453" s="164"/>
      <c r="O453" s="164"/>
      <c r="P453" s="164"/>
      <c r="Q453" s="164"/>
      <c r="R453" s="164"/>
      <c r="S453" s="164"/>
      <c r="T453" s="164"/>
      <c r="U453" s="164"/>
      <c r="V453" s="164"/>
      <c r="W453" s="164"/>
      <c r="X453" s="164"/>
      <c r="Y453" s="164"/>
      <c r="Z453" s="164"/>
      <c r="AA453" s="164"/>
      <c r="AB453" s="164"/>
      <c r="AC453" s="164"/>
      <c r="AD453" s="164"/>
      <c r="AE453" s="164"/>
      <c r="AF453" s="164"/>
      <c r="AG453" s="164"/>
      <c r="AH453" s="164"/>
      <c r="AI453" s="164"/>
      <c r="AJ453" s="164"/>
      <c r="AK453" s="164"/>
      <c r="AL453" s="164"/>
      <c r="AM453" s="164"/>
      <c r="AN453" s="165"/>
      <c r="AO453" s="166">
        <f t="shared" si="198"/>
        <v>0</v>
      </c>
      <c r="AP453" s="12"/>
      <c r="AQ453" s="167">
        <f t="shared" si="199"/>
        <v>0</v>
      </c>
      <c r="AR453" s="12"/>
      <c r="AS453" s="167">
        <f t="shared" si="200"/>
        <v>0</v>
      </c>
      <c r="AT453" s="168">
        <f t="shared" si="201"/>
        <v>0</v>
      </c>
      <c r="AU453" s="167">
        <f t="shared" si="202"/>
        <v>0</v>
      </c>
    </row>
    <row r="454" spans="1:47" ht="52.5" customHeight="1" x14ac:dyDescent="0.25">
      <c r="A454" s="76"/>
      <c r="B454" s="158" t="s">
        <v>1831</v>
      </c>
      <c r="C454" s="159" t="s">
        <v>1852</v>
      </c>
      <c r="D454" s="195"/>
      <c r="E454" s="408"/>
      <c r="F454" s="409"/>
      <c r="G454" s="394"/>
      <c r="H454" s="394"/>
      <c r="I454" s="162" t="s">
        <v>1138</v>
      </c>
      <c r="J454" s="163">
        <v>5</v>
      </c>
      <c r="K454" s="164">
        <v>5</v>
      </c>
      <c r="L454" s="164">
        <v>10</v>
      </c>
      <c r="M454" s="164"/>
      <c r="N454" s="164"/>
      <c r="O454" s="164"/>
      <c r="P454" s="164"/>
      <c r="Q454" s="164"/>
      <c r="R454" s="164"/>
      <c r="S454" s="164"/>
      <c r="T454" s="164"/>
      <c r="U454" s="164"/>
      <c r="V454" s="164"/>
      <c r="W454" s="164"/>
      <c r="X454" s="164"/>
      <c r="Y454" s="164"/>
      <c r="Z454" s="164"/>
      <c r="AA454" s="164"/>
      <c r="AB454" s="164"/>
      <c r="AC454" s="164"/>
      <c r="AD454" s="164"/>
      <c r="AE454" s="164"/>
      <c r="AF454" s="164"/>
      <c r="AG454" s="164"/>
      <c r="AH454" s="164"/>
      <c r="AI454" s="164"/>
      <c r="AJ454" s="164"/>
      <c r="AK454" s="164"/>
      <c r="AL454" s="164"/>
      <c r="AM454" s="164"/>
      <c r="AN454" s="165"/>
      <c r="AO454" s="166">
        <f t="shared" si="198"/>
        <v>20</v>
      </c>
      <c r="AP454" s="12"/>
      <c r="AQ454" s="167">
        <f t="shared" si="199"/>
        <v>0</v>
      </c>
      <c r="AR454" s="12"/>
      <c r="AS454" s="167">
        <f t="shared" si="200"/>
        <v>0</v>
      </c>
      <c r="AT454" s="168">
        <f t="shared" si="201"/>
        <v>0</v>
      </c>
      <c r="AU454" s="167">
        <f t="shared" si="202"/>
        <v>0</v>
      </c>
    </row>
    <row r="455" spans="1:47" ht="30" customHeight="1" x14ac:dyDescent="0.25">
      <c r="A455" s="76"/>
      <c r="B455" s="158" t="s">
        <v>1832</v>
      </c>
      <c r="C455" s="159" t="s">
        <v>1853</v>
      </c>
      <c r="D455" s="195"/>
      <c r="E455" s="408"/>
      <c r="F455" s="409"/>
      <c r="G455" s="394"/>
      <c r="H455" s="394"/>
      <c r="I455" s="162" t="s">
        <v>532</v>
      </c>
      <c r="J455" s="163">
        <v>40</v>
      </c>
      <c r="K455" s="164">
        <v>50</v>
      </c>
      <c r="L455" s="164">
        <v>50</v>
      </c>
      <c r="M455" s="164"/>
      <c r="N455" s="164"/>
      <c r="O455" s="164"/>
      <c r="P455" s="164"/>
      <c r="Q455" s="164"/>
      <c r="R455" s="164"/>
      <c r="S455" s="164"/>
      <c r="T455" s="164"/>
      <c r="U455" s="164"/>
      <c r="V455" s="164"/>
      <c r="W455" s="164"/>
      <c r="X455" s="164"/>
      <c r="Y455" s="164"/>
      <c r="Z455" s="164"/>
      <c r="AA455" s="164"/>
      <c r="AB455" s="164"/>
      <c r="AC455" s="164"/>
      <c r="AD455" s="164"/>
      <c r="AE455" s="164"/>
      <c r="AF455" s="164"/>
      <c r="AG455" s="164"/>
      <c r="AH455" s="164"/>
      <c r="AI455" s="164"/>
      <c r="AJ455" s="164"/>
      <c r="AK455" s="164"/>
      <c r="AL455" s="164"/>
      <c r="AM455" s="164"/>
      <c r="AN455" s="165"/>
      <c r="AO455" s="166">
        <f t="shared" si="198"/>
        <v>140</v>
      </c>
      <c r="AP455" s="12"/>
      <c r="AQ455" s="167">
        <f t="shared" si="199"/>
        <v>0</v>
      </c>
      <c r="AR455" s="12"/>
      <c r="AS455" s="167">
        <f t="shared" si="200"/>
        <v>0</v>
      </c>
      <c r="AT455" s="168">
        <f t="shared" si="201"/>
        <v>0</v>
      </c>
      <c r="AU455" s="167">
        <f t="shared" si="202"/>
        <v>0</v>
      </c>
    </row>
    <row r="456" spans="1:47" ht="30" customHeight="1" x14ac:dyDescent="0.25">
      <c r="A456" s="76"/>
      <c r="B456" s="158" t="s">
        <v>1833</v>
      </c>
      <c r="C456" s="159" t="s">
        <v>1854</v>
      </c>
      <c r="D456" s="195"/>
      <c r="E456" s="408"/>
      <c r="F456" s="409"/>
      <c r="G456" s="394"/>
      <c r="H456" s="394"/>
      <c r="I456" s="162" t="s">
        <v>532</v>
      </c>
      <c r="J456" s="163"/>
      <c r="K456" s="164"/>
      <c r="L456" s="164"/>
      <c r="M456" s="164"/>
      <c r="N456" s="164"/>
      <c r="O456" s="164"/>
      <c r="P456" s="164"/>
      <c r="Q456" s="164"/>
      <c r="R456" s="164"/>
      <c r="S456" s="164"/>
      <c r="T456" s="164"/>
      <c r="U456" s="164"/>
      <c r="V456" s="164"/>
      <c r="W456" s="164"/>
      <c r="X456" s="164"/>
      <c r="Y456" s="164"/>
      <c r="Z456" s="164"/>
      <c r="AA456" s="164"/>
      <c r="AB456" s="164"/>
      <c r="AC456" s="164"/>
      <c r="AD456" s="164"/>
      <c r="AE456" s="164"/>
      <c r="AF456" s="164"/>
      <c r="AG456" s="164"/>
      <c r="AH456" s="164"/>
      <c r="AI456" s="164"/>
      <c r="AJ456" s="164"/>
      <c r="AK456" s="164"/>
      <c r="AL456" s="164"/>
      <c r="AM456" s="164"/>
      <c r="AN456" s="165"/>
      <c r="AO456" s="166">
        <f t="shared" si="198"/>
        <v>0</v>
      </c>
      <c r="AP456" s="12"/>
      <c r="AQ456" s="167">
        <f t="shared" si="199"/>
        <v>0</v>
      </c>
      <c r="AR456" s="12"/>
      <c r="AS456" s="167">
        <f t="shared" si="200"/>
        <v>0</v>
      </c>
      <c r="AT456" s="168">
        <f t="shared" si="201"/>
        <v>0</v>
      </c>
      <c r="AU456" s="167">
        <f t="shared" si="202"/>
        <v>0</v>
      </c>
    </row>
    <row r="457" spans="1:47" ht="30" customHeight="1" x14ac:dyDescent="0.25">
      <c r="A457" s="76"/>
      <c r="B457" s="158" t="s">
        <v>1834</v>
      </c>
      <c r="C457" s="159" t="s">
        <v>1855</v>
      </c>
      <c r="D457" s="195"/>
      <c r="E457" s="408"/>
      <c r="F457" s="409"/>
      <c r="G457" s="394"/>
      <c r="H457" s="394"/>
      <c r="I457" s="162" t="s">
        <v>532</v>
      </c>
      <c r="J457" s="163"/>
      <c r="K457" s="164"/>
      <c r="L457" s="164"/>
      <c r="M457" s="164"/>
      <c r="N457" s="164"/>
      <c r="O457" s="164"/>
      <c r="P457" s="164"/>
      <c r="Q457" s="164"/>
      <c r="R457" s="164"/>
      <c r="S457" s="164"/>
      <c r="T457" s="164"/>
      <c r="U457" s="164"/>
      <c r="V457" s="164"/>
      <c r="W457" s="164"/>
      <c r="X457" s="164"/>
      <c r="Y457" s="164"/>
      <c r="Z457" s="164"/>
      <c r="AA457" s="164"/>
      <c r="AB457" s="164"/>
      <c r="AC457" s="164"/>
      <c r="AD457" s="164"/>
      <c r="AE457" s="164"/>
      <c r="AF457" s="164"/>
      <c r="AG457" s="164"/>
      <c r="AH457" s="164"/>
      <c r="AI457" s="164"/>
      <c r="AJ457" s="164"/>
      <c r="AK457" s="164"/>
      <c r="AL457" s="164"/>
      <c r="AM457" s="164"/>
      <c r="AN457" s="165"/>
      <c r="AO457" s="166">
        <f t="shared" si="198"/>
        <v>0</v>
      </c>
      <c r="AP457" s="12"/>
      <c r="AQ457" s="167">
        <f t="shared" si="199"/>
        <v>0</v>
      </c>
      <c r="AR457" s="12"/>
      <c r="AS457" s="167">
        <f t="shared" si="200"/>
        <v>0</v>
      </c>
      <c r="AT457" s="168">
        <f t="shared" si="201"/>
        <v>0</v>
      </c>
      <c r="AU457" s="167">
        <f t="shared" si="202"/>
        <v>0</v>
      </c>
    </row>
    <row r="458" spans="1:47" ht="30" customHeight="1" x14ac:dyDescent="0.25">
      <c r="A458" s="76"/>
      <c r="B458" s="158" t="s">
        <v>1835</v>
      </c>
      <c r="C458" s="159" t="s">
        <v>1856</v>
      </c>
      <c r="D458" s="195"/>
      <c r="E458" s="408"/>
      <c r="F458" s="410"/>
      <c r="G458" s="394"/>
      <c r="H458" s="394"/>
      <c r="I458" s="162" t="s">
        <v>532</v>
      </c>
      <c r="J458" s="163"/>
      <c r="K458" s="164"/>
      <c r="L458" s="164"/>
      <c r="M458" s="164"/>
      <c r="N458" s="164"/>
      <c r="O458" s="164"/>
      <c r="P458" s="164"/>
      <c r="Q458" s="164"/>
      <c r="R458" s="164"/>
      <c r="S458" s="164"/>
      <c r="T458" s="164"/>
      <c r="U458" s="164"/>
      <c r="V458" s="164"/>
      <c r="W458" s="164"/>
      <c r="X458" s="164"/>
      <c r="Y458" s="164"/>
      <c r="Z458" s="164"/>
      <c r="AA458" s="164"/>
      <c r="AB458" s="164"/>
      <c r="AC458" s="164"/>
      <c r="AD458" s="164"/>
      <c r="AE458" s="164"/>
      <c r="AF458" s="164"/>
      <c r="AG458" s="164"/>
      <c r="AH458" s="164"/>
      <c r="AI458" s="164"/>
      <c r="AJ458" s="164"/>
      <c r="AK458" s="164"/>
      <c r="AL458" s="164"/>
      <c r="AM458" s="164"/>
      <c r="AN458" s="165"/>
      <c r="AO458" s="166">
        <f t="shared" si="198"/>
        <v>0</v>
      </c>
      <c r="AP458" s="12"/>
      <c r="AQ458" s="167">
        <f t="shared" si="199"/>
        <v>0</v>
      </c>
      <c r="AR458" s="12"/>
      <c r="AS458" s="167">
        <f t="shared" si="200"/>
        <v>0</v>
      </c>
      <c r="AT458" s="168">
        <f t="shared" si="201"/>
        <v>0</v>
      </c>
      <c r="AU458" s="167">
        <f t="shared" si="202"/>
        <v>0</v>
      </c>
    </row>
    <row r="459" spans="1:47" ht="30" customHeight="1" x14ac:dyDescent="0.25">
      <c r="A459" s="76"/>
      <c r="B459" s="158" t="s">
        <v>1836</v>
      </c>
      <c r="C459" s="159" t="s">
        <v>1857</v>
      </c>
      <c r="D459" s="195"/>
      <c r="E459" s="408"/>
      <c r="F459" s="206"/>
      <c r="G459" s="394"/>
      <c r="H459" s="394"/>
      <c r="I459" s="162" t="s">
        <v>532</v>
      </c>
      <c r="J459" s="163"/>
      <c r="K459" s="164">
        <v>35</v>
      </c>
      <c r="L459" s="164">
        <v>30</v>
      </c>
      <c r="M459" s="164"/>
      <c r="N459" s="164"/>
      <c r="O459" s="164"/>
      <c r="P459" s="164"/>
      <c r="Q459" s="164"/>
      <c r="R459" s="164"/>
      <c r="S459" s="164"/>
      <c r="T459" s="164"/>
      <c r="U459" s="164"/>
      <c r="V459" s="164"/>
      <c r="W459" s="164"/>
      <c r="X459" s="164"/>
      <c r="Y459" s="164"/>
      <c r="Z459" s="164"/>
      <c r="AA459" s="164"/>
      <c r="AB459" s="164"/>
      <c r="AC459" s="164"/>
      <c r="AD459" s="164"/>
      <c r="AE459" s="164"/>
      <c r="AF459" s="164"/>
      <c r="AG459" s="164"/>
      <c r="AH459" s="164"/>
      <c r="AI459" s="164"/>
      <c r="AJ459" s="164"/>
      <c r="AK459" s="164"/>
      <c r="AL459" s="164"/>
      <c r="AM459" s="164"/>
      <c r="AN459" s="165"/>
      <c r="AO459" s="166">
        <f t="shared" si="198"/>
        <v>65</v>
      </c>
      <c r="AP459" s="12"/>
      <c r="AQ459" s="167">
        <f t="shared" si="199"/>
        <v>0</v>
      </c>
      <c r="AR459" s="12"/>
      <c r="AS459" s="167">
        <f t="shared" si="200"/>
        <v>0</v>
      </c>
      <c r="AT459" s="168">
        <f t="shared" si="201"/>
        <v>0</v>
      </c>
      <c r="AU459" s="167">
        <f t="shared" si="202"/>
        <v>0</v>
      </c>
    </row>
    <row r="460" spans="1:47" ht="30" customHeight="1" x14ac:dyDescent="0.25">
      <c r="A460" s="76"/>
      <c r="B460" s="158" t="s">
        <v>1837</v>
      </c>
      <c r="C460" s="159" t="s">
        <v>1858</v>
      </c>
      <c r="D460" s="195"/>
      <c r="E460" s="408"/>
      <c r="F460" s="161"/>
      <c r="G460" s="394"/>
      <c r="H460" s="394"/>
      <c r="I460" s="162" t="s">
        <v>532</v>
      </c>
      <c r="J460" s="163"/>
      <c r="K460" s="164"/>
      <c r="L460" s="164"/>
      <c r="M460" s="164"/>
      <c r="N460" s="164"/>
      <c r="O460" s="164"/>
      <c r="P460" s="164"/>
      <c r="Q460" s="164"/>
      <c r="R460" s="164"/>
      <c r="S460" s="164"/>
      <c r="T460" s="164"/>
      <c r="U460" s="164"/>
      <c r="V460" s="164"/>
      <c r="W460" s="164"/>
      <c r="X460" s="164"/>
      <c r="Y460" s="164"/>
      <c r="Z460" s="164"/>
      <c r="AA460" s="164"/>
      <c r="AB460" s="164"/>
      <c r="AC460" s="164"/>
      <c r="AD460" s="164"/>
      <c r="AE460" s="164"/>
      <c r="AF460" s="164"/>
      <c r="AG460" s="164"/>
      <c r="AH460" s="164"/>
      <c r="AI460" s="164"/>
      <c r="AJ460" s="164"/>
      <c r="AK460" s="164"/>
      <c r="AL460" s="164"/>
      <c r="AM460" s="164"/>
      <c r="AN460" s="165"/>
      <c r="AO460" s="166">
        <f t="shared" si="198"/>
        <v>0</v>
      </c>
      <c r="AP460" s="12"/>
      <c r="AQ460" s="167">
        <f t="shared" si="199"/>
        <v>0</v>
      </c>
      <c r="AR460" s="12"/>
      <c r="AS460" s="167">
        <f t="shared" si="200"/>
        <v>0</v>
      </c>
      <c r="AT460" s="168">
        <f t="shared" si="201"/>
        <v>0</v>
      </c>
      <c r="AU460" s="167">
        <f t="shared" si="202"/>
        <v>0</v>
      </c>
    </row>
    <row r="461" spans="1:47" ht="30" customHeight="1" x14ac:dyDescent="0.25">
      <c r="A461" s="76"/>
      <c r="B461" s="158" t="s">
        <v>1838</v>
      </c>
      <c r="C461" s="159" t="s">
        <v>1859</v>
      </c>
      <c r="D461" s="195"/>
      <c r="E461" s="408"/>
      <c r="F461" s="415" t="s">
        <v>1862</v>
      </c>
      <c r="G461" s="394"/>
      <c r="H461" s="394"/>
      <c r="I461" s="162" t="s">
        <v>532</v>
      </c>
      <c r="J461" s="163">
        <v>105</v>
      </c>
      <c r="K461" s="164">
        <v>95</v>
      </c>
      <c r="L461" s="164">
        <v>350</v>
      </c>
      <c r="M461" s="164"/>
      <c r="N461" s="164"/>
      <c r="O461" s="164"/>
      <c r="P461" s="164"/>
      <c r="Q461" s="164"/>
      <c r="R461" s="164"/>
      <c r="S461" s="164"/>
      <c r="T461" s="164"/>
      <c r="U461" s="164"/>
      <c r="V461" s="164"/>
      <c r="W461" s="164"/>
      <c r="X461" s="164"/>
      <c r="Y461" s="164"/>
      <c r="Z461" s="164"/>
      <c r="AA461" s="164"/>
      <c r="AB461" s="164"/>
      <c r="AC461" s="164"/>
      <c r="AD461" s="164"/>
      <c r="AE461" s="164"/>
      <c r="AF461" s="164"/>
      <c r="AG461" s="164"/>
      <c r="AH461" s="164"/>
      <c r="AI461" s="164"/>
      <c r="AJ461" s="164"/>
      <c r="AK461" s="164"/>
      <c r="AL461" s="164"/>
      <c r="AM461" s="164"/>
      <c r="AN461" s="165"/>
      <c r="AO461" s="166">
        <f t="shared" si="198"/>
        <v>550</v>
      </c>
      <c r="AP461" s="12"/>
      <c r="AQ461" s="167">
        <f t="shared" si="199"/>
        <v>0</v>
      </c>
      <c r="AR461" s="12"/>
      <c r="AS461" s="167">
        <f t="shared" si="200"/>
        <v>0</v>
      </c>
      <c r="AT461" s="168">
        <f t="shared" si="201"/>
        <v>0</v>
      </c>
      <c r="AU461" s="167">
        <f t="shared" si="202"/>
        <v>0</v>
      </c>
    </row>
    <row r="462" spans="1:47" ht="30" customHeight="1" x14ac:dyDescent="0.25">
      <c r="A462" s="76"/>
      <c r="B462" s="158" t="s">
        <v>1839</v>
      </c>
      <c r="C462" s="159" t="s">
        <v>1860</v>
      </c>
      <c r="D462" s="195"/>
      <c r="E462" s="408"/>
      <c r="F462" s="409"/>
      <c r="G462" s="394"/>
      <c r="H462" s="394"/>
      <c r="I462" s="162" t="s">
        <v>532</v>
      </c>
      <c r="J462" s="163"/>
      <c r="K462" s="164"/>
      <c r="L462" s="164"/>
      <c r="M462" s="164"/>
      <c r="N462" s="164"/>
      <c r="O462" s="164"/>
      <c r="P462" s="164"/>
      <c r="Q462" s="164"/>
      <c r="R462" s="164"/>
      <c r="S462" s="164"/>
      <c r="T462" s="164"/>
      <c r="U462" s="164"/>
      <c r="V462" s="164"/>
      <c r="W462" s="164"/>
      <c r="X462" s="164"/>
      <c r="Y462" s="164"/>
      <c r="Z462" s="164"/>
      <c r="AA462" s="164"/>
      <c r="AB462" s="164"/>
      <c r="AC462" s="164"/>
      <c r="AD462" s="164"/>
      <c r="AE462" s="164"/>
      <c r="AF462" s="164"/>
      <c r="AG462" s="164"/>
      <c r="AH462" s="164"/>
      <c r="AI462" s="164"/>
      <c r="AJ462" s="164"/>
      <c r="AK462" s="164"/>
      <c r="AL462" s="164"/>
      <c r="AM462" s="164"/>
      <c r="AN462" s="165"/>
      <c r="AO462" s="166">
        <f t="shared" si="198"/>
        <v>0</v>
      </c>
      <c r="AP462" s="12"/>
      <c r="AQ462" s="167">
        <f t="shared" si="199"/>
        <v>0</v>
      </c>
      <c r="AR462" s="12"/>
      <c r="AS462" s="167">
        <f t="shared" si="200"/>
        <v>0</v>
      </c>
      <c r="AT462" s="168">
        <f t="shared" si="201"/>
        <v>0</v>
      </c>
      <c r="AU462" s="167">
        <f t="shared" si="202"/>
        <v>0</v>
      </c>
    </row>
    <row r="463" spans="1:47" ht="30" customHeight="1" x14ac:dyDescent="0.25">
      <c r="A463" s="76"/>
      <c r="B463" s="169" t="s">
        <v>1840</v>
      </c>
      <c r="C463" s="404" t="s">
        <v>1861</v>
      </c>
      <c r="D463" s="405"/>
      <c r="E463" s="400"/>
      <c r="F463" s="402"/>
      <c r="G463" s="395"/>
      <c r="H463" s="395"/>
      <c r="I463" s="173" t="s">
        <v>532</v>
      </c>
      <c r="J463" s="174"/>
      <c r="K463" s="175"/>
      <c r="L463" s="175"/>
      <c r="M463" s="175"/>
      <c r="N463" s="175"/>
      <c r="O463" s="175"/>
      <c r="P463" s="175"/>
      <c r="Q463" s="175"/>
      <c r="R463" s="175"/>
      <c r="S463" s="175"/>
      <c r="T463" s="175"/>
      <c r="U463" s="175"/>
      <c r="V463" s="175"/>
      <c r="W463" s="175"/>
      <c r="X463" s="175"/>
      <c r="Y463" s="175"/>
      <c r="Z463" s="175"/>
      <c r="AA463" s="175"/>
      <c r="AB463" s="175"/>
      <c r="AC463" s="175"/>
      <c r="AD463" s="175"/>
      <c r="AE463" s="175"/>
      <c r="AF463" s="175"/>
      <c r="AG463" s="175"/>
      <c r="AH463" s="175"/>
      <c r="AI463" s="175"/>
      <c r="AJ463" s="175"/>
      <c r="AK463" s="175"/>
      <c r="AL463" s="175"/>
      <c r="AM463" s="175"/>
      <c r="AN463" s="176"/>
      <c r="AO463" s="177">
        <f t="shared" si="198"/>
        <v>0</v>
      </c>
      <c r="AP463" s="14"/>
      <c r="AQ463" s="178">
        <f t="shared" si="199"/>
        <v>0</v>
      </c>
      <c r="AR463" s="14"/>
      <c r="AS463" s="178">
        <f t="shared" si="200"/>
        <v>0</v>
      </c>
      <c r="AT463" s="179">
        <f t="shared" si="201"/>
        <v>0</v>
      </c>
      <c r="AU463" s="178">
        <f t="shared" si="202"/>
        <v>0</v>
      </c>
    </row>
    <row r="464" spans="1:47" ht="30" customHeight="1" x14ac:dyDescent="0.25">
      <c r="A464" s="76"/>
      <c r="B464" s="148" t="s">
        <v>1864</v>
      </c>
      <c r="C464" s="406" t="s">
        <v>1872</v>
      </c>
      <c r="D464" s="407"/>
      <c r="E464" s="399" t="s">
        <v>1880</v>
      </c>
      <c r="F464" s="401"/>
      <c r="G464" s="403" t="s">
        <v>1079</v>
      </c>
      <c r="H464" s="403" t="s">
        <v>1079</v>
      </c>
      <c r="I464" s="151" t="s">
        <v>1138</v>
      </c>
      <c r="J464" s="152"/>
      <c r="K464" s="153"/>
      <c r="L464" s="153">
        <v>21</v>
      </c>
      <c r="M464" s="153"/>
      <c r="N464" s="153"/>
      <c r="O464" s="153"/>
      <c r="P464" s="153"/>
      <c r="Q464" s="153"/>
      <c r="R464" s="153"/>
      <c r="S464" s="153"/>
      <c r="T464" s="153"/>
      <c r="U464" s="153"/>
      <c r="V464" s="153"/>
      <c r="W464" s="153"/>
      <c r="X464" s="153"/>
      <c r="Y464" s="153"/>
      <c r="Z464" s="153"/>
      <c r="AA464" s="153"/>
      <c r="AB464" s="153"/>
      <c r="AC464" s="153"/>
      <c r="AD464" s="153"/>
      <c r="AE464" s="153"/>
      <c r="AF464" s="153"/>
      <c r="AG464" s="153"/>
      <c r="AH464" s="153"/>
      <c r="AI464" s="153"/>
      <c r="AJ464" s="153"/>
      <c r="AK464" s="153"/>
      <c r="AL464" s="153"/>
      <c r="AM464" s="153"/>
      <c r="AN464" s="154"/>
      <c r="AO464" s="155">
        <f t="shared" si="198"/>
        <v>21</v>
      </c>
      <c r="AP464" s="13"/>
      <c r="AQ464" s="156">
        <f t="shared" ref="AQ464:AQ471" si="203">+AP464*AO464</f>
        <v>0</v>
      </c>
      <c r="AR464" s="13"/>
      <c r="AS464" s="156">
        <f t="shared" ref="AS464:AS471" si="204">+AR464*AO464</f>
        <v>0</v>
      </c>
      <c r="AT464" s="157">
        <f t="shared" ref="AT464:AT471" si="205">+AR464+AP464</f>
        <v>0</v>
      </c>
      <c r="AU464" s="156">
        <f t="shared" ref="AU464:AU471" si="206">+AT464*AO464</f>
        <v>0</v>
      </c>
    </row>
    <row r="465" spans="1:47" ht="30" customHeight="1" x14ac:dyDescent="0.25">
      <c r="A465" s="76"/>
      <c r="B465" s="158" t="s">
        <v>1865</v>
      </c>
      <c r="C465" s="411" t="s">
        <v>1873</v>
      </c>
      <c r="D465" s="412"/>
      <c r="E465" s="408"/>
      <c r="F465" s="409"/>
      <c r="G465" s="394"/>
      <c r="H465" s="394"/>
      <c r="I465" s="162" t="s">
        <v>1138</v>
      </c>
      <c r="J465" s="163"/>
      <c r="K465" s="164"/>
      <c r="L465" s="164">
        <v>8</v>
      </c>
      <c r="M465" s="164"/>
      <c r="N465" s="164"/>
      <c r="O465" s="164"/>
      <c r="P465" s="164"/>
      <c r="Q465" s="164"/>
      <c r="R465" s="164"/>
      <c r="S465" s="164"/>
      <c r="T465" s="164"/>
      <c r="U465" s="164"/>
      <c r="V465" s="164"/>
      <c r="W465" s="164"/>
      <c r="X465" s="164"/>
      <c r="Y465" s="164"/>
      <c r="Z465" s="164"/>
      <c r="AA465" s="164"/>
      <c r="AB465" s="164"/>
      <c r="AC465" s="164"/>
      <c r="AD465" s="164"/>
      <c r="AE465" s="164"/>
      <c r="AF465" s="164"/>
      <c r="AG465" s="164"/>
      <c r="AH465" s="164"/>
      <c r="AI465" s="164"/>
      <c r="AJ465" s="164"/>
      <c r="AK465" s="164"/>
      <c r="AL465" s="164"/>
      <c r="AM465" s="164"/>
      <c r="AN465" s="165"/>
      <c r="AO465" s="166">
        <f t="shared" si="198"/>
        <v>8</v>
      </c>
      <c r="AP465" s="12"/>
      <c r="AQ465" s="167">
        <f t="shared" si="203"/>
        <v>0</v>
      </c>
      <c r="AR465" s="12"/>
      <c r="AS465" s="167">
        <f t="shared" si="204"/>
        <v>0</v>
      </c>
      <c r="AT465" s="168">
        <f t="shared" si="205"/>
        <v>0</v>
      </c>
      <c r="AU465" s="167">
        <f t="shared" si="206"/>
        <v>0</v>
      </c>
    </row>
    <row r="466" spans="1:47" ht="30" customHeight="1" x14ac:dyDescent="0.25">
      <c r="A466" s="76"/>
      <c r="B466" s="158" t="s">
        <v>1866</v>
      </c>
      <c r="C466" s="411" t="s">
        <v>1874</v>
      </c>
      <c r="D466" s="412"/>
      <c r="E466" s="408"/>
      <c r="F466" s="409"/>
      <c r="G466" s="394"/>
      <c r="H466" s="394"/>
      <c r="I466" s="162" t="s">
        <v>532</v>
      </c>
      <c r="J466" s="163"/>
      <c r="K466" s="164"/>
      <c r="L466" s="164">
        <v>766</v>
      </c>
      <c r="M466" s="164"/>
      <c r="N466" s="164"/>
      <c r="O466" s="164"/>
      <c r="P466" s="164"/>
      <c r="Q466" s="164"/>
      <c r="R466" s="164"/>
      <c r="S466" s="164"/>
      <c r="T466" s="164"/>
      <c r="U466" s="164"/>
      <c r="V466" s="164"/>
      <c r="W466" s="164"/>
      <c r="X466" s="164"/>
      <c r="Y466" s="164"/>
      <c r="Z466" s="164"/>
      <c r="AA466" s="164"/>
      <c r="AB466" s="164"/>
      <c r="AC466" s="164"/>
      <c r="AD466" s="164"/>
      <c r="AE466" s="164"/>
      <c r="AF466" s="164"/>
      <c r="AG466" s="164"/>
      <c r="AH466" s="164"/>
      <c r="AI466" s="164"/>
      <c r="AJ466" s="164"/>
      <c r="AK466" s="164"/>
      <c r="AL466" s="164"/>
      <c r="AM466" s="164"/>
      <c r="AN466" s="165"/>
      <c r="AO466" s="166">
        <f t="shared" si="198"/>
        <v>766</v>
      </c>
      <c r="AP466" s="12"/>
      <c r="AQ466" s="167">
        <f t="shared" si="203"/>
        <v>0</v>
      </c>
      <c r="AR466" s="12"/>
      <c r="AS466" s="167">
        <f t="shared" si="204"/>
        <v>0</v>
      </c>
      <c r="AT466" s="168">
        <f t="shared" si="205"/>
        <v>0</v>
      </c>
      <c r="AU466" s="167">
        <f t="shared" si="206"/>
        <v>0</v>
      </c>
    </row>
    <row r="467" spans="1:47" ht="30" customHeight="1" x14ac:dyDescent="0.25">
      <c r="A467" s="76"/>
      <c r="B467" s="158" t="s">
        <v>1867</v>
      </c>
      <c r="C467" s="411" t="s">
        <v>1875</v>
      </c>
      <c r="D467" s="412"/>
      <c r="E467" s="408"/>
      <c r="F467" s="409"/>
      <c r="G467" s="394"/>
      <c r="H467" s="394"/>
      <c r="I467" s="162" t="s">
        <v>1138</v>
      </c>
      <c r="J467" s="163"/>
      <c r="K467" s="164"/>
      <c r="L467" s="164">
        <v>20</v>
      </c>
      <c r="M467" s="164"/>
      <c r="N467" s="164"/>
      <c r="O467" s="164"/>
      <c r="P467" s="164"/>
      <c r="Q467" s="164"/>
      <c r="R467" s="164"/>
      <c r="S467" s="164"/>
      <c r="T467" s="164"/>
      <c r="U467" s="164"/>
      <c r="V467" s="164"/>
      <c r="W467" s="164"/>
      <c r="X467" s="164"/>
      <c r="Y467" s="164"/>
      <c r="Z467" s="164"/>
      <c r="AA467" s="164"/>
      <c r="AB467" s="164"/>
      <c r="AC467" s="164"/>
      <c r="AD467" s="164"/>
      <c r="AE467" s="164"/>
      <c r="AF467" s="164"/>
      <c r="AG467" s="164"/>
      <c r="AH467" s="164"/>
      <c r="AI467" s="164"/>
      <c r="AJ467" s="164"/>
      <c r="AK467" s="164"/>
      <c r="AL467" s="164"/>
      <c r="AM467" s="164"/>
      <c r="AN467" s="165"/>
      <c r="AO467" s="166">
        <f t="shared" si="198"/>
        <v>20</v>
      </c>
      <c r="AP467" s="12"/>
      <c r="AQ467" s="167">
        <f t="shared" si="203"/>
        <v>0</v>
      </c>
      <c r="AR467" s="12"/>
      <c r="AS467" s="167">
        <f t="shared" si="204"/>
        <v>0</v>
      </c>
      <c r="AT467" s="168">
        <f t="shared" si="205"/>
        <v>0</v>
      </c>
      <c r="AU467" s="167">
        <f t="shared" si="206"/>
        <v>0</v>
      </c>
    </row>
    <row r="468" spans="1:47" ht="30" customHeight="1" x14ac:dyDescent="0.25">
      <c r="A468" s="76"/>
      <c r="B468" s="158" t="s">
        <v>1868</v>
      </c>
      <c r="C468" s="411" t="s">
        <v>1876</v>
      </c>
      <c r="D468" s="412"/>
      <c r="E468" s="408"/>
      <c r="F468" s="409"/>
      <c r="G468" s="394"/>
      <c r="H468" s="394"/>
      <c r="I468" s="162" t="s">
        <v>1138</v>
      </c>
      <c r="J468" s="163"/>
      <c r="K468" s="164"/>
      <c r="L468" s="164">
        <v>300</v>
      </c>
      <c r="M468" s="164"/>
      <c r="N468" s="164"/>
      <c r="O468" s="164"/>
      <c r="P468" s="164"/>
      <c r="Q468" s="164"/>
      <c r="R468" s="164"/>
      <c r="S468" s="164"/>
      <c r="T468" s="164"/>
      <c r="U468" s="164"/>
      <c r="V468" s="164"/>
      <c r="W468" s="164"/>
      <c r="X468" s="164"/>
      <c r="Y468" s="164"/>
      <c r="Z468" s="164"/>
      <c r="AA468" s="164"/>
      <c r="AB468" s="164"/>
      <c r="AC468" s="164"/>
      <c r="AD468" s="164"/>
      <c r="AE468" s="164"/>
      <c r="AF468" s="164"/>
      <c r="AG468" s="164"/>
      <c r="AH468" s="164"/>
      <c r="AI468" s="164"/>
      <c r="AJ468" s="164"/>
      <c r="AK468" s="164"/>
      <c r="AL468" s="164"/>
      <c r="AM468" s="164"/>
      <c r="AN468" s="165"/>
      <c r="AO468" s="166">
        <f t="shared" si="198"/>
        <v>300</v>
      </c>
      <c r="AP468" s="12"/>
      <c r="AQ468" s="167">
        <f t="shared" si="203"/>
        <v>0</v>
      </c>
      <c r="AR468" s="12"/>
      <c r="AS468" s="167">
        <f t="shared" si="204"/>
        <v>0</v>
      </c>
      <c r="AT468" s="168">
        <f t="shared" si="205"/>
        <v>0</v>
      </c>
      <c r="AU468" s="167">
        <f t="shared" si="206"/>
        <v>0</v>
      </c>
    </row>
    <row r="469" spans="1:47" ht="30" customHeight="1" x14ac:dyDescent="0.25">
      <c r="A469" s="76"/>
      <c r="B469" s="158" t="s">
        <v>1869</v>
      </c>
      <c r="C469" s="411" t="s">
        <v>1877</v>
      </c>
      <c r="D469" s="412"/>
      <c r="E469" s="408"/>
      <c r="F469" s="409"/>
      <c r="G469" s="394"/>
      <c r="H469" s="394"/>
      <c r="I469" s="162" t="s">
        <v>1138</v>
      </c>
      <c r="J469" s="163"/>
      <c r="K469" s="164"/>
      <c r="L469" s="164">
        <v>150</v>
      </c>
      <c r="M469" s="164"/>
      <c r="N469" s="164"/>
      <c r="O469" s="164"/>
      <c r="P469" s="164"/>
      <c r="Q469" s="164"/>
      <c r="R469" s="164"/>
      <c r="S469" s="164"/>
      <c r="T469" s="164"/>
      <c r="U469" s="164"/>
      <c r="V469" s="164"/>
      <c r="W469" s="164"/>
      <c r="X469" s="164"/>
      <c r="Y469" s="164"/>
      <c r="Z469" s="164"/>
      <c r="AA469" s="164"/>
      <c r="AB469" s="164"/>
      <c r="AC469" s="164"/>
      <c r="AD469" s="164"/>
      <c r="AE469" s="164"/>
      <c r="AF469" s="164"/>
      <c r="AG469" s="164"/>
      <c r="AH469" s="164"/>
      <c r="AI469" s="164"/>
      <c r="AJ469" s="164"/>
      <c r="AK469" s="164"/>
      <c r="AL469" s="164"/>
      <c r="AM469" s="164"/>
      <c r="AN469" s="165"/>
      <c r="AO469" s="166">
        <f t="shared" si="198"/>
        <v>150</v>
      </c>
      <c r="AP469" s="12"/>
      <c r="AQ469" s="167">
        <f t="shared" si="203"/>
        <v>0</v>
      </c>
      <c r="AR469" s="12"/>
      <c r="AS469" s="167">
        <f t="shared" si="204"/>
        <v>0</v>
      </c>
      <c r="AT469" s="168">
        <f t="shared" si="205"/>
        <v>0</v>
      </c>
      <c r="AU469" s="167">
        <f t="shared" si="206"/>
        <v>0</v>
      </c>
    </row>
    <row r="470" spans="1:47" ht="30" customHeight="1" x14ac:dyDescent="0.25">
      <c r="A470" s="76"/>
      <c r="B470" s="158" t="s">
        <v>1870</v>
      </c>
      <c r="C470" s="411" t="s">
        <v>1878</v>
      </c>
      <c r="D470" s="412"/>
      <c r="E470" s="408"/>
      <c r="F470" s="409"/>
      <c r="G470" s="394"/>
      <c r="H470" s="394"/>
      <c r="I470" s="162" t="s">
        <v>1138</v>
      </c>
      <c r="J470" s="163"/>
      <c r="K470" s="164"/>
      <c r="L470" s="164">
        <v>200</v>
      </c>
      <c r="M470" s="164"/>
      <c r="N470" s="164"/>
      <c r="O470" s="164"/>
      <c r="P470" s="164"/>
      <c r="Q470" s="164"/>
      <c r="R470" s="164"/>
      <c r="S470" s="164"/>
      <c r="T470" s="164"/>
      <c r="U470" s="164"/>
      <c r="V470" s="164"/>
      <c r="W470" s="164"/>
      <c r="X470" s="164"/>
      <c r="Y470" s="164"/>
      <c r="Z470" s="164"/>
      <c r="AA470" s="164"/>
      <c r="AB470" s="164"/>
      <c r="AC470" s="164"/>
      <c r="AD470" s="164"/>
      <c r="AE470" s="164"/>
      <c r="AF470" s="164"/>
      <c r="AG470" s="164"/>
      <c r="AH470" s="164"/>
      <c r="AI470" s="164"/>
      <c r="AJ470" s="164"/>
      <c r="AK470" s="164"/>
      <c r="AL470" s="164"/>
      <c r="AM470" s="164"/>
      <c r="AN470" s="165"/>
      <c r="AO470" s="166">
        <f t="shared" si="198"/>
        <v>200</v>
      </c>
      <c r="AP470" s="12"/>
      <c r="AQ470" s="167">
        <f t="shared" si="203"/>
        <v>0</v>
      </c>
      <c r="AR470" s="12"/>
      <c r="AS470" s="167">
        <f t="shared" si="204"/>
        <v>0</v>
      </c>
      <c r="AT470" s="168">
        <f t="shared" si="205"/>
        <v>0</v>
      </c>
      <c r="AU470" s="167">
        <f t="shared" si="206"/>
        <v>0</v>
      </c>
    </row>
    <row r="471" spans="1:47" ht="30" customHeight="1" x14ac:dyDescent="0.25">
      <c r="A471" s="76"/>
      <c r="B471" s="169" t="s">
        <v>1871</v>
      </c>
      <c r="C471" s="404" t="s">
        <v>1879</v>
      </c>
      <c r="D471" s="405"/>
      <c r="E471" s="400"/>
      <c r="F471" s="402"/>
      <c r="G471" s="395"/>
      <c r="H471" s="395"/>
      <c r="I471" s="173" t="s">
        <v>1138</v>
      </c>
      <c r="J471" s="174"/>
      <c r="K471" s="175"/>
      <c r="L471" s="175">
        <v>30</v>
      </c>
      <c r="M471" s="175"/>
      <c r="N471" s="175"/>
      <c r="O471" s="175"/>
      <c r="P471" s="175"/>
      <c r="Q471" s="175"/>
      <c r="R471" s="175"/>
      <c r="S471" s="175"/>
      <c r="T471" s="175"/>
      <c r="U471" s="175"/>
      <c r="V471" s="175"/>
      <c r="W471" s="175"/>
      <c r="X471" s="175"/>
      <c r="Y471" s="175"/>
      <c r="Z471" s="175"/>
      <c r="AA471" s="175"/>
      <c r="AB471" s="175"/>
      <c r="AC471" s="175"/>
      <c r="AD471" s="175"/>
      <c r="AE471" s="175"/>
      <c r="AF471" s="175"/>
      <c r="AG471" s="175"/>
      <c r="AH471" s="175"/>
      <c r="AI471" s="175"/>
      <c r="AJ471" s="175"/>
      <c r="AK471" s="175"/>
      <c r="AL471" s="175"/>
      <c r="AM471" s="175"/>
      <c r="AN471" s="176"/>
      <c r="AO471" s="177">
        <f t="shared" si="198"/>
        <v>30</v>
      </c>
      <c r="AP471" s="14"/>
      <c r="AQ471" s="178">
        <f t="shared" si="203"/>
        <v>0</v>
      </c>
      <c r="AR471" s="14"/>
      <c r="AS471" s="178">
        <f t="shared" si="204"/>
        <v>0</v>
      </c>
      <c r="AT471" s="179">
        <f t="shared" si="205"/>
        <v>0</v>
      </c>
      <c r="AU471" s="178">
        <f t="shared" si="206"/>
        <v>0</v>
      </c>
    </row>
    <row r="472" spans="1:47" ht="30" customHeight="1" x14ac:dyDescent="0.25">
      <c r="A472" s="76"/>
      <c r="B472" s="148" t="s">
        <v>1881</v>
      </c>
      <c r="C472" s="406" t="s">
        <v>1874</v>
      </c>
      <c r="D472" s="407"/>
      <c r="E472" s="399" t="s">
        <v>1887</v>
      </c>
      <c r="F472" s="401"/>
      <c r="G472" s="403" t="s">
        <v>1079</v>
      </c>
      <c r="H472" s="403" t="s">
        <v>1079</v>
      </c>
      <c r="I472" s="151" t="s">
        <v>532</v>
      </c>
      <c r="J472" s="152">
        <v>240</v>
      </c>
      <c r="K472" s="153">
        <v>420</v>
      </c>
      <c r="L472" s="153"/>
      <c r="M472" s="153"/>
      <c r="N472" s="153"/>
      <c r="O472" s="153"/>
      <c r="P472" s="153"/>
      <c r="Q472" s="153"/>
      <c r="R472" s="153"/>
      <c r="S472" s="153"/>
      <c r="T472" s="153"/>
      <c r="U472" s="153"/>
      <c r="V472" s="153"/>
      <c r="W472" s="153"/>
      <c r="X472" s="153"/>
      <c r="Y472" s="153"/>
      <c r="Z472" s="153"/>
      <c r="AA472" s="153"/>
      <c r="AB472" s="153"/>
      <c r="AC472" s="153"/>
      <c r="AD472" s="153"/>
      <c r="AE472" s="153"/>
      <c r="AF472" s="153"/>
      <c r="AG472" s="153"/>
      <c r="AH472" s="153"/>
      <c r="AI472" s="153"/>
      <c r="AJ472" s="153"/>
      <c r="AK472" s="153"/>
      <c r="AL472" s="153"/>
      <c r="AM472" s="153"/>
      <c r="AN472" s="154"/>
      <c r="AO472" s="155">
        <f t="shared" si="198"/>
        <v>660</v>
      </c>
      <c r="AP472" s="13"/>
      <c r="AQ472" s="156">
        <f t="shared" ref="AQ472:AQ475" si="207">+AP472*AO472</f>
        <v>0</v>
      </c>
      <c r="AR472" s="13"/>
      <c r="AS472" s="156">
        <f t="shared" ref="AS472:AS475" si="208">+AR472*AO472</f>
        <v>0</v>
      </c>
      <c r="AT472" s="157">
        <f t="shared" ref="AT472:AT475" si="209">+AR472+AP472</f>
        <v>0</v>
      </c>
      <c r="AU472" s="156">
        <f t="shared" ref="AU472:AU475" si="210">+AT472*AO472</f>
        <v>0</v>
      </c>
    </row>
    <row r="473" spans="1:47" ht="30" customHeight="1" x14ac:dyDescent="0.25">
      <c r="A473" s="76"/>
      <c r="B473" s="158" t="s">
        <v>1882</v>
      </c>
      <c r="C473" s="411" t="s">
        <v>1885</v>
      </c>
      <c r="D473" s="412"/>
      <c r="E473" s="408"/>
      <c r="F473" s="409"/>
      <c r="G473" s="394"/>
      <c r="H473" s="394"/>
      <c r="I473" s="162" t="s">
        <v>532</v>
      </c>
      <c r="J473" s="163">
        <v>20</v>
      </c>
      <c r="K473" s="164">
        <v>80</v>
      </c>
      <c r="L473" s="164"/>
      <c r="M473" s="164"/>
      <c r="N473" s="164"/>
      <c r="O473" s="164"/>
      <c r="P473" s="164"/>
      <c r="Q473" s="164"/>
      <c r="R473" s="164"/>
      <c r="S473" s="164"/>
      <c r="T473" s="164"/>
      <c r="U473" s="164"/>
      <c r="V473" s="164"/>
      <c r="W473" s="164"/>
      <c r="X473" s="164"/>
      <c r="Y473" s="164"/>
      <c r="Z473" s="164"/>
      <c r="AA473" s="164"/>
      <c r="AB473" s="164"/>
      <c r="AC473" s="164"/>
      <c r="AD473" s="164"/>
      <c r="AE473" s="164"/>
      <c r="AF473" s="164"/>
      <c r="AG473" s="164"/>
      <c r="AH473" s="164"/>
      <c r="AI473" s="164"/>
      <c r="AJ473" s="164"/>
      <c r="AK473" s="164"/>
      <c r="AL473" s="164"/>
      <c r="AM473" s="164"/>
      <c r="AN473" s="165"/>
      <c r="AO473" s="166">
        <f t="shared" si="198"/>
        <v>100</v>
      </c>
      <c r="AP473" s="12"/>
      <c r="AQ473" s="167">
        <f t="shared" si="207"/>
        <v>0</v>
      </c>
      <c r="AR473" s="12"/>
      <c r="AS473" s="167">
        <f t="shared" si="208"/>
        <v>0</v>
      </c>
      <c r="AT473" s="168">
        <f t="shared" si="209"/>
        <v>0</v>
      </c>
      <c r="AU473" s="167">
        <f t="shared" si="210"/>
        <v>0</v>
      </c>
    </row>
    <row r="474" spans="1:47" ht="30" customHeight="1" x14ac:dyDescent="0.25">
      <c r="A474" s="76"/>
      <c r="B474" s="158" t="s">
        <v>1883</v>
      </c>
      <c r="C474" s="411" t="s">
        <v>1879</v>
      </c>
      <c r="D474" s="412"/>
      <c r="E474" s="408"/>
      <c r="F474" s="409"/>
      <c r="G474" s="394"/>
      <c r="H474" s="394"/>
      <c r="I474" s="162" t="s">
        <v>1138</v>
      </c>
      <c r="J474" s="163">
        <v>10</v>
      </c>
      <c r="K474" s="164">
        <v>25</v>
      </c>
      <c r="L474" s="164"/>
      <c r="M474" s="164"/>
      <c r="N474" s="164"/>
      <c r="O474" s="164"/>
      <c r="P474" s="164"/>
      <c r="Q474" s="164"/>
      <c r="R474" s="164"/>
      <c r="S474" s="164"/>
      <c r="T474" s="164"/>
      <c r="U474" s="164"/>
      <c r="V474" s="164"/>
      <c r="W474" s="164"/>
      <c r="X474" s="164"/>
      <c r="Y474" s="164"/>
      <c r="Z474" s="164"/>
      <c r="AA474" s="164"/>
      <c r="AB474" s="164"/>
      <c r="AC474" s="164"/>
      <c r="AD474" s="164"/>
      <c r="AE474" s="164"/>
      <c r="AF474" s="164"/>
      <c r="AG474" s="164"/>
      <c r="AH474" s="164"/>
      <c r="AI474" s="164"/>
      <c r="AJ474" s="164"/>
      <c r="AK474" s="164"/>
      <c r="AL474" s="164"/>
      <c r="AM474" s="164"/>
      <c r="AN474" s="165"/>
      <c r="AO474" s="166">
        <f t="shared" si="198"/>
        <v>35</v>
      </c>
      <c r="AP474" s="12"/>
      <c r="AQ474" s="167">
        <f t="shared" si="207"/>
        <v>0</v>
      </c>
      <c r="AR474" s="12"/>
      <c r="AS474" s="167">
        <f t="shared" si="208"/>
        <v>0</v>
      </c>
      <c r="AT474" s="168">
        <f t="shared" si="209"/>
        <v>0</v>
      </c>
      <c r="AU474" s="167">
        <f t="shared" si="210"/>
        <v>0</v>
      </c>
    </row>
    <row r="475" spans="1:47" ht="30" customHeight="1" x14ac:dyDescent="0.25">
      <c r="A475" s="76"/>
      <c r="B475" s="169" t="s">
        <v>1884</v>
      </c>
      <c r="C475" s="404" t="s">
        <v>1886</v>
      </c>
      <c r="D475" s="405"/>
      <c r="E475" s="400"/>
      <c r="F475" s="402"/>
      <c r="G475" s="395"/>
      <c r="H475" s="395"/>
      <c r="I475" s="173" t="s">
        <v>1138</v>
      </c>
      <c r="J475" s="174">
        <v>2</v>
      </c>
      <c r="K475" s="175">
        <v>20</v>
      </c>
      <c r="L475" s="175"/>
      <c r="M475" s="175"/>
      <c r="N475" s="175"/>
      <c r="O475" s="175"/>
      <c r="P475" s="175"/>
      <c r="Q475" s="175"/>
      <c r="R475" s="175"/>
      <c r="S475" s="175"/>
      <c r="T475" s="175"/>
      <c r="U475" s="175"/>
      <c r="V475" s="175"/>
      <c r="W475" s="175"/>
      <c r="X475" s="175"/>
      <c r="Y475" s="175"/>
      <c r="Z475" s="175"/>
      <c r="AA475" s="175"/>
      <c r="AB475" s="175"/>
      <c r="AC475" s="175"/>
      <c r="AD475" s="175"/>
      <c r="AE475" s="175"/>
      <c r="AF475" s="175"/>
      <c r="AG475" s="175"/>
      <c r="AH475" s="175"/>
      <c r="AI475" s="175"/>
      <c r="AJ475" s="175"/>
      <c r="AK475" s="175"/>
      <c r="AL475" s="175"/>
      <c r="AM475" s="175"/>
      <c r="AN475" s="176"/>
      <c r="AO475" s="177">
        <f t="shared" si="198"/>
        <v>22</v>
      </c>
      <c r="AP475" s="14"/>
      <c r="AQ475" s="178">
        <f t="shared" si="207"/>
        <v>0</v>
      </c>
      <c r="AR475" s="14"/>
      <c r="AS475" s="178">
        <f t="shared" si="208"/>
        <v>0</v>
      </c>
      <c r="AT475" s="179">
        <f t="shared" si="209"/>
        <v>0</v>
      </c>
      <c r="AU475" s="178">
        <f t="shared" si="210"/>
        <v>0</v>
      </c>
    </row>
    <row r="476" spans="1:47" ht="30" customHeight="1" x14ac:dyDescent="0.25">
      <c r="A476" s="76"/>
      <c r="B476" s="148" t="s">
        <v>1888</v>
      </c>
      <c r="C476" s="406" t="s">
        <v>1874</v>
      </c>
      <c r="D476" s="407"/>
      <c r="E476" s="399" t="s">
        <v>1896</v>
      </c>
      <c r="F476" s="401"/>
      <c r="G476" s="403" t="s">
        <v>1079</v>
      </c>
      <c r="H476" s="403" t="s">
        <v>1079</v>
      </c>
      <c r="I476" s="151" t="s">
        <v>532</v>
      </c>
      <c r="J476" s="152">
        <v>240</v>
      </c>
      <c r="K476" s="153">
        <v>604</v>
      </c>
      <c r="L476" s="153"/>
      <c r="M476" s="153"/>
      <c r="N476" s="153"/>
      <c r="O476" s="153"/>
      <c r="P476" s="153"/>
      <c r="Q476" s="153"/>
      <c r="R476" s="153"/>
      <c r="S476" s="153"/>
      <c r="T476" s="153"/>
      <c r="U476" s="153"/>
      <c r="V476" s="153"/>
      <c r="W476" s="153"/>
      <c r="X476" s="153"/>
      <c r="Y476" s="153"/>
      <c r="Z476" s="153"/>
      <c r="AA476" s="153"/>
      <c r="AB476" s="153"/>
      <c r="AC476" s="153"/>
      <c r="AD476" s="153"/>
      <c r="AE476" s="153"/>
      <c r="AF476" s="153"/>
      <c r="AG476" s="153"/>
      <c r="AH476" s="153"/>
      <c r="AI476" s="153"/>
      <c r="AJ476" s="153"/>
      <c r="AK476" s="153"/>
      <c r="AL476" s="153"/>
      <c r="AM476" s="153"/>
      <c r="AN476" s="154"/>
      <c r="AO476" s="155">
        <f t="shared" si="198"/>
        <v>844</v>
      </c>
      <c r="AP476" s="13"/>
      <c r="AQ476" s="156">
        <f t="shared" ref="AQ476:AQ481" si="211">+AP476*AO476</f>
        <v>0</v>
      </c>
      <c r="AR476" s="13"/>
      <c r="AS476" s="156">
        <f t="shared" ref="AS476:AS481" si="212">+AR476*AO476</f>
        <v>0</v>
      </c>
      <c r="AT476" s="157">
        <f t="shared" ref="AT476:AT481" si="213">+AR476+AP476</f>
        <v>0</v>
      </c>
      <c r="AU476" s="156">
        <f t="shared" ref="AU476:AU481" si="214">+AT476*AO476</f>
        <v>0</v>
      </c>
    </row>
    <row r="477" spans="1:47" ht="30" customHeight="1" x14ac:dyDescent="0.25">
      <c r="A477" s="76"/>
      <c r="B477" s="158" t="s">
        <v>1889</v>
      </c>
      <c r="C477" s="411" t="s">
        <v>1885</v>
      </c>
      <c r="D477" s="412"/>
      <c r="E477" s="408"/>
      <c r="F477" s="409"/>
      <c r="G477" s="394"/>
      <c r="H477" s="394"/>
      <c r="I477" s="162" t="s">
        <v>532</v>
      </c>
      <c r="J477" s="163"/>
      <c r="K477" s="164">
        <v>100</v>
      </c>
      <c r="L477" s="164"/>
      <c r="M477" s="164"/>
      <c r="N477" s="164"/>
      <c r="O477" s="164"/>
      <c r="P477" s="164"/>
      <c r="Q477" s="164"/>
      <c r="R477" s="164"/>
      <c r="S477" s="164"/>
      <c r="T477" s="164"/>
      <c r="U477" s="164"/>
      <c r="V477" s="164"/>
      <c r="W477" s="164"/>
      <c r="X477" s="164"/>
      <c r="Y477" s="164"/>
      <c r="Z477" s="164"/>
      <c r="AA477" s="164"/>
      <c r="AB477" s="164"/>
      <c r="AC477" s="164"/>
      <c r="AD477" s="164"/>
      <c r="AE477" s="164"/>
      <c r="AF477" s="164"/>
      <c r="AG477" s="164"/>
      <c r="AH477" s="164"/>
      <c r="AI477" s="164"/>
      <c r="AJ477" s="164"/>
      <c r="AK477" s="164"/>
      <c r="AL477" s="164"/>
      <c r="AM477" s="164"/>
      <c r="AN477" s="165"/>
      <c r="AO477" s="166">
        <f t="shared" si="198"/>
        <v>100</v>
      </c>
      <c r="AP477" s="12"/>
      <c r="AQ477" s="167">
        <f t="shared" si="211"/>
        <v>0</v>
      </c>
      <c r="AR477" s="12"/>
      <c r="AS477" s="167">
        <f t="shared" si="212"/>
        <v>0</v>
      </c>
      <c r="AT477" s="168">
        <f t="shared" si="213"/>
        <v>0</v>
      </c>
      <c r="AU477" s="167">
        <f t="shared" si="214"/>
        <v>0</v>
      </c>
    </row>
    <row r="478" spans="1:47" ht="49.5" customHeight="1" x14ac:dyDescent="0.25">
      <c r="A478" s="76"/>
      <c r="B478" s="158" t="s">
        <v>1890</v>
      </c>
      <c r="C478" s="411" t="s">
        <v>1894</v>
      </c>
      <c r="D478" s="412"/>
      <c r="E478" s="408"/>
      <c r="F478" s="409"/>
      <c r="G478" s="394"/>
      <c r="H478" s="394"/>
      <c r="I478" s="162" t="s">
        <v>1138</v>
      </c>
      <c r="J478" s="163">
        <v>110</v>
      </c>
      <c r="K478" s="164">
        <v>300</v>
      </c>
      <c r="L478" s="164"/>
      <c r="M478" s="164"/>
      <c r="N478" s="164"/>
      <c r="O478" s="164"/>
      <c r="P478" s="164"/>
      <c r="Q478" s="164"/>
      <c r="R478" s="164"/>
      <c r="S478" s="164"/>
      <c r="T478" s="164"/>
      <c r="U478" s="164"/>
      <c r="V478" s="164"/>
      <c r="W478" s="164"/>
      <c r="X478" s="164"/>
      <c r="Y478" s="164"/>
      <c r="Z478" s="164"/>
      <c r="AA478" s="164"/>
      <c r="AB478" s="164"/>
      <c r="AC478" s="164"/>
      <c r="AD478" s="164"/>
      <c r="AE478" s="164"/>
      <c r="AF478" s="164"/>
      <c r="AG478" s="164"/>
      <c r="AH478" s="164"/>
      <c r="AI478" s="164"/>
      <c r="AJ478" s="164"/>
      <c r="AK478" s="164"/>
      <c r="AL478" s="164"/>
      <c r="AM478" s="164"/>
      <c r="AN478" s="165"/>
      <c r="AO478" s="166">
        <f t="shared" si="198"/>
        <v>410</v>
      </c>
      <c r="AP478" s="12"/>
      <c r="AQ478" s="167">
        <f t="shared" ref="AQ478:AQ479" si="215">+AP478*AO478</f>
        <v>0</v>
      </c>
      <c r="AR478" s="12"/>
      <c r="AS478" s="167">
        <f t="shared" ref="AS478:AS479" si="216">+AR478*AO478</f>
        <v>0</v>
      </c>
      <c r="AT478" s="168">
        <f t="shared" ref="AT478:AT479" si="217">+AR478+AP478</f>
        <v>0</v>
      </c>
      <c r="AU478" s="167">
        <f t="shared" ref="AU478:AU479" si="218">+AT478*AO478</f>
        <v>0</v>
      </c>
    </row>
    <row r="479" spans="1:47" ht="30" customHeight="1" x14ac:dyDescent="0.25">
      <c r="A479" s="76"/>
      <c r="B479" s="158" t="s">
        <v>1891</v>
      </c>
      <c r="C479" s="411" t="s">
        <v>1879</v>
      </c>
      <c r="D479" s="412"/>
      <c r="E479" s="408"/>
      <c r="F479" s="409"/>
      <c r="G479" s="394"/>
      <c r="H479" s="394"/>
      <c r="I479" s="162" t="s">
        <v>1138</v>
      </c>
      <c r="J479" s="163">
        <v>10</v>
      </c>
      <c r="K479" s="164">
        <v>45</v>
      </c>
      <c r="L479" s="164"/>
      <c r="M479" s="164"/>
      <c r="N479" s="164"/>
      <c r="O479" s="164"/>
      <c r="P479" s="164"/>
      <c r="Q479" s="164"/>
      <c r="R479" s="164"/>
      <c r="S479" s="164"/>
      <c r="T479" s="164"/>
      <c r="U479" s="164"/>
      <c r="V479" s="164"/>
      <c r="W479" s="164"/>
      <c r="X479" s="164"/>
      <c r="Y479" s="164"/>
      <c r="Z479" s="164"/>
      <c r="AA479" s="164"/>
      <c r="AB479" s="164"/>
      <c r="AC479" s="164"/>
      <c r="AD479" s="164"/>
      <c r="AE479" s="164"/>
      <c r="AF479" s="164"/>
      <c r="AG479" s="164"/>
      <c r="AH479" s="164"/>
      <c r="AI479" s="164"/>
      <c r="AJ479" s="164"/>
      <c r="AK479" s="164"/>
      <c r="AL479" s="164"/>
      <c r="AM479" s="164"/>
      <c r="AN479" s="165"/>
      <c r="AO479" s="166">
        <f t="shared" si="198"/>
        <v>55</v>
      </c>
      <c r="AP479" s="12"/>
      <c r="AQ479" s="167">
        <f t="shared" si="215"/>
        <v>0</v>
      </c>
      <c r="AR479" s="12"/>
      <c r="AS479" s="167">
        <f t="shared" si="216"/>
        <v>0</v>
      </c>
      <c r="AT479" s="168">
        <f t="shared" si="217"/>
        <v>0</v>
      </c>
      <c r="AU479" s="167">
        <f t="shared" si="218"/>
        <v>0</v>
      </c>
    </row>
    <row r="480" spans="1:47" ht="30" customHeight="1" x14ac:dyDescent="0.25">
      <c r="A480" s="76"/>
      <c r="B480" s="158" t="s">
        <v>1892</v>
      </c>
      <c r="C480" s="411" t="s">
        <v>1895</v>
      </c>
      <c r="D480" s="412"/>
      <c r="E480" s="408"/>
      <c r="F480" s="409"/>
      <c r="G480" s="394"/>
      <c r="H480" s="394"/>
      <c r="I480" s="162" t="s">
        <v>1138</v>
      </c>
      <c r="J480" s="163">
        <v>2</v>
      </c>
      <c r="K480" s="164">
        <v>10</v>
      </c>
      <c r="L480" s="164"/>
      <c r="M480" s="164"/>
      <c r="N480" s="164"/>
      <c r="O480" s="164"/>
      <c r="P480" s="164"/>
      <c r="Q480" s="164"/>
      <c r="R480" s="164"/>
      <c r="S480" s="164"/>
      <c r="T480" s="164"/>
      <c r="U480" s="164"/>
      <c r="V480" s="164"/>
      <c r="W480" s="164"/>
      <c r="X480" s="164"/>
      <c r="Y480" s="164"/>
      <c r="Z480" s="164"/>
      <c r="AA480" s="164"/>
      <c r="AB480" s="164"/>
      <c r="AC480" s="164"/>
      <c r="AD480" s="164"/>
      <c r="AE480" s="164"/>
      <c r="AF480" s="164"/>
      <c r="AG480" s="164"/>
      <c r="AH480" s="164"/>
      <c r="AI480" s="164"/>
      <c r="AJ480" s="164"/>
      <c r="AK480" s="164"/>
      <c r="AL480" s="164"/>
      <c r="AM480" s="164"/>
      <c r="AN480" s="165"/>
      <c r="AO480" s="166">
        <f t="shared" si="198"/>
        <v>12</v>
      </c>
      <c r="AP480" s="12"/>
      <c r="AQ480" s="167">
        <f t="shared" si="211"/>
        <v>0</v>
      </c>
      <c r="AR480" s="12"/>
      <c r="AS480" s="167">
        <f t="shared" si="212"/>
        <v>0</v>
      </c>
      <c r="AT480" s="168">
        <f t="shared" si="213"/>
        <v>0</v>
      </c>
      <c r="AU480" s="167">
        <f t="shared" si="214"/>
        <v>0</v>
      </c>
    </row>
    <row r="481" spans="1:47" ht="30" customHeight="1" x14ac:dyDescent="0.25">
      <c r="A481" s="76"/>
      <c r="B481" s="169" t="s">
        <v>1893</v>
      </c>
      <c r="C481" s="404" t="s">
        <v>1886</v>
      </c>
      <c r="D481" s="405"/>
      <c r="E481" s="400"/>
      <c r="F481" s="402"/>
      <c r="G481" s="395"/>
      <c r="H481" s="395"/>
      <c r="I481" s="173" t="s">
        <v>1138</v>
      </c>
      <c r="J481" s="174"/>
      <c r="K481" s="175">
        <v>25</v>
      </c>
      <c r="L481" s="175"/>
      <c r="M481" s="175"/>
      <c r="N481" s="175"/>
      <c r="O481" s="175"/>
      <c r="P481" s="175"/>
      <c r="Q481" s="175"/>
      <c r="R481" s="175"/>
      <c r="S481" s="175"/>
      <c r="T481" s="175"/>
      <c r="U481" s="175"/>
      <c r="V481" s="175"/>
      <c r="W481" s="175"/>
      <c r="X481" s="175"/>
      <c r="Y481" s="175"/>
      <c r="Z481" s="175"/>
      <c r="AA481" s="175"/>
      <c r="AB481" s="175"/>
      <c r="AC481" s="175"/>
      <c r="AD481" s="175"/>
      <c r="AE481" s="175"/>
      <c r="AF481" s="175"/>
      <c r="AG481" s="175"/>
      <c r="AH481" s="175"/>
      <c r="AI481" s="175"/>
      <c r="AJ481" s="175"/>
      <c r="AK481" s="175"/>
      <c r="AL481" s="175"/>
      <c r="AM481" s="175"/>
      <c r="AN481" s="176"/>
      <c r="AO481" s="177">
        <f t="shared" si="198"/>
        <v>25</v>
      </c>
      <c r="AP481" s="14"/>
      <c r="AQ481" s="178">
        <f t="shared" si="211"/>
        <v>0</v>
      </c>
      <c r="AR481" s="14"/>
      <c r="AS481" s="178">
        <f t="shared" si="212"/>
        <v>0</v>
      </c>
      <c r="AT481" s="179">
        <f t="shared" si="213"/>
        <v>0</v>
      </c>
      <c r="AU481" s="178">
        <f t="shared" si="214"/>
        <v>0</v>
      </c>
    </row>
    <row r="482" spans="1:47" ht="30" customHeight="1" x14ac:dyDescent="0.25">
      <c r="A482" s="76"/>
      <c r="B482" s="148" t="s">
        <v>1902</v>
      </c>
      <c r="C482" s="406" t="s">
        <v>1885</v>
      </c>
      <c r="D482" s="407"/>
      <c r="E482" s="399" t="s">
        <v>1897</v>
      </c>
      <c r="F482" s="401"/>
      <c r="G482" s="403" t="s">
        <v>1079</v>
      </c>
      <c r="H482" s="403" t="s">
        <v>1079</v>
      </c>
      <c r="I482" s="151" t="s">
        <v>532</v>
      </c>
      <c r="J482" s="152"/>
      <c r="K482" s="153">
        <v>310</v>
      </c>
      <c r="L482" s="153"/>
      <c r="M482" s="153"/>
      <c r="N482" s="153"/>
      <c r="O482" s="153"/>
      <c r="P482" s="153"/>
      <c r="Q482" s="153"/>
      <c r="R482" s="153"/>
      <c r="S482" s="153"/>
      <c r="T482" s="153"/>
      <c r="U482" s="153"/>
      <c r="V482" s="153"/>
      <c r="W482" s="153"/>
      <c r="X482" s="153"/>
      <c r="Y482" s="153"/>
      <c r="Z482" s="153"/>
      <c r="AA482" s="153"/>
      <c r="AB482" s="153"/>
      <c r="AC482" s="153"/>
      <c r="AD482" s="153"/>
      <c r="AE482" s="153"/>
      <c r="AF482" s="153"/>
      <c r="AG482" s="153"/>
      <c r="AH482" s="153"/>
      <c r="AI482" s="153"/>
      <c r="AJ482" s="153"/>
      <c r="AK482" s="153"/>
      <c r="AL482" s="153"/>
      <c r="AM482" s="153"/>
      <c r="AN482" s="154"/>
      <c r="AO482" s="155">
        <f t="shared" si="198"/>
        <v>310</v>
      </c>
      <c r="AP482" s="13"/>
      <c r="AQ482" s="156">
        <f t="shared" ref="AQ482:AQ495" si="219">+AP482*AO482</f>
        <v>0</v>
      </c>
      <c r="AR482" s="13"/>
      <c r="AS482" s="156">
        <f t="shared" ref="AS482:AS495" si="220">+AR482*AO482</f>
        <v>0</v>
      </c>
      <c r="AT482" s="157">
        <f t="shared" ref="AT482:AT495" si="221">+AR482+AP482</f>
        <v>0</v>
      </c>
      <c r="AU482" s="156">
        <f t="shared" ref="AU482:AU495" si="222">+AT482*AO482</f>
        <v>0</v>
      </c>
    </row>
    <row r="483" spans="1:47" ht="30" customHeight="1" x14ac:dyDescent="0.25">
      <c r="A483" s="76"/>
      <c r="B483" s="158" t="s">
        <v>1903</v>
      </c>
      <c r="C483" s="411" t="s">
        <v>1898</v>
      </c>
      <c r="D483" s="412"/>
      <c r="E483" s="408"/>
      <c r="F483" s="409"/>
      <c r="G483" s="394"/>
      <c r="H483" s="394"/>
      <c r="I483" s="162" t="s">
        <v>1138</v>
      </c>
      <c r="J483" s="163"/>
      <c r="K483" s="164">
        <v>54</v>
      </c>
      <c r="L483" s="164"/>
      <c r="M483" s="164"/>
      <c r="N483" s="164"/>
      <c r="O483" s="164"/>
      <c r="P483" s="164"/>
      <c r="Q483" s="164"/>
      <c r="R483" s="164"/>
      <c r="S483" s="164"/>
      <c r="T483" s="164"/>
      <c r="U483" s="164"/>
      <c r="V483" s="164"/>
      <c r="W483" s="164"/>
      <c r="X483" s="164"/>
      <c r="Y483" s="164"/>
      <c r="Z483" s="164"/>
      <c r="AA483" s="164"/>
      <c r="AB483" s="164"/>
      <c r="AC483" s="164"/>
      <c r="AD483" s="164"/>
      <c r="AE483" s="164"/>
      <c r="AF483" s="164"/>
      <c r="AG483" s="164"/>
      <c r="AH483" s="164"/>
      <c r="AI483" s="164"/>
      <c r="AJ483" s="164"/>
      <c r="AK483" s="164"/>
      <c r="AL483" s="164"/>
      <c r="AM483" s="164"/>
      <c r="AN483" s="165"/>
      <c r="AO483" s="166">
        <f t="shared" si="198"/>
        <v>54</v>
      </c>
      <c r="AP483" s="12"/>
      <c r="AQ483" s="167">
        <f t="shared" si="219"/>
        <v>0</v>
      </c>
      <c r="AR483" s="12"/>
      <c r="AS483" s="167">
        <f t="shared" si="220"/>
        <v>0</v>
      </c>
      <c r="AT483" s="168">
        <f t="shared" si="221"/>
        <v>0</v>
      </c>
      <c r="AU483" s="167">
        <f t="shared" si="222"/>
        <v>0</v>
      </c>
    </row>
    <row r="484" spans="1:47" ht="49.5" customHeight="1" x14ac:dyDescent="0.25">
      <c r="A484" s="76"/>
      <c r="B484" s="158" t="s">
        <v>1904</v>
      </c>
      <c r="C484" s="411" t="s">
        <v>1886</v>
      </c>
      <c r="D484" s="412"/>
      <c r="E484" s="408"/>
      <c r="F484" s="409"/>
      <c r="G484" s="394"/>
      <c r="H484" s="394"/>
      <c r="I484" s="162" t="s">
        <v>1138</v>
      </c>
      <c r="J484" s="163"/>
      <c r="K484" s="164"/>
      <c r="L484" s="164"/>
      <c r="M484" s="164"/>
      <c r="N484" s="164"/>
      <c r="O484" s="164"/>
      <c r="P484" s="164"/>
      <c r="Q484" s="164"/>
      <c r="R484" s="164"/>
      <c r="S484" s="164"/>
      <c r="T484" s="164"/>
      <c r="U484" s="164"/>
      <c r="V484" s="164"/>
      <c r="W484" s="164"/>
      <c r="X484" s="164"/>
      <c r="Y484" s="164"/>
      <c r="Z484" s="164"/>
      <c r="AA484" s="164"/>
      <c r="AB484" s="164"/>
      <c r="AC484" s="164"/>
      <c r="AD484" s="164"/>
      <c r="AE484" s="164"/>
      <c r="AF484" s="164"/>
      <c r="AG484" s="164"/>
      <c r="AH484" s="164"/>
      <c r="AI484" s="164"/>
      <c r="AJ484" s="164"/>
      <c r="AK484" s="164"/>
      <c r="AL484" s="164"/>
      <c r="AM484" s="164"/>
      <c r="AN484" s="165"/>
      <c r="AO484" s="166">
        <f t="shared" si="198"/>
        <v>0</v>
      </c>
      <c r="AP484" s="12"/>
      <c r="AQ484" s="167">
        <f t="shared" si="219"/>
        <v>0</v>
      </c>
      <c r="AR484" s="12"/>
      <c r="AS484" s="167">
        <f t="shared" si="220"/>
        <v>0</v>
      </c>
      <c r="AT484" s="168">
        <f t="shared" si="221"/>
        <v>0</v>
      </c>
      <c r="AU484" s="167">
        <f t="shared" si="222"/>
        <v>0</v>
      </c>
    </row>
    <row r="485" spans="1:47" ht="30" customHeight="1" x14ac:dyDescent="0.25">
      <c r="A485" s="76"/>
      <c r="B485" s="158" t="s">
        <v>1905</v>
      </c>
      <c r="C485" s="411" t="s">
        <v>1899</v>
      </c>
      <c r="D485" s="412"/>
      <c r="E485" s="408"/>
      <c r="F485" s="409"/>
      <c r="G485" s="394"/>
      <c r="H485" s="394"/>
      <c r="I485" s="162" t="s">
        <v>1138</v>
      </c>
      <c r="J485" s="163"/>
      <c r="K485" s="164">
        <v>18</v>
      </c>
      <c r="L485" s="164"/>
      <c r="M485" s="164"/>
      <c r="N485" s="164"/>
      <c r="O485" s="164"/>
      <c r="P485" s="164"/>
      <c r="Q485" s="164"/>
      <c r="R485" s="164"/>
      <c r="S485" s="164"/>
      <c r="T485" s="164"/>
      <c r="U485" s="164"/>
      <c r="V485" s="164"/>
      <c r="W485" s="164"/>
      <c r="X485" s="164"/>
      <c r="Y485" s="164"/>
      <c r="Z485" s="164"/>
      <c r="AA485" s="164"/>
      <c r="AB485" s="164"/>
      <c r="AC485" s="164"/>
      <c r="AD485" s="164"/>
      <c r="AE485" s="164"/>
      <c r="AF485" s="164"/>
      <c r="AG485" s="164"/>
      <c r="AH485" s="164"/>
      <c r="AI485" s="164"/>
      <c r="AJ485" s="164"/>
      <c r="AK485" s="164"/>
      <c r="AL485" s="164"/>
      <c r="AM485" s="164"/>
      <c r="AN485" s="165"/>
      <c r="AO485" s="166">
        <f t="shared" si="198"/>
        <v>18</v>
      </c>
      <c r="AP485" s="12"/>
      <c r="AQ485" s="167">
        <f t="shared" si="219"/>
        <v>0</v>
      </c>
      <c r="AR485" s="12"/>
      <c r="AS485" s="167">
        <f t="shared" si="220"/>
        <v>0</v>
      </c>
      <c r="AT485" s="168">
        <f t="shared" si="221"/>
        <v>0</v>
      </c>
      <c r="AU485" s="167">
        <f t="shared" si="222"/>
        <v>0</v>
      </c>
    </row>
    <row r="486" spans="1:47" ht="30" customHeight="1" x14ac:dyDescent="0.25">
      <c r="A486" s="76"/>
      <c r="B486" s="158" t="s">
        <v>1906</v>
      </c>
      <c r="C486" s="411" t="s">
        <v>1900</v>
      </c>
      <c r="D486" s="412"/>
      <c r="E486" s="408"/>
      <c r="F486" s="409"/>
      <c r="G486" s="394"/>
      <c r="H486" s="394"/>
      <c r="I486" s="162" t="s">
        <v>1138</v>
      </c>
      <c r="J486" s="163"/>
      <c r="K486" s="164">
        <v>18</v>
      </c>
      <c r="L486" s="164"/>
      <c r="M486" s="164"/>
      <c r="N486" s="164"/>
      <c r="O486" s="164"/>
      <c r="P486" s="164"/>
      <c r="Q486" s="164"/>
      <c r="R486" s="164"/>
      <c r="S486" s="164"/>
      <c r="T486" s="164"/>
      <c r="U486" s="164"/>
      <c r="V486" s="164"/>
      <c r="W486" s="164"/>
      <c r="X486" s="164"/>
      <c r="Y486" s="164"/>
      <c r="Z486" s="164"/>
      <c r="AA486" s="164"/>
      <c r="AB486" s="164"/>
      <c r="AC486" s="164"/>
      <c r="AD486" s="164"/>
      <c r="AE486" s="164"/>
      <c r="AF486" s="164"/>
      <c r="AG486" s="164"/>
      <c r="AH486" s="164"/>
      <c r="AI486" s="164"/>
      <c r="AJ486" s="164"/>
      <c r="AK486" s="164"/>
      <c r="AL486" s="164"/>
      <c r="AM486" s="164"/>
      <c r="AN486" s="165"/>
      <c r="AO486" s="166">
        <f t="shared" si="198"/>
        <v>18</v>
      </c>
      <c r="AP486" s="12"/>
      <c r="AQ486" s="167">
        <f t="shared" si="219"/>
        <v>0</v>
      </c>
      <c r="AR486" s="12"/>
      <c r="AS486" s="167">
        <f t="shared" si="220"/>
        <v>0</v>
      </c>
      <c r="AT486" s="168">
        <f t="shared" si="221"/>
        <v>0</v>
      </c>
      <c r="AU486" s="167">
        <f t="shared" si="222"/>
        <v>0</v>
      </c>
    </row>
    <row r="487" spans="1:47" ht="30" customHeight="1" x14ac:dyDescent="0.25">
      <c r="A487" s="76"/>
      <c r="B487" s="169" t="s">
        <v>1907</v>
      </c>
      <c r="C487" s="404" t="s">
        <v>1901</v>
      </c>
      <c r="D487" s="405"/>
      <c r="E487" s="400"/>
      <c r="F487" s="402"/>
      <c r="G487" s="395"/>
      <c r="H487" s="395"/>
      <c r="I487" s="173" t="s">
        <v>532</v>
      </c>
      <c r="J487" s="174"/>
      <c r="K487" s="175">
        <v>352</v>
      </c>
      <c r="L487" s="175"/>
      <c r="M487" s="175"/>
      <c r="N487" s="175"/>
      <c r="O487" s="175"/>
      <c r="P487" s="175"/>
      <c r="Q487" s="175"/>
      <c r="R487" s="175"/>
      <c r="S487" s="175"/>
      <c r="T487" s="175"/>
      <c r="U487" s="175"/>
      <c r="V487" s="175"/>
      <c r="W487" s="175"/>
      <c r="X487" s="175"/>
      <c r="Y487" s="175"/>
      <c r="Z487" s="175"/>
      <c r="AA487" s="175"/>
      <c r="AB487" s="175"/>
      <c r="AC487" s="175"/>
      <c r="AD487" s="175"/>
      <c r="AE487" s="175"/>
      <c r="AF487" s="175"/>
      <c r="AG487" s="175"/>
      <c r="AH487" s="175"/>
      <c r="AI487" s="175"/>
      <c r="AJ487" s="175"/>
      <c r="AK487" s="175"/>
      <c r="AL487" s="175"/>
      <c r="AM487" s="175"/>
      <c r="AN487" s="176"/>
      <c r="AO487" s="177">
        <f t="shared" si="198"/>
        <v>352</v>
      </c>
      <c r="AP487" s="14"/>
      <c r="AQ487" s="178">
        <f t="shared" si="219"/>
        <v>0</v>
      </c>
      <c r="AR487" s="14"/>
      <c r="AS487" s="178">
        <f t="shared" si="220"/>
        <v>0</v>
      </c>
      <c r="AT487" s="179">
        <f t="shared" si="221"/>
        <v>0</v>
      </c>
      <c r="AU487" s="178">
        <f t="shared" si="222"/>
        <v>0</v>
      </c>
    </row>
    <row r="488" spans="1:47" ht="30" customHeight="1" x14ac:dyDescent="0.25">
      <c r="A488" s="76"/>
      <c r="B488" s="148" t="s">
        <v>1908</v>
      </c>
      <c r="C488" s="406" t="s">
        <v>1917</v>
      </c>
      <c r="D488" s="407"/>
      <c r="E488" s="399" t="s">
        <v>1916</v>
      </c>
      <c r="F488" s="401"/>
      <c r="G488" s="403" t="s">
        <v>1079</v>
      </c>
      <c r="H488" s="403" t="s">
        <v>1079</v>
      </c>
      <c r="I488" s="151" t="s">
        <v>532</v>
      </c>
      <c r="J488" s="152"/>
      <c r="K488" s="153">
        <v>55</v>
      </c>
      <c r="L488" s="153"/>
      <c r="M488" s="153"/>
      <c r="N488" s="153">
        <v>70</v>
      </c>
      <c r="O488" s="153"/>
      <c r="P488" s="153"/>
      <c r="Q488" s="153"/>
      <c r="R488" s="153"/>
      <c r="S488" s="153"/>
      <c r="T488" s="153"/>
      <c r="U488" s="153"/>
      <c r="V488" s="153"/>
      <c r="W488" s="153"/>
      <c r="X488" s="153"/>
      <c r="Y488" s="153"/>
      <c r="Z488" s="153"/>
      <c r="AA488" s="153"/>
      <c r="AB488" s="153"/>
      <c r="AC488" s="153"/>
      <c r="AD488" s="153"/>
      <c r="AE488" s="153"/>
      <c r="AF488" s="153"/>
      <c r="AG488" s="153"/>
      <c r="AH488" s="153"/>
      <c r="AI488" s="153"/>
      <c r="AJ488" s="153"/>
      <c r="AK488" s="153"/>
      <c r="AL488" s="153"/>
      <c r="AM488" s="153"/>
      <c r="AN488" s="154"/>
      <c r="AO488" s="155">
        <f t="shared" si="198"/>
        <v>125</v>
      </c>
      <c r="AP488" s="13"/>
      <c r="AQ488" s="156">
        <f t="shared" si="219"/>
        <v>0</v>
      </c>
      <c r="AR488" s="13"/>
      <c r="AS488" s="156">
        <f t="shared" si="220"/>
        <v>0</v>
      </c>
      <c r="AT488" s="157">
        <f t="shared" si="221"/>
        <v>0</v>
      </c>
      <c r="AU488" s="156">
        <f t="shared" si="222"/>
        <v>0</v>
      </c>
    </row>
    <row r="489" spans="1:47" ht="30" customHeight="1" x14ac:dyDescent="0.25">
      <c r="A489" s="76"/>
      <c r="B489" s="158" t="s">
        <v>1909</v>
      </c>
      <c r="C489" s="411" t="s">
        <v>1918</v>
      </c>
      <c r="D489" s="412"/>
      <c r="E489" s="408"/>
      <c r="F489" s="409"/>
      <c r="G489" s="394"/>
      <c r="H489" s="394"/>
      <c r="I489" s="162" t="s">
        <v>532</v>
      </c>
      <c r="J489" s="163"/>
      <c r="K489" s="164">
        <v>20</v>
      </c>
      <c r="L489" s="164"/>
      <c r="M489" s="164"/>
      <c r="N489" s="164">
        <v>40</v>
      </c>
      <c r="O489" s="164"/>
      <c r="P489" s="164"/>
      <c r="Q489" s="164"/>
      <c r="R489" s="164"/>
      <c r="S489" s="164"/>
      <c r="T489" s="164"/>
      <c r="U489" s="164"/>
      <c r="V489" s="164"/>
      <c r="W489" s="164"/>
      <c r="X489" s="164"/>
      <c r="Y489" s="164"/>
      <c r="Z489" s="164"/>
      <c r="AA489" s="164"/>
      <c r="AB489" s="164"/>
      <c r="AC489" s="164"/>
      <c r="AD489" s="164"/>
      <c r="AE489" s="164"/>
      <c r="AF489" s="164"/>
      <c r="AG489" s="164"/>
      <c r="AH489" s="164"/>
      <c r="AI489" s="164"/>
      <c r="AJ489" s="164"/>
      <c r="AK489" s="164"/>
      <c r="AL489" s="164"/>
      <c r="AM489" s="164"/>
      <c r="AN489" s="165"/>
      <c r="AO489" s="166">
        <f t="shared" si="198"/>
        <v>60</v>
      </c>
      <c r="AP489" s="12"/>
      <c r="AQ489" s="167">
        <f t="shared" si="219"/>
        <v>0</v>
      </c>
      <c r="AR489" s="12"/>
      <c r="AS489" s="167">
        <f t="shared" si="220"/>
        <v>0</v>
      </c>
      <c r="AT489" s="168">
        <f t="shared" si="221"/>
        <v>0</v>
      </c>
      <c r="AU489" s="167">
        <f t="shared" si="222"/>
        <v>0</v>
      </c>
    </row>
    <row r="490" spans="1:47" ht="51" customHeight="1" x14ac:dyDescent="0.25">
      <c r="A490" s="76"/>
      <c r="B490" s="158" t="s">
        <v>1910</v>
      </c>
      <c r="C490" s="411" t="s">
        <v>1919</v>
      </c>
      <c r="D490" s="412"/>
      <c r="E490" s="408"/>
      <c r="F490" s="409"/>
      <c r="G490" s="394"/>
      <c r="H490" s="394"/>
      <c r="I490" s="162" t="s">
        <v>1138</v>
      </c>
      <c r="J490" s="163"/>
      <c r="K490" s="164">
        <v>8</v>
      </c>
      <c r="L490" s="164"/>
      <c r="M490" s="164"/>
      <c r="N490" s="164">
        <v>6</v>
      </c>
      <c r="O490" s="164"/>
      <c r="P490" s="164"/>
      <c r="Q490" s="164"/>
      <c r="R490" s="164"/>
      <c r="S490" s="164"/>
      <c r="T490" s="164"/>
      <c r="U490" s="164"/>
      <c r="V490" s="164"/>
      <c r="W490" s="164"/>
      <c r="X490" s="164"/>
      <c r="Y490" s="164"/>
      <c r="Z490" s="164"/>
      <c r="AA490" s="164"/>
      <c r="AB490" s="164"/>
      <c r="AC490" s="164"/>
      <c r="AD490" s="164"/>
      <c r="AE490" s="164"/>
      <c r="AF490" s="164"/>
      <c r="AG490" s="164"/>
      <c r="AH490" s="164"/>
      <c r="AI490" s="164"/>
      <c r="AJ490" s="164"/>
      <c r="AK490" s="164"/>
      <c r="AL490" s="164"/>
      <c r="AM490" s="164"/>
      <c r="AN490" s="165"/>
      <c r="AO490" s="166">
        <f t="shared" si="198"/>
        <v>14</v>
      </c>
      <c r="AP490" s="12"/>
      <c r="AQ490" s="167">
        <f t="shared" si="219"/>
        <v>0</v>
      </c>
      <c r="AR490" s="12"/>
      <c r="AS490" s="167">
        <f t="shared" si="220"/>
        <v>0</v>
      </c>
      <c r="AT490" s="168">
        <f t="shared" si="221"/>
        <v>0</v>
      </c>
      <c r="AU490" s="167">
        <f t="shared" si="222"/>
        <v>0</v>
      </c>
    </row>
    <row r="491" spans="1:47" ht="30" customHeight="1" x14ac:dyDescent="0.25">
      <c r="A491" s="76"/>
      <c r="B491" s="158" t="s">
        <v>1911</v>
      </c>
      <c r="C491" s="411" t="s">
        <v>1920</v>
      </c>
      <c r="D491" s="412"/>
      <c r="E491" s="408"/>
      <c r="F491" s="409"/>
      <c r="G491" s="394"/>
      <c r="H491" s="394"/>
      <c r="I491" s="162" t="s">
        <v>1138</v>
      </c>
      <c r="J491" s="163"/>
      <c r="K491" s="164">
        <v>10</v>
      </c>
      <c r="L491" s="164"/>
      <c r="M491" s="164"/>
      <c r="N491" s="164">
        <v>8</v>
      </c>
      <c r="O491" s="164"/>
      <c r="P491" s="164"/>
      <c r="Q491" s="164"/>
      <c r="R491" s="164"/>
      <c r="S491" s="164"/>
      <c r="T491" s="164"/>
      <c r="U491" s="164"/>
      <c r="V491" s="164"/>
      <c r="W491" s="164"/>
      <c r="X491" s="164"/>
      <c r="Y491" s="164"/>
      <c r="Z491" s="164"/>
      <c r="AA491" s="164"/>
      <c r="AB491" s="164"/>
      <c r="AC491" s="164"/>
      <c r="AD491" s="164"/>
      <c r="AE491" s="164"/>
      <c r="AF491" s="164"/>
      <c r="AG491" s="164"/>
      <c r="AH491" s="164"/>
      <c r="AI491" s="164"/>
      <c r="AJ491" s="164"/>
      <c r="AK491" s="164"/>
      <c r="AL491" s="164"/>
      <c r="AM491" s="164"/>
      <c r="AN491" s="165"/>
      <c r="AO491" s="166">
        <f t="shared" si="198"/>
        <v>18</v>
      </c>
      <c r="AP491" s="12"/>
      <c r="AQ491" s="167">
        <f t="shared" si="219"/>
        <v>0</v>
      </c>
      <c r="AR491" s="12"/>
      <c r="AS491" s="167">
        <f t="shared" si="220"/>
        <v>0</v>
      </c>
      <c r="AT491" s="168">
        <f t="shared" si="221"/>
        <v>0</v>
      </c>
      <c r="AU491" s="167">
        <f t="shared" si="222"/>
        <v>0</v>
      </c>
    </row>
    <row r="492" spans="1:47" ht="51" customHeight="1" x14ac:dyDescent="0.25">
      <c r="A492" s="76"/>
      <c r="B492" s="158" t="s">
        <v>1912</v>
      </c>
      <c r="C492" s="411" t="s">
        <v>1921</v>
      </c>
      <c r="D492" s="412"/>
      <c r="E492" s="408"/>
      <c r="F492" s="409"/>
      <c r="G492" s="394"/>
      <c r="H492" s="394"/>
      <c r="I492" s="162" t="s">
        <v>1138</v>
      </c>
      <c r="J492" s="163"/>
      <c r="K492" s="164"/>
      <c r="L492" s="164"/>
      <c r="M492" s="164"/>
      <c r="N492" s="164"/>
      <c r="O492" s="164"/>
      <c r="P492" s="164"/>
      <c r="Q492" s="164"/>
      <c r="R492" s="164"/>
      <c r="S492" s="164"/>
      <c r="T492" s="164"/>
      <c r="U492" s="164"/>
      <c r="V492" s="164"/>
      <c r="W492" s="164"/>
      <c r="X492" s="164"/>
      <c r="Y492" s="164"/>
      <c r="Z492" s="164"/>
      <c r="AA492" s="164"/>
      <c r="AB492" s="164"/>
      <c r="AC492" s="164"/>
      <c r="AD492" s="164"/>
      <c r="AE492" s="164"/>
      <c r="AF492" s="164"/>
      <c r="AG492" s="164"/>
      <c r="AH492" s="164"/>
      <c r="AI492" s="164"/>
      <c r="AJ492" s="164"/>
      <c r="AK492" s="164"/>
      <c r="AL492" s="164"/>
      <c r="AM492" s="164"/>
      <c r="AN492" s="165"/>
      <c r="AO492" s="166">
        <f t="shared" si="198"/>
        <v>0</v>
      </c>
      <c r="AP492" s="12"/>
      <c r="AQ492" s="167">
        <f t="shared" si="219"/>
        <v>0</v>
      </c>
      <c r="AR492" s="12"/>
      <c r="AS492" s="167">
        <f t="shared" si="220"/>
        <v>0</v>
      </c>
      <c r="AT492" s="168">
        <f t="shared" si="221"/>
        <v>0</v>
      </c>
      <c r="AU492" s="167">
        <f t="shared" si="222"/>
        <v>0</v>
      </c>
    </row>
    <row r="493" spans="1:47" ht="30" customHeight="1" x14ac:dyDescent="0.25">
      <c r="A493" s="76"/>
      <c r="B493" s="158" t="s">
        <v>1913</v>
      </c>
      <c r="C493" s="411" t="s">
        <v>1922</v>
      </c>
      <c r="D493" s="412"/>
      <c r="E493" s="408"/>
      <c r="F493" s="409"/>
      <c r="G493" s="394"/>
      <c r="H493" s="394"/>
      <c r="I493" s="162" t="s">
        <v>532</v>
      </c>
      <c r="J493" s="163"/>
      <c r="K493" s="164">
        <v>30</v>
      </c>
      <c r="L493" s="164"/>
      <c r="M493" s="164"/>
      <c r="N493" s="164">
        <v>30</v>
      </c>
      <c r="O493" s="164"/>
      <c r="P493" s="164"/>
      <c r="Q493" s="164"/>
      <c r="R493" s="164"/>
      <c r="S493" s="164"/>
      <c r="T493" s="164"/>
      <c r="U493" s="164"/>
      <c r="V493" s="164"/>
      <c r="W493" s="164"/>
      <c r="X493" s="164"/>
      <c r="Y493" s="164"/>
      <c r="Z493" s="164"/>
      <c r="AA493" s="164"/>
      <c r="AB493" s="164"/>
      <c r="AC493" s="164"/>
      <c r="AD493" s="164"/>
      <c r="AE493" s="164"/>
      <c r="AF493" s="164"/>
      <c r="AG493" s="164"/>
      <c r="AH493" s="164"/>
      <c r="AI493" s="164"/>
      <c r="AJ493" s="164"/>
      <c r="AK493" s="164"/>
      <c r="AL493" s="164"/>
      <c r="AM493" s="164"/>
      <c r="AN493" s="165"/>
      <c r="AO493" s="166">
        <f t="shared" si="198"/>
        <v>60</v>
      </c>
      <c r="AP493" s="12"/>
      <c r="AQ493" s="167">
        <f t="shared" si="219"/>
        <v>0</v>
      </c>
      <c r="AR493" s="12"/>
      <c r="AS493" s="167">
        <f t="shared" si="220"/>
        <v>0</v>
      </c>
      <c r="AT493" s="168">
        <f t="shared" si="221"/>
        <v>0</v>
      </c>
      <c r="AU493" s="167">
        <f t="shared" si="222"/>
        <v>0</v>
      </c>
    </row>
    <row r="494" spans="1:47" ht="30" customHeight="1" x14ac:dyDescent="0.25">
      <c r="A494" s="76"/>
      <c r="B494" s="158" t="s">
        <v>1914</v>
      </c>
      <c r="C494" s="411" t="s">
        <v>1900</v>
      </c>
      <c r="D494" s="412"/>
      <c r="E494" s="408"/>
      <c r="F494" s="409"/>
      <c r="G494" s="394"/>
      <c r="H494" s="394"/>
      <c r="I494" s="162" t="s">
        <v>1138</v>
      </c>
      <c r="J494" s="163"/>
      <c r="K494" s="164">
        <v>8</v>
      </c>
      <c r="L494" s="164"/>
      <c r="M494" s="164"/>
      <c r="N494" s="164">
        <v>6</v>
      </c>
      <c r="O494" s="164"/>
      <c r="P494" s="164"/>
      <c r="Q494" s="164"/>
      <c r="R494" s="164"/>
      <c r="S494" s="164"/>
      <c r="T494" s="164"/>
      <c r="U494" s="164"/>
      <c r="V494" s="164"/>
      <c r="W494" s="164"/>
      <c r="X494" s="164"/>
      <c r="Y494" s="164"/>
      <c r="Z494" s="164"/>
      <c r="AA494" s="164"/>
      <c r="AB494" s="164"/>
      <c r="AC494" s="164"/>
      <c r="AD494" s="164"/>
      <c r="AE494" s="164"/>
      <c r="AF494" s="164"/>
      <c r="AG494" s="164"/>
      <c r="AH494" s="164"/>
      <c r="AI494" s="164"/>
      <c r="AJ494" s="164"/>
      <c r="AK494" s="164"/>
      <c r="AL494" s="164"/>
      <c r="AM494" s="164"/>
      <c r="AN494" s="165"/>
      <c r="AO494" s="166">
        <f t="shared" si="198"/>
        <v>14</v>
      </c>
      <c r="AP494" s="12"/>
      <c r="AQ494" s="167">
        <f t="shared" si="219"/>
        <v>0</v>
      </c>
      <c r="AR494" s="12"/>
      <c r="AS494" s="167">
        <f t="shared" si="220"/>
        <v>0</v>
      </c>
      <c r="AT494" s="168">
        <f t="shared" si="221"/>
        <v>0</v>
      </c>
      <c r="AU494" s="167">
        <f t="shared" si="222"/>
        <v>0</v>
      </c>
    </row>
    <row r="495" spans="1:47" ht="30" customHeight="1" x14ac:dyDescent="0.25">
      <c r="A495" s="76"/>
      <c r="B495" s="169" t="s">
        <v>1915</v>
      </c>
      <c r="C495" s="404" t="s">
        <v>1923</v>
      </c>
      <c r="D495" s="405"/>
      <c r="E495" s="400"/>
      <c r="F495" s="402"/>
      <c r="G495" s="395"/>
      <c r="H495" s="395"/>
      <c r="I495" s="173" t="s">
        <v>532</v>
      </c>
      <c r="J495" s="174"/>
      <c r="K495" s="175">
        <v>65</v>
      </c>
      <c r="L495" s="175"/>
      <c r="M495" s="175"/>
      <c r="N495" s="175">
        <v>70</v>
      </c>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5"/>
      <c r="AJ495" s="175"/>
      <c r="AK495" s="175"/>
      <c r="AL495" s="175"/>
      <c r="AM495" s="175"/>
      <c r="AN495" s="176"/>
      <c r="AO495" s="177">
        <f t="shared" si="198"/>
        <v>135</v>
      </c>
      <c r="AP495" s="14"/>
      <c r="AQ495" s="178">
        <f t="shared" si="219"/>
        <v>0</v>
      </c>
      <c r="AR495" s="14"/>
      <c r="AS495" s="178">
        <f t="shared" si="220"/>
        <v>0</v>
      </c>
      <c r="AT495" s="179">
        <f t="shared" si="221"/>
        <v>0</v>
      </c>
      <c r="AU495" s="178">
        <f t="shared" si="222"/>
        <v>0</v>
      </c>
    </row>
    <row r="496" spans="1:47" ht="29.25" customHeight="1" x14ac:dyDescent="0.25">
      <c r="A496" s="76"/>
      <c r="B496" s="148" t="s">
        <v>1924</v>
      </c>
      <c r="C496" s="406" t="s">
        <v>1930</v>
      </c>
      <c r="D496" s="407"/>
      <c r="E496" s="399" t="s">
        <v>1929</v>
      </c>
      <c r="F496" s="401"/>
      <c r="G496" s="403" t="s">
        <v>1079</v>
      </c>
      <c r="H496" s="403" t="s">
        <v>1079</v>
      </c>
      <c r="I496" s="151" t="s">
        <v>393</v>
      </c>
      <c r="J496" s="152">
        <v>1</v>
      </c>
      <c r="K496" s="153"/>
      <c r="L496" s="153"/>
      <c r="M496" s="153"/>
      <c r="N496" s="153"/>
      <c r="O496" s="153"/>
      <c r="P496" s="153"/>
      <c r="Q496" s="153"/>
      <c r="R496" s="153"/>
      <c r="S496" s="153"/>
      <c r="T496" s="153"/>
      <c r="U496" s="153"/>
      <c r="V496" s="153"/>
      <c r="W496" s="153"/>
      <c r="X496" s="153"/>
      <c r="Y496" s="153"/>
      <c r="Z496" s="153"/>
      <c r="AA496" s="153"/>
      <c r="AB496" s="153"/>
      <c r="AC496" s="153"/>
      <c r="AD496" s="153"/>
      <c r="AE496" s="153"/>
      <c r="AF496" s="153"/>
      <c r="AG496" s="153"/>
      <c r="AH496" s="153"/>
      <c r="AI496" s="153"/>
      <c r="AJ496" s="153"/>
      <c r="AK496" s="153"/>
      <c r="AL496" s="153"/>
      <c r="AM496" s="153"/>
      <c r="AN496" s="154"/>
      <c r="AO496" s="155">
        <f t="shared" si="198"/>
        <v>1</v>
      </c>
      <c r="AP496" s="13"/>
      <c r="AQ496" s="156">
        <f t="shared" ref="AQ496:AQ500" si="223">+AP496*AO496</f>
        <v>0</v>
      </c>
      <c r="AR496" s="13"/>
      <c r="AS496" s="156">
        <f t="shared" ref="AS496:AS500" si="224">+AR496*AO496</f>
        <v>0</v>
      </c>
      <c r="AT496" s="157">
        <f t="shared" ref="AT496:AT500" si="225">+AR496+AP496</f>
        <v>0</v>
      </c>
      <c r="AU496" s="156">
        <f t="shared" ref="AU496:AU500" si="226">+AT496*AO496</f>
        <v>0</v>
      </c>
    </row>
    <row r="497" spans="1:47" ht="29.25" customHeight="1" x14ac:dyDescent="0.25">
      <c r="A497" s="76"/>
      <c r="B497" s="158" t="s">
        <v>1925</v>
      </c>
      <c r="C497" s="411" t="s">
        <v>1931</v>
      </c>
      <c r="D497" s="412"/>
      <c r="E497" s="408"/>
      <c r="F497" s="409"/>
      <c r="G497" s="394"/>
      <c r="H497" s="394"/>
      <c r="I497" s="162" t="s">
        <v>393</v>
      </c>
      <c r="J497" s="163">
        <v>1</v>
      </c>
      <c r="K497" s="164"/>
      <c r="L497" s="164"/>
      <c r="M497" s="164"/>
      <c r="N497" s="164"/>
      <c r="O497" s="164"/>
      <c r="P497" s="164"/>
      <c r="Q497" s="164"/>
      <c r="R497" s="164"/>
      <c r="S497" s="164"/>
      <c r="T497" s="164"/>
      <c r="U497" s="164"/>
      <c r="V497" s="164"/>
      <c r="W497" s="164"/>
      <c r="X497" s="164"/>
      <c r="Y497" s="164"/>
      <c r="Z497" s="164"/>
      <c r="AA497" s="164"/>
      <c r="AB497" s="164"/>
      <c r="AC497" s="164"/>
      <c r="AD497" s="164"/>
      <c r="AE497" s="164"/>
      <c r="AF497" s="164"/>
      <c r="AG497" s="164"/>
      <c r="AH497" s="164"/>
      <c r="AI497" s="164"/>
      <c r="AJ497" s="164"/>
      <c r="AK497" s="164"/>
      <c r="AL497" s="164"/>
      <c r="AM497" s="164"/>
      <c r="AN497" s="165"/>
      <c r="AO497" s="166">
        <f t="shared" si="198"/>
        <v>1</v>
      </c>
      <c r="AP497" s="12"/>
      <c r="AQ497" s="167">
        <f t="shared" si="223"/>
        <v>0</v>
      </c>
      <c r="AR497" s="12"/>
      <c r="AS497" s="167">
        <f t="shared" si="224"/>
        <v>0</v>
      </c>
      <c r="AT497" s="168">
        <f t="shared" si="225"/>
        <v>0</v>
      </c>
      <c r="AU497" s="167">
        <f t="shared" si="226"/>
        <v>0</v>
      </c>
    </row>
    <row r="498" spans="1:47" ht="29.25" customHeight="1" x14ac:dyDescent="0.25">
      <c r="A498" s="76"/>
      <c r="B498" s="158" t="s">
        <v>1926</v>
      </c>
      <c r="C498" s="411" t="s">
        <v>1932</v>
      </c>
      <c r="D498" s="412"/>
      <c r="E498" s="408"/>
      <c r="F498" s="409"/>
      <c r="G498" s="394"/>
      <c r="H498" s="394"/>
      <c r="I498" s="162" t="s">
        <v>393</v>
      </c>
      <c r="J498" s="163">
        <v>1</v>
      </c>
      <c r="K498" s="164"/>
      <c r="L498" s="164"/>
      <c r="M498" s="164"/>
      <c r="N498" s="164"/>
      <c r="O498" s="164"/>
      <c r="P498" s="164"/>
      <c r="Q498" s="164"/>
      <c r="R498" s="164"/>
      <c r="S498" s="164"/>
      <c r="T498" s="164"/>
      <c r="U498" s="164"/>
      <c r="V498" s="164"/>
      <c r="W498" s="164"/>
      <c r="X498" s="164"/>
      <c r="Y498" s="164"/>
      <c r="Z498" s="164"/>
      <c r="AA498" s="164"/>
      <c r="AB498" s="164"/>
      <c r="AC498" s="164"/>
      <c r="AD498" s="164"/>
      <c r="AE498" s="164"/>
      <c r="AF498" s="164"/>
      <c r="AG498" s="164"/>
      <c r="AH498" s="164"/>
      <c r="AI498" s="164"/>
      <c r="AJ498" s="164"/>
      <c r="AK498" s="164"/>
      <c r="AL498" s="164"/>
      <c r="AM498" s="164"/>
      <c r="AN498" s="165"/>
      <c r="AO498" s="166">
        <f t="shared" si="198"/>
        <v>1</v>
      </c>
      <c r="AP498" s="12"/>
      <c r="AQ498" s="167">
        <f t="shared" si="223"/>
        <v>0</v>
      </c>
      <c r="AR498" s="12"/>
      <c r="AS498" s="167">
        <f t="shared" si="224"/>
        <v>0</v>
      </c>
      <c r="AT498" s="168">
        <f t="shared" si="225"/>
        <v>0</v>
      </c>
      <c r="AU498" s="167">
        <f t="shared" si="226"/>
        <v>0</v>
      </c>
    </row>
    <row r="499" spans="1:47" ht="29.25" customHeight="1" x14ac:dyDescent="0.25">
      <c r="A499" s="76"/>
      <c r="B499" s="158" t="s">
        <v>1927</v>
      </c>
      <c r="C499" s="411" t="s">
        <v>1933</v>
      </c>
      <c r="D499" s="412"/>
      <c r="E499" s="408"/>
      <c r="F499" s="409"/>
      <c r="G499" s="394"/>
      <c r="H499" s="394"/>
      <c r="I499" s="162" t="s">
        <v>393</v>
      </c>
      <c r="J499" s="163">
        <v>1</v>
      </c>
      <c r="K499" s="164"/>
      <c r="L499" s="164"/>
      <c r="M499" s="164"/>
      <c r="N499" s="164"/>
      <c r="O499" s="164"/>
      <c r="P499" s="164"/>
      <c r="Q499" s="164"/>
      <c r="R499" s="164"/>
      <c r="S499" s="164"/>
      <c r="T499" s="164"/>
      <c r="U499" s="164"/>
      <c r="V499" s="164"/>
      <c r="W499" s="164"/>
      <c r="X499" s="164"/>
      <c r="Y499" s="164"/>
      <c r="Z499" s="164"/>
      <c r="AA499" s="164"/>
      <c r="AB499" s="164"/>
      <c r="AC499" s="164"/>
      <c r="AD499" s="164"/>
      <c r="AE499" s="164"/>
      <c r="AF499" s="164"/>
      <c r="AG499" s="164"/>
      <c r="AH499" s="164"/>
      <c r="AI499" s="164"/>
      <c r="AJ499" s="164"/>
      <c r="AK499" s="164"/>
      <c r="AL499" s="164"/>
      <c r="AM499" s="164"/>
      <c r="AN499" s="165"/>
      <c r="AO499" s="166">
        <f t="shared" si="198"/>
        <v>1</v>
      </c>
      <c r="AP499" s="12"/>
      <c r="AQ499" s="167">
        <f t="shared" si="223"/>
        <v>0</v>
      </c>
      <c r="AR499" s="12"/>
      <c r="AS499" s="167">
        <f t="shared" si="224"/>
        <v>0</v>
      </c>
      <c r="AT499" s="168">
        <f t="shared" si="225"/>
        <v>0</v>
      </c>
      <c r="AU499" s="167">
        <f t="shared" si="226"/>
        <v>0</v>
      </c>
    </row>
    <row r="500" spans="1:47" ht="29.25" customHeight="1" thickBot="1" x14ac:dyDescent="0.3">
      <c r="A500" s="76"/>
      <c r="B500" s="169" t="s">
        <v>1928</v>
      </c>
      <c r="C500" s="404" t="s">
        <v>1934</v>
      </c>
      <c r="D500" s="405"/>
      <c r="E500" s="400"/>
      <c r="F500" s="402"/>
      <c r="G500" s="395"/>
      <c r="H500" s="395"/>
      <c r="I500" s="173" t="s">
        <v>393</v>
      </c>
      <c r="J500" s="174">
        <v>1</v>
      </c>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5"/>
      <c r="AJ500" s="175"/>
      <c r="AK500" s="175"/>
      <c r="AL500" s="175"/>
      <c r="AM500" s="175"/>
      <c r="AN500" s="176"/>
      <c r="AO500" s="177">
        <f t="shared" si="198"/>
        <v>1</v>
      </c>
      <c r="AP500" s="14"/>
      <c r="AQ500" s="178">
        <f t="shared" si="223"/>
        <v>0</v>
      </c>
      <c r="AR500" s="14"/>
      <c r="AS500" s="178">
        <f t="shared" si="224"/>
        <v>0</v>
      </c>
      <c r="AT500" s="179">
        <f t="shared" si="225"/>
        <v>0</v>
      </c>
      <c r="AU500" s="178">
        <f t="shared" si="226"/>
        <v>0</v>
      </c>
    </row>
    <row r="501" spans="1:47" ht="37.5" customHeight="1" thickTop="1" thickBot="1" x14ac:dyDescent="0.3">
      <c r="A501" s="53"/>
      <c r="B501" s="54"/>
      <c r="C501" s="272" t="s">
        <v>1935</v>
      </c>
      <c r="D501" s="273"/>
      <c r="E501" s="273"/>
      <c r="F501" s="273"/>
      <c r="G501" s="31"/>
      <c r="H501" s="32"/>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2"/>
      <c r="AP501" s="33"/>
      <c r="AQ501" s="34">
        <f>+AQ502+AQ544+AQ575+AQ589+AQ600+AQ634</f>
        <v>0</v>
      </c>
      <c r="AR501" s="33"/>
      <c r="AS501" s="34">
        <f>+AS502+AS544+AS575+AS589+AS600+AS634</f>
        <v>0</v>
      </c>
      <c r="AT501" s="35"/>
      <c r="AU501" s="34">
        <f>+AU502+AU544+AU575+AU589+AU600+AU634</f>
        <v>0</v>
      </c>
    </row>
    <row r="502" spans="1:47" ht="52.5" customHeight="1" thickTop="1" x14ac:dyDescent="0.25">
      <c r="A502" s="140"/>
      <c r="B502" s="37">
        <v>14</v>
      </c>
      <c r="C502" s="270" t="s">
        <v>1936</v>
      </c>
      <c r="D502" s="271"/>
      <c r="E502" s="271"/>
      <c r="F502" s="356"/>
      <c r="G502" s="97"/>
      <c r="H502" s="84"/>
      <c r="I502" s="97"/>
      <c r="J502" s="83"/>
      <c r="K502" s="83"/>
      <c r="L502" s="83"/>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4"/>
      <c r="AP502" s="78"/>
      <c r="AQ502" s="79">
        <f>SUM(AQ503:AQ543)</f>
        <v>0</v>
      </c>
      <c r="AR502" s="78"/>
      <c r="AS502" s="79">
        <f>SUM(AS503:AS543)</f>
        <v>0</v>
      </c>
      <c r="AT502" s="78"/>
      <c r="AU502" s="79">
        <f>SUM(AU503:AU543)</f>
        <v>0</v>
      </c>
    </row>
    <row r="503" spans="1:47" ht="37.5" customHeight="1" x14ac:dyDescent="0.25">
      <c r="A503" s="76"/>
      <c r="B503" s="148" t="s">
        <v>1937</v>
      </c>
      <c r="C503" s="406" t="s">
        <v>1940</v>
      </c>
      <c r="D503" s="407"/>
      <c r="E503" s="399" t="s">
        <v>1939</v>
      </c>
      <c r="F503" s="401" t="s">
        <v>1942</v>
      </c>
      <c r="G503" s="403" t="s">
        <v>1079</v>
      </c>
      <c r="H503" s="403" t="s">
        <v>1079</v>
      </c>
      <c r="I503" s="151" t="s">
        <v>393</v>
      </c>
      <c r="J503" s="152"/>
      <c r="K503" s="153">
        <v>1</v>
      </c>
      <c r="L503" s="153"/>
      <c r="M503" s="153"/>
      <c r="N503" s="153"/>
      <c r="O503" s="153"/>
      <c r="P503" s="153"/>
      <c r="Q503" s="153"/>
      <c r="R503" s="153"/>
      <c r="S503" s="153"/>
      <c r="T503" s="153"/>
      <c r="U503" s="153"/>
      <c r="V503" s="153"/>
      <c r="W503" s="153"/>
      <c r="X503" s="153"/>
      <c r="Y503" s="153"/>
      <c r="Z503" s="153"/>
      <c r="AA503" s="153"/>
      <c r="AB503" s="153"/>
      <c r="AC503" s="153"/>
      <c r="AD503" s="153"/>
      <c r="AE503" s="153"/>
      <c r="AF503" s="153"/>
      <c r="AG503" s="153"/>
      <c r="AH503" s="153"/>
      <c r="AI503" s="153"/>
      <c r="AJ503" s="153"/>
      <c r="AK503" s="153"/>
      <c r="AL503" s="153"/>
      <c r="AM503" s="153"/>
      <c r="AN503" s="154"/>
      <c r="AO503" s="155">
        <f t="shared" ref="AO503:AO543" si="227">SUM(J503:AN503)</f>
        <v>1</v>
      </c>
      <c r="AP503" s="13"/>
      <c r="AQ503" s="156">
        <f t="shared" ref="AQ503:AQ528" si="228">+AP503*AO503</f>
        <v>0</v>
      </c>
      <c r="AR503" s="13"/>
      <c r="AS503" s="156">
        <f t="shared" ref="AS503:AS528" si="229">+AR503*AO503</f>
        <v>0</v>
      </c>
      <c r="AT503" s="157">
        <f t="shared" ref="AT503:AT528" si="230">+AR503+AP503</f>
        <v>0</v>
      </c>
      <c r="AU503" s="156">
        <f t="shared" ref="AU503:AU528" si="231">+AT503*AO503</f>
        <v>0</v>
      </c>
    </row>
    <row r="504" spans="1:47" ht="37.5" customHeight="1" x14ac:dyDescent="0.25">
      <c r="A504" s="76"/>
      <c r="B504" s="169" t="s">
        <v>1938</v>
      </c>
      <c r="C504" s="404" t="s">
        <v>1941</v>
      </c>
      <c r="D504" s="405"/>
      <c r="E504" s="400"/>
      <c r="F504" s="402"/>
      <c r="G504" s="395"/>
      <c r="H504" s="395"/>
      <c r="I504" s="173" t="s">
        <v>393</v>
      </c>
      <c r="J504" s="174"/>
      <c r="K504" s="175"/>
      <c r="L504" s="175"/>
      <c r="M504" s="175">
        <v>1</v>
      </c>
      <c r="N504" s="175"/>
      <c r="O504" s="175"/>
      <c r="P504" s="175"/>
      <c r="Q504" s="175"/>
      <c r="R504" s="175"/>
      <c r="S504" s="175"/>
      <c r="T504" s="175"/>
      <c r="U504" s="175"/>
      <c r="V504" s="175"/>
      <c r="W504" s="175"/>
      <c r="X504" s="175"/>
      <c r="Y504" s="175"/>
      <c r="Z504" s="175"/>
      <c r="AA504" s="175"/>
      <c r="AB504" s="175"/>
      <c r="AC504" s="175"/>
      <c r="AD504" s="175"/>
      <c r="AE504" s="175"/>
      <c r="AF504" s="175"/>
      <c r="AG504" s="175"/>
      <c r="AH504" s="175"/>
      <c r="AI504" s="175"/>
      <c r="AJ504" s="175"/>
      <c r="AK504" s="175"/>
      <c r="AL504" s="175"/>
      <c r="AM504" s="175"/>
      <c r="AN504" s="176"/>
      <c r="AO504" s="177">
        <f t="shared" si="227"/>
        <v>1</v>
      </c>
      <c r="AP504" s="14"/>
      <c r="AQ504" s="178">
        <f t="shared" si="228"/>
        <v>0</v>
      </c>
      <c r="AR504" s="14"/>
      <c r="AS504" s="178">
        <f t="shared" si="229"/>
        <v>0</v>
      </c>
      <c r="AT504" s="179">
        <f t="shared" si="230"/>
        <v>0</v>
      </c>
      <c r="AU504" s="178">
        <f t="shared" si="231"/>
        <v>0</v>
      </c>
    </row>
    <row r="505" spans="1:47" ht="29.25" customHeight="1" x14ac:dyDescent="0.25">
      <c r="A505" s="76"/>
      <c r="B505" s="148" t="s">
        <v>1944</v>
      </c>
      <c r="C505" s="406" t="s">
        <v>1968</v>
      </c>
      <c r="D505" s="407"/>
      <c r="E505" s="399" t="s">
        <v>1943</v>
      </c>
      <c r="F505" s="401" t="s">
        <v>1942</v>
      </c>
      <c r="G505" s="403" t="s">
        <v>1079</v>
      </c>
      <c r="H505" s="403" t="s">
        <v>1079</v>
      </c>
      <c r="I505" s="151" t="s">
        <v>1138</v>
      </c>
      <c r="J505" s="152">
        <v>9</v>
      </c>
      <c r="K505" s="153">
        <v>22</v>
      </c>
      <c r="L505" s="153">
        <v>45</v>
      </c>
      <c r="M505" s="153"/>
      <c r="N505" s="153"/>
      <c r="O505" s="153"/>
      <c r="P505" s="153"/>
      <c r="Q505" s="153"/>
      <c r="R505" s="153"/>
      <c r="S505" s="153"/>
      <c r="T505" s="153"/>
      <c r="U505" s="153"/>
      <c r="V505" s="153"/>
      <c r="W505" s="153"/>
      <c r="X505" s="153"/>
      <c r="Y505" s="153"/>
      <c r="Z505" s="153"/>
      <c r="AA505" s="153"/>
      <c r="AB505" s="153"/>
      <c r="AC505" s="153"/>
      <c r="AD505" s="153"/>
      <c r="AE505" s="153"/>
      <c r="AF505" s="153"/>
      <c r="AG505" s="153"/>
      <c r="AH505" s="153"/>
      <c r="AI505" s="153"/>
      <c r="AJ505" s="153"/>
      <c r="AK505" s="153"/>
      <c r="AL505" s="153"/>
      <c r="AM505" s="153"/>
      <c r="AN505" s="154"/>
      <c r="AO505" s="155">
        <f t="shared" si="227"/>
        <v>76</v>
      </c>
      <c r="AP505" s="13"/>
      <c r="AQ505" s="156">
        <f t="shared" si="228"/>
        <v>0</v>
      </c>
      <c r="AR505" s="13"/>
      <c r="AS505" s="156">
        <f t="shared" si="229"/>
        <v>0</v>
      </c>
      <c r="AT505" s="157">
        <f t="shared" si="230"/>
        <v>0</v>
      </c>
      <c r="AU505" s="156">
        <f t="shared" si="231"/>
        <v>0</v>
      </c>
    </row>
    <row r="506" spans="1:47" ht="29.25" customHeight="1" x14ac:dyDescent="0.25">
      <c r="A506" s="76"/>
      <c r="B506" s="158" t="s">
        <v>1945</v>
      </c>
      <c r="C506" s="411" t="s">
        <v>1969</v>
      </c>
      <c r="D506" s="412"/>
      <c r="E506" s="408"/>
      <c r="F506" s="409"/>
      <c r="G506" s="394"/>
      <c r="H506" s="394"/>
      <c r="I506" s="207" t="s">
        <v>1138</v>
      </c>
      <c r="J506" s="208"/>
      <c r="K506" s="209"/>
      <c r="L506" s="209"/>
      <c r="M506" s="209"/>
      <c r="N506" s="209"/>
      <c r="O506" s="209"/>
      <c r="P506" s="209"/>
      <c r="Q506" s="209"/>
      <c r="R506" s="209"/>
      <c r="S506" s="209"/>
      <c r="T506" s="209"/>
      <c r="U506" s="209"/>
      <c r="V506" s="209"/>
      <c r="W506" s="209"/>
      <c r="X506" s="209"/>
      <c r="Y506" s="209"/>
      <c r="Z506" s="209"/>
      <c r="AA506" s="209"/>
      <c r="AB506" s="209"/>
      <c r="AC506" s="209"/>
      <c r="AD506" s="209"/>
      <c r="AE506" s="209"/>
      <c r="AF506" s="209"/>
      <c r="AG506" s="209"/>
      <c r="AH506" s="209"/>
      <c r="AI506" s="209"/>
      <c r="AJ506" s="209"/>
      <c r="AK506" s="209"/>
      <c r="AL506" s="209"/>
      <c r="AM506" s="209"/>
      <c r="AN506" s="210"/>
      <c r="AO506" s="211">
        <f t="shared" si="227"/>
        <v>0</v>
      </c>
      <c r="AP506" s="12"/>
      <c r="AQ506" s="167">
        <f t="shared" ref="AQ506:AQ524" si="232">+AP506*AO506</f>
        <v>0</v>
      </c>
      <c r="AR506" s="12"/>
      <c r="AS506" s="167">
        <f t="shared" ref="AS506:AS524" si="233">+AR506*AO506</f>
        <v>0</v>
      </c>
      <c r="AT506" s="168">
        <f t="shared" ref="AT506:AT524" si="234">+AR506+AP506</f>
        <v>0</v>
      </c>
      <c r="AU506" s="167">
        <f t="shared" ref="AU506:AU524" si="235">+AT506*AO506</f>
        <v>0</v>
      </c>
    </row>
    <row r="507" spans="1:47" ht="29.25" customHeight="1" x14ac:dyDescent="0.25">
      <c r="A507" s="76"/>
      <c r="B507" s="158" t="s">
        <v>1946</v>
      </c>
      <c r="C507" s="411" t="s">
        <v>1970</v>
      </c>
      <c r="D507" s="412"/>
      <c r="E507" s="408"/>
      <c r="F507" s="409"/>
      <c r="G507" s="394"/>
      <c r="H507" s="394"/>
      <c r="I507" s="207" t="s">
        <v>1138</v>
      </c>
      <c r="J507" s="208"/>
      <c r="K507" s="209">
        <v>11</v>
      </c>
      <c r="L507" s="209">
        <v>13</v>
      </c>
      <c r="M507" s="209"/>
      <c r="N507" s="209"/>
      <c r="O507" s="209"/>
      <c r="P507" s="209"/>
      <c r="Q507" s="209"/>
      <c r="R507" s="209"/>
      <c r="S507" s="209"/>
      <c r="T507" s="209"/>
      <c r="U507" s="209"/>
      <c r="V507" s="209"/>
      <c r="W507" s="209"/>
      <c r="X507" s="209"/>
      <c r="Y507" s="209"/>
      <c r="Z507" s="209"/>
      <c r="AA507" s="209"/>
      <c r="AB507" s="209"/>
      <c r="AC507" s="209"/>
      <c r="AD507" s="209"/>
      <c r="AE507" s="209"/>
      <c r="AF507" s="209"/>
      <c r="AG507" s="209"/>
      <c r="AH507" s="209"/>
      <c r="AI507" s="209"/>
      <c r="AJ507" s="209"/>
      <c r="AK507" s="209"/>
      <c r="AL507" s="209"/>
      <c r="AM507" s="209"/>
      <c r="AN507" s="210"/>
      <c r="AO507" s="211">
        <f t="shared" si="227"/>
        <v>24</v>
      </c>
      <c r="AP507" s="12"/>
      <c r="AQ507" s="167">
        <f t="shared" si="232"/>
        <v>0</v>
      </c>
      <c r="AR507" s="12"/>
      <c r="AS507" s="167">
        <f t="shared" si="233"/>
        <v>0</v>
      </c>
      <c r="AT507" s="168">
        <f t="shared" si="234"/>
        <v>0</v>
      </c>
      <c r="AU507" s="167">
        <f t="shared" si="235"/>
        <v>0</v>
      </c>
    </row>
    <row r="508" spans="1:47" ht="29.25" customHeight="1" x14ac:dyDescent="0.25">
      <c r="A508" s="76"/>
      <c r="B508" s="158" t="s">
        <v>1947</v>
      </c>
      <c r="C508" s="411" t="s">
        <v>1971</v>
      </c>
      <c r="D508" s="412"/>
      <c r="E508" s="408"/>
      <c r="F508" s="409"/>
      <c r="G508" s="394"/>
      <c r="H508" s="394"/>
      <c r="I508" s="207" t="s">
        <v>1138</v>
      </c>
      <c r="J508" s="208"/>
      <c r="K508" s="209"/>
      <c r="L508" s="209"/>
      <c r="M508" s="209"/>
      <c r="N508" s="209"/>
      <c r="O508" s="209"/>
      <c r="P508" s="209"/>
      <c r="Q508" s="209"/>
      <c r="R508" s="209"/>
      <c r="S508" s="209"/>
      <c r="T508" s="209"/>
      <c r="U508" s="209"/>
      <c r="V508" s="209"/>
      <c r="W508" s="209"/>
      <c r="X508" s="209"/>
      <c r="Y508" s="209"/>
      <c r="Z508" s="209"/>
      <c r="AA508" s="209"/>
      <c r="AB508" s="209"/>
      <c r="AC508" s="209"/>
      <c r="AD508" s="209"/>
      <c r="AE508" s="209"/>
      <c r="AF508" s="209"/>
      <c r="AG508" s="209"/>
      <c r="AH508" s="209"/>
      <c r="AI508" s="209"/>
      <c r="AJ508" s="209"/>
      <c r="AK508" s="209"/>
      <c r="AL508" s="209"/>
      <c r="AM508" s="209"/>
      <c r="AN508" s="210"/>
      <c r="AO508" s="211">
        <f t="shared" si="227"/>
        <v>0</v>
      </c>
      <c r="AP508" s="12"/>
      <c r="AQ508" s="167">
        <f t="shared" si="232"/>
        <v>0</v>
      </c>
      <c r="AR508" s="12"/>
      <c r="AS508" s="167">
        <f t="shared" si="233"/>
        <v>0</v>
      </c>
      <c r="AT508" s="168">
        <f t="shared" si="234"/>
        <v>0</v>
      </c>
      <c r="AU508" s="167">
        <f t="shared" si="235"/>
        <v>0</v>
      </c>
    </row>
    <row r="509" spans="1:47" ht="29.25" customHeight="1" x14ac:dyDescent="0.25">
      <c r="A509" s="76"/>
      <c r="B509" s="158" t="s">
        <v>1948</v>
      </c>
      <c r="C509" s="411" t="s">
        <v>1972</v>
      </c>
      <c r="D509" s="412"/>
      <c r="E509" s="408"/>
      <c r="F509" s="409"/>
      <c r="G509" s="394"/>
      <c r="H509" s="394"/>
      <c r="I509" s="207" t="s">
        <v>1138</v>
      </c>
      <c r="J509" s="208">
        <v>3</v>
      </c>
      <c r="K509" s="209">
        <v>2</v>
      </c>
      <c r="L509" s="209">
        <v>2</v>
      </c>
      <c r="M509" s="209"/>
      <c r="N509" s="209"/>
      <c r="O509" s="209"/>
      <c r="P509" s="209"/>
      <c r="Q509" s="209"/>
      <c r="R509" s="209"/>
      <c r="S509" s="209"/>
      <c r="T509" s="209"/>
      <c r="U509" s="209"/>
      <c r="V509" s="209"/>
      <c r="W509" s="209"/>
      <c r="X509" s="209"/>
      <c r="Y509" s="209"/>
      <c r="Z509" s="209"/>
      <c r="AA509" s="209"/>
      <c r="AB509" s="209"/>
      <c r="AC509" s="209"/>
      <c r="AD509" s="209"/>
      <c r="AE509" s="209"/>
      <c r="AF509" s="209"/>
      <c r="AG509" s="209"/>
      <c r="AH509" s="209"/>
      <c r="AI509" s="209"/>
      <c r="AJ509" s="209"/>
      <c r="AK509" s="209"/>
      <c r="AL509" s="209"/>
      <c r="AM509" s="209"/>
      <c r="AN509" s="210"/>
      <c r="AO509" s="211">
        <f t="shared" si="227"/>
        <v>7</v>
      </c>
      <c r="AP509" s="12"/>
      <c r="AQ509" s="167">
        <f t="shared" si="232"/>
        <v>0</v>
      </c>
      <c r="AR509" s="12"/>
      <c r="AS509" s="167">
        <f t="shared" si="233"/>
        <v>0</v>
      </c>
      <c r="AT509" s="168">
        <f t="shared" si="234"/>
        <v>0</v>
      </c>
      <c r="AU509" s="167">
        <f t="shared" si="235"/>
        <v>0</v>
      </c>
    </row>
    <row r="510" spans="1:47" ht="29.25" customHeight="1" x14ac:dyDescent="0.25">
      <c r="A510" s="76"/>
      <c r="B510" s="158" t="s">
        <v>1949</v>
      </c>
      <c r="C510" s="411" t="s">
        <v>1973</v>
      </c>
      <c r="D510" s="412"/>
      <c r="E510" s="408"/>
      <c r="F510" s="409"/>
      <c r="G510" s="394"/>
      <c r="H510" s="394"/>
      <c r="I510" s="207" t="s">
        <v>1138</v>
      </c>
      <c r="J510" s="208"/>
      <c r="K510" s="209">
        <v>1</v>
      </c>
      <c r="L510" s="209">
        <v>1</v>
      </c>
      <c r="M510" s="209"/>
      <c r="N510" s="209"/>
      <c r="O510" s="209"/>
      <c r="P510" s="209"/>
      <c r="Q510" s="209"/>
      <c r="R510" s="209"/>
      <c r="S510" s="209"/>
      <c r="T510" s="209"/>
      <c r="U510" s="209"/>
      <c r="V510" s="209"/>
      <c r="W510" s="209"/>
      <c r="X510" s="209"/>
      <c r="Y510" s="209"/>
      <c r="Z510" s="209"/>
      <c r="AA510" s="209"/>
      <c r="AB510" s="209"/>
      <c r="AC510" s="209"/>
      <c r="AD510" s="209"/>
      <c r="AE510" s="209"/>
      <c r="AF510" s="209"/>
      <c r="AG510" s="209"/>
      <c r="AH510" s="209"/>
      <c r="AI510" s="209"/>
      <c r="AJ510" s="209"/>
      <c r="AK510" s="209"/>
      <c r="AL510" s="209"/>
      <c r="AM510" s="209"/>
      <c r="AN510" s="210"/>
      <c r="AO510" s="211">
        <f t="shared" si="227"/>
        <v>2</v>
      </c>
      <c r="AP510" s="12"/>
      <c r="AQ510" s="167">
        <f t="shared" si="232"/>
        <v>0</v>
      </c>
      <c r="AR510" s="12"/>
      <c r="AS510" s="167">
        <f t="shared" si="233"/>
        <v>0</v>
      </c>
      <c r="AT510" s="168">
        <f t="shared" si="234"/>
        <v>0</v>
      </c>
      <c r="AU510" s="167">
        <f t="shared" si="235"/>
        <v>0</v>
      </c>
    </row>
    <row r="511" spans="1:47" ht="29.25" customHeight="1" x14ac:dyDescent="0.25">
      <c r="A511" s="76"/>
      <c r="B511" s="158" t="s">
        <v>1950</v>
      </c>
      <c r="C511" s="411" t="s">
        <v>1974</v>
      </c>
      <c r="D511" s="412"/>
      <c r="E511" s="408"/>
      <c r="F511" s="409"/>
      <c r="G511" s="394"/>
      <c r="H511" s="394"/>
      <c r="I511" s="207" t="s">
        <v>1138</v>
      </c>
      <c r="J511" s="208"/>
      <c r="K511" s="209"/>
      <c r="L511" s="209"/>
      <c r="M511" s="209"/>
      <c r="N511" s="209"/>
      <c r="O511" s="209"/>
      <c r="P511" s="209"/>
      <c r="Q511" s="209"/>
      <c r="R511" s="209"/>
      <c r="S511" s="209"/>
      <c r="T511" s="209"/>
      <c r="U511" s="209"/>
      <c r="V511" s="209"/>
      <c r="W511" s="209"/>
      <c r="X511" s="209"/>
      <c r="Y511" s="209"/>
      <c r="Z511" s="209"/>
      <c r="AA511" s="209"/>
      <c r="AB511" s="209"/>
      <c r="AC511" s="209"/>
      <c r="AD511" s="209"/>
      <c r="AE511" s="209"/>
      <c r="AF511" s="209"/>
      <c r="AG511" s="209"/>
      <c r="AH511" s="209"/>
      <c r="AI511" s="209"/>
      <c r="AJ511" s="209"/>
      <c r="AK511" s="209"/>
      <c r="AL511" s="209"/>
      <c r="AM511" s="209"/>
      <c r="AN511" s="210"/>
      <c r="AO511" s="211">
        <f t="shared" si="227"/>
        <v>0</v>
      </c>
      <c r="AP511" s="12"/>
      <c r="AQ511" s="167">
        <f t="shared" si="232"/>
        <v>0</v>
      </c>
      <c r="AR511" s="12"/>
      <c r="AS511" s="167">
        <f t="shared" si="233"/>
        <v>0</v>
      </c>
      <c r="AT511" s="168">
        <f t="shared" si="234"/>
        <v>0</v>
      </c>
      <c r="AU511" s="167">
        <f t="shared" si="235"/>
        <v>0</v>
      </c>
    </row>
    <row r="512" spans="1:47" ht="29.25" customHeight="1" x14ac:dyDescent="0.25">
      <c r="A512" s="76"/>
      <c r="B512" s="158" t="s">
        <v>1951</v>
      </c>
      <c r="C512" s="411" t="s">
        <v>1975</v>
      </c>
      <c r="D512" s="412"/>
      <c r="E512" s="408"/>
      <c r="F512" s="409"/>
      <c r="G512" s="394"/>
      <c r="H512" s="394"/>
      <c r="I512" s="207" t="s">
        <v>1138</v>
      </c>
      <c r="J512" s="208"/>
      <c r="K512" s="209"/>
      <c r="L512" s="209"/>
      <c r="M512" s="209"/>
      <c r="N512" s="209"/>
      <c r="O512" s="209"/>
      <c r="P512" s="209"/>
      <c r="Q512" s="209"/>
      <c r="R512" s="209"/>
      <c r="S512" s="209"/>
      <c r="T512" s="209"/>
      <c r="U512" s="209"/>
      <c r="V512" s="209"/>
      <c r="W512" s="209"/>
      <c r="X512" s="209"/>
      <c r="Y512" s="209"/>
      <c r="Z512" s="209"/>
      <c r="AA512" s="209"/>
      <c r="AB512" s="209"/>
      <c r="AC512" s="209"/>
      <c r="AD512" s="209"/>
      <c r="AE512" s="209"/>
      <c r="AF512" s="209"/>
      <c r="AG512" s="209"/>
      <c r="AH512" s="209"/>
      <c r="AI512" s="209"/>
      <c r="AJ512" s="209"/>
      <c r="AK512" s="209"/>
      <c r="AL512" s="209"/>
      <c r="AM512" s="209"/>
      <c r="AN512" s="210"/>
      <c r="AO512" s="211">
        <f t="shared" si="227"/>
        <v>0</v>
      </c>
      <c r="AP512" s="12"/>
      <c r="AQ512" s="167">
        <f t="shared" si="232"/>
        <v>0</v>
      </c>
      <c r="AR512" s="12"/>
      <c r="AS512" s="167">
        <f t="shared" si="233"/>
        <v>0</v>
      </c>
      <c r="AT512" s="168">
        <f t="shared" si="234"/>
        <v>0</v>
      </c>
      <c r="AU512" s="167">
        <f t="shared" si="235"/>
        <v>0</v>
      </c>
    </row>
    <row r="513" spans="1:47" ht="29.25" customHeight="1" x14ac:dyDescent="0.25">
      <c r="A513" s="76"/>
      <c r="B513" s="158" t="s">
        <v>1952</v>
      </c>
      <c r="C513" s="411" t="s">
        <v>1976</v>
      </c>
      <c r="D513" s="412"/>
      <c r="E513" s="408"/>
      <c r="F513" s="409"/>
      <c r="G513" s="394"/>
      <c r="H513" s="394"/>
      <c r="I513" s="207" t="s">
        <v>1138</v>
      </c>
      <c r="J513" s="208"/>
      <c r="K513" s="209"/>
      <c r="L513" s="209"/>
      <c r="M513" s="209"/>
      <c r="N513" s="209"/>
      <c r="O513" s="209"/>
      <c r="P513" s="209"/>
      <c r="Q513" s="209"/>
      <c r="R513" s="209"/>
      <c r="S513" s="209"/>
      <c r="T513" s="209"/>
      <c r="U513" s="209"/>
      <c r="V513" s="209"/>
      <c r="W513" s="209"/>
      <c r="X513" s="209"/>
      <c r="Y513" s="209"/>
      <c r="Z513" s="209"/>
      <c r="AA513" s="209"/>
      <c r="AB513" s="209"/>
      <c r="AC513" s="209"/>
      <c r="AD513" s="209"/>
      <c r="AE513" s="209"/>
      <c r="AF513" s="209"/>
      <c r="AG513" s="209"/>
      <c r="AH513" s="209"/>
      <c r="AI513" s="209"/>
      <c r="AJ513" s="209"/>
      <c r="AK513" s="209"/>
      <c r="AL513" s="209"/>
      <c r="AM513" s="209"/>
      <c r="AN513" s="210"/>
      <c r="AO513" s="211">
        <f t="shared" si="227"/>
        <v>0</v>
      </c>
      <c r="AP513" s="12"/>
      <c r="AQ513" s="167">
        <f t="shared" si="232"/>
        <v>0</v>
      </c>
      <c r="AR513" s="12"/>
      <c r="AS513" s="167">
        <f t="shared" si="233"/>
        <v>0</v>
      </c>
      <c r="AT513" s="168">
        <f t="shared" si="234"/>
        <v>0</v>
      </c>
      <c r="AU513" s="167">
        <f t="shared" si="235"/>
        <v>0</v>
      </c>
    </row>
    <row r="514" spans="1:47" ht="29.25" customHeight="1" x14ac:dyDescent="0.25">
      <c r="A514" s="76"/>
      <c r="B514" s="158" t="s">
        <v>1953</v>
      </c>
      <c r="C514" s="411" t="s">
        <v>1977</v>
      </c>
      <c r="D514" s="412"/>
      <c r="E514" s="408"/>
      <c r="F514" s="409"/>
      <c r="G514" s="394"/>
      <c r="H514" s="394"/>
      <c r="I514" s="207" t="s">
        <v>1138</v>
      </c>
      <c r="J514" s="208"/>
      <c r="K514" s="209"/>
      <c r="L514" s="209"/>
      <c r="M514" s="209"/>
      <c r="N514" s="209"/>
      <c r="O514" s="209"/>
      <c r="P514" s="209"/>
      <c r="Q514" s="209"/>
      <c r="R514" s="209"/>
      <c r="S514" s="209"/>
      <c r="T514" s="209"/>
      <c r="U514" s="209"/>
      <c r="V514" s="209"/>
      <c r="W514" s="209"/>
      <c r="X514" s="209"/>
      <c r="Y514" s="209"/>
      <c r="Z514" s="209"/>
      <c r="AA514" s="209"/>
      <c r="AB514" s="209"/>
      <c r="AC514" s="209"/>
      <c r="AD514" s="209"/>
      <c r="AE514" s="209"/>
      <c r="AF514" s="209"/>
      <c r="AG514" s="209"/>
      <c r="AH514" s="209"/>
      <c r="AI514" s="209"/>
      <c r="AJ514" s="209"/>
      <c r="AK514" s="209"/>
      <c r="AL514" s="209"/>
      <c r="AM514" s="209"/>
      <c r="AN514" s="210"/>
      <c r="AO514" s="211">
        <f t="shared" si="227"/>
        <v>0</v>
      </c>
      <c r="AP514" s="12"/>
      <c r="AQ514" s="167">
        <f t="shared" si="232"/>
        <v>0</v>
      </c>
      <c r="AR514" s="12"/>
      <c r="AS514" s="167">
        <f t="shared" si="233"/>
        <v>0</v>
      </c>
      <c r="AT514" s="168">
        <f t="shared" si="234"/>
        <v>0</v>
      </c>
      <c r="AU514" s="167">
        <f t="shared" si="235"/>
        <v>0</v>
      </c>
    </row>
    <row r="515" spans="1:47" ht="29.25" customHeight="1" x14ac:dyDescent="0.25">
      <c r="A515" s="76"/>
      <c r="B515" s="158" t="s">
        <v>1954</v>
      </c>
      <c r="C515" s="411" t="s">
        <v>1978</v>
      </c>
      <c r="D515" s="412"/>
      <c r="E515" s="408"/>
      <c r="F515" s="409"/>
      <c r="G515" s="394"/>
      <c r="H515" s="394"/>
      <c r="I515" s="207" t="s">
        <v>1138</v>
      </c>
      <c r="J515" s="208"/>
      <c r="K515" s="209">
        <v>7</v>
      </c>
      <c r="L515" s="209">
        <v>1</v>
      </c>
      <c r="M515" s="209"/>
      <c r="N515" s="209"/>
      <c r="O515" s="209"/>
      <c r="P515" s="209"/>
      <c r="Q515" s="209"/>
      <c r="R515" s="209"/>
      <c r="S515" s="209"/>
      <c r="T515" s="209"/>
      <c r="U515" s="209"/>
      <c r="V515" s="209"/>
      <c r="W515" s="209"/>
      <c r="X515" s="209"/>
      <c r="Y515" s="209"/>
      <c r="Z515" s="209"/>
      <c r="AA515" s="209"/>
      <c r="AB515" s="209"/>
      <c r="AC515" s="209"/>
      <c r="AD515" s="209"/>
      <c r="AE515" s="209"/>
      <c r="AF515" s="209"/>
      <c r="AG515" s="209"/>
      <c r="AH515" s="209"/>
      <c r="AI515" s="209"/>
      <c r="AJ515" s="209"/>
      <c r="AK515" s="209"/>
      <c r="AL515" s="209"/>
      <c r="AM515" s="209"/>
      <c r="AN515" s="210"/>
      <c r="AO515" s="211">
        <f t="shared" si="227"/>
        <v>8</v>
      </c>
      <c r="AP515" s="12"/>
      <c r="AQ515" s="167">
        <f t="shared" si="232"/>
        <v>0</v>
      </c>
      <c r="AR515" s="12"/>
      <c r="AS515" s="167">
        <f t="shared" si="233"/>
        <v>0</v>
      </c>
      <c r="AT515" s="168">
        <f t="shared" si="234"/>
        <v>0</v>
      </c>
      <c r="AU515" s="167">
        <f t="shared" si="235"/>
        <v>0</v>
      </c>
    </row>
    <row r="516" spans="1:47" ht="29.25" customHeight="1" x14ac:dyDescent="0.25">
      <c r="A516" s="76"/>
      <c r="B516" s="158" t="s">
        <v>1955</v>
      </c>
      <c r="C516" s="411" t="s">
        <v>1979</v>
      </c>
      <c r="D516" s="412"/>
      <c r="E516" s="408"/>
      <c r="F516" s="409"/>
      <c r="G516" s="394"/>
      <c r="H516" s="394"/>
      <c r="I516" s="207" t="s">
        <v>1138</v>
      </c>
      <c r="J516" s="208"/>
      <c r="K516" s="209">
        <v>12</v>
      </c>
      <c r="L516" s="209">
        <v>14</v>
      </c>
      <c r="M516" s="209"/>
      <c r="N516" s="209"/>
      <c r="O516" s="209"/>
      <c r="P516" s="209"/>
      <c r="Q516" s="209"/>
      <c r="R516" s="209"/>
      <c r="S516" s="209"/>
      <c r="T516" s="209"/>
      <c r="U516" s="209"/>
      <c r="V516" s="209"/>
      <c r="W516" s="209"/>
      <c r="X516" s="209"/>
      <c r="Y516" s="209"/>
      <c r="Z516" s="209"/>
      <c r="AA516" s="209"/>
      <c r="AB516" s="209"/>
      <c r="AC516" s="209"/>
      <c r="AD516" s="209"/>
      <c r="AE516" s="209"/>
      <c r="AF516" s="209"/>
      <c r="AG516" s="209"/>
      <c r="AH516" s="209"/>
      <c r="AI516" s="209"/>
      <c r="AJ516" s="209"/>
      <c r="AK516" s="209"/>
      <c r="AL516" s="209"/>
      <c r="AM516" s="209"/>
      <c r="AN516" s="210"/>
      <c r="AO516" s="211">
        <f t="shared" si="227"/>
        <v>26</v>
      </c>
      <c r="AP516" s="12"/>
      <c r="AQ516" s="167">
        <f t="shared" si="232"/>
        <v>0</v>
      </c>
      <c r="AR516" s="12"/>
      <c r="AS516" s="167">
        <f t="shared" si="233"/>
        <v>0</v>
      </c>
      <c r="AT516" s="168">
        <f t="shared" si="234"/>
        <v>0</v>
      </c>
      <c r="AU516" s="167">
        <f t="shared" si="235"/>
        <v>0</v>
      </c>
    </row>
    <row r="517" spans="1:47" ht="29.25" customHeight="1" x14ac:dyDescent="0.25">
      <c r="A517" s="76"/>
      <c r="B517" s="158" t="s">
        <v>1956</v>
      </c>
      <c r="C517" s="411" t="s">
        <v>1980</v>
      </c>
      <c r="D517" s="412"/>
      <c r="E517" s="408"/>
      <c r="F517" s="409"/>
      <c r="G517" s="394"/>
      <c r="H517" s="394"/>
      <c r="I517" s="207" t="s">
        <v>1138</v>
      </c>
      <c r="J517" s="208">
        <v>3</v>
      </c>
      <c r="K517" s="209">
        <v>10</v>
      </c>
      <c r="L517" s="209">
        <v>2</v>
      </c>
      <c r="M517" s="209"/>
      <c r="N517" s="209"/>
      <c r="O517" s="209"/>
      <c r="P517" s="209"/>
      <c r="Q517" s="209"/>
      <c r="R517" s="209"/>
      <c r="S517" s="209"/>
      <c r="T517" s="209"/>
      <c r="U517" s="209"/>
      <c r="V517" s="209"/>
      <c r="W517" s="209"/>
      <c r="X517" s="209"/>
      <c r="Y517" s="209"/>
      <c r="Z517" s="209"/>
      <c r="AA517" s="209"/>
      <c r="AB517" s="209"/>
      <c r="AC517" s="209"/>
      <c r="AD517" s="209"/>
      <c r="AE517" s="209"/>
      <c r="AF517" s="209"/>
      <c r="AG517" s="209"/>
      <c r="AH517" s="209"/>
      <c r="AI517" s="209"/>
      <c r="AJ517" s="209"/>
      <c r="AK517" s="209"/>
      <c r="AL517" s="209"/>
      <c r="AM517" s="209"/>
      <c r="AN517" s="210"/>
      <c r="AO517" s="211">
        <f t="shared" si="227"/>
        <v>15</v>
      </c>
      <c r="AP517" s="12"/>
      <c r="AQ517" s="167">
        <f t="shared" si="232"/>
        <v>0</v>
      </c>
      <c r="AR517" s="12"/>
      <c r="AS517" s="167">
        <f t="shared" si="233"/>
        <v>0</v>
      </c>
      <c r="AT517" s="168">
        <f t="shared" si="234"/>
        <v>0</v>
      </c>
      <c r="AU517" s="167">
        <f t="shared" si="235"/>
        <v>0</v>
      </c>
    </row>
    <row r="518" spans="1:47" ht="29.25" customHeight="1" x14ac:dyDescent="0.25">
      <c r="A518" s="76"/>
      <c r="B518" s="158" t="s">
        <v>1957</v>
      </c>
      <c r="C518" s="411" t="s">
        <v>1981</v>
      </c>
      <c r="D518" s="412"/>
      <c r="E518" s="408"/>
      <c r="F518" s="409"/>
      <c r="G518" s="394"/>
      <c r="H518" s="394"/>
      <c r="I518" s="207" t="s">
        <v>1138</v>
      </c>
      <c r="J518" s="208"/>
      <c r="K518" s="209"/>
      <c r="L518" s="209"/>
      <c r="M518" s="209"/>
      <c r="N518" s="209"/>
      <c r="O518" s="209"/>
      <c r="P518" s="209"/>
      <c r="Q518" s="209"/>
      <c r="R518" s="209"/>
      <c r="S518" s="209"/>
      <c r="T518" s="209"/>
      <c r="U518" s="209"/>
      <c r="V518" s="209"/>
      <c r="W518" s="209"/>
      <c r="X518" s="209"/>
      <c r="Y518" s="209"/>
      <c r="Z518" s="209"/>
      <c r="AA518" s="209"/>
      <c r="AB518" s="209"/>
      <c r="AC518" s="209"/>
      <c r="AD518" s="209"/>
      <c r="AE518" s="209"/>
      <c r="AF518" s="209"/>
      <c r="AG518" s="209"/>
      <c r="AH518" s="209"/>
      <c r="AI518" s="209"/>
      <c r="AJ518" s="209"/>
      <c r="AK518" s="209"/>
      <c r="AL518" s="209"/>
      <c r="AM518" s="209"/>
      <c r="AN518" s="210"/>
      <c r="AO518" s="211">
        <f t="shared" si="227"/>
        <v>0</v>
      </c>
      <c r="AP518" s="12"/>
      <c r="AQ518" s="167">
        <f t="shared" si="232"/>
        <v>0</v>
      </c>
      <c r="AR518" s="12"/>
      <c r="AS518" s="167">
        <f t="shared" si="233"/>
        <v>0</v>
      </c>
      <c r="AT518" s="168">
        <f t="shared" si="234"/>
        <v>0</v>
      </c>
      <c r="AU518" s="167">
        <f t="shared" si="235"/>
        <v>0</v>
      </c>
    </row>
    <row r="519" spans="1:47" ht="29.25" customHeight="1" x14ac:dyDescent="0.25">
      <c r="A519" s="76"/>
      <c r="B519" s="158" t="s">
        <v>1958</v>
      </c>
      <c r="C519" s="411" t="s">
        <v>1982</v>
      </c>
      <c r="D519" s="412"/>
      <c r="E519" s="408"/>
      <c r="F519" s="409"/>
      <c r="G519" s="394"/>
      <c r="H519" s="394"/>
      <c r="I519" s="207" t="s">
        <v>1138</v>
      </c>
      <c r="J519" s="208">
        <v>6</v>
      </c>
      <c r="K519" s="209">
        <v>12</v>
      </c>
      <c r="L519" s="209">
        <v>4</v>
      </c>
      <c r="M519" s="209"/>
      <c r="N519" s="209"/>
      <c r="O519" s="209"/>
      <c r="P519" s="209"/>
      <c r="Q519" s="209"/>
      <c r="R519" s="209"/>
      <c r="S519" s="209"/>
      <c r="T519" s="209"/>
      <c r="U519" s="209"/>
      <c r="V519" s="209"/>
      <c r="W519" s="209"/>
      <c r="X519" s="209"/>
      <c r="Y519" s="209"/>
      <c r="Z519" s="209"/>
      <c r="AA519" s="209"/>
      <c r="AB519" s="209"/>
      <c r="AC519" s="209"/>
      <c r="AD519" s="209"/>
      <c r="AE519" s="209"/>
      <c r="AF519" s="209"/>
      <c r="AG519" s="209"/>
      <c r="AH519" s="209"/>
      <c r="AI519" s="209"/>
      <c r="AJ519" s="209"/>
      <c r="AK519" s="209"/>
      <c r="AL519" s="209"/>
      <c r="AM519" s="209"/>
      <c r="AN519" s="210"/>
      <c r="AO519" s="211">
        <f t="shared" si="227"/>
        <v>22</v>
      </c>
      <c r="AP519" s="12"/>
      <c r="AQ519" s="167">
        <f t="shared" si="232"/>
        <v>0</v>
      </c>
      <c r="AR519" s="12"/>
      <c r="AS519" s="167">
        <f t="shared" si="233"/>
        <v>0</v>
      </c>
      <c r="AT519" s="168">
        <f t="shared" si="234"/>
        <v>0</v>
      </c>
      <c r="AU519" s="167">
        <f t="shared" si="235"/>
        <v>0</v>
      </c>
    </row>
    <row r="520" spans="1:47" ht="29.25" customHeight="1" x14ac:dyDescent="0.25">
      <c r="A520" s="76"/>
      <c r="B520" s="158" t="s">
        <v>1959</v>
      </c>
      <c r="C520" s="411" t="s">
        <v>1983</v>
      </c>
      <c r="D520" s="412"/>
      <c r="E520" s="408"/>
      <c r="F520" s="409"/>
      <c r="G520" s="394"/>
      <c r="H520" s="394"/>
      <c r="I520" s="207" t="s">
        <v>1138</v>
      </c>
      <c r="J520" s="208">
        <v>0</v>
      </c>
      <c r="K520" s="209">
        <v>5</v>
      </c>
      <c r="L520" s="209">
        <v>0</v>
      </c>
      <c r="M520" s="209"/>
      <c r="N520" s="209"/>
      <c r="O520" s="209"/>
      <c r="P520" s="209"/>
      <c r="Q520" s="209"/>
      <c r="R520" s="209"/>
      <c r="S520" s="209"/>
      <c r="T520" s="209"/>
      <c r="U520" s="209"/>
      <c r="V520" s="209"/>
      <c r="W520" s="209"/>
      <c r="X520" s="209"/>
      <c r="Y520" s="209"/>
      <c r="Z520" s="209"/>
      <c r="AA520" s="209"/>
      <c r="AB520" s="209"/>
      <c r="AC520" s="209"/>
      <c r="AD520" s="209"/>
      <c r="AE520" s="209"/>
      <c r="AF520" s="209"/>
      <c r="AG520" s="209"/>
      <c r="AH520" s="209"/>
      <c r="AI520" s="209"/>
      <c r="AJ520" s="209"/>
      <c r="AK520" s="209"/>
      <c r="AL520" s="209"/>
      <c r="AM520" s="209"/>
      <c r="AN520" s="210"/>
      <c r="AO520" s="211">
        <f t="shared" si="227"/>
        <v>5</v>
      </c>
      <c r="AP520" s="12"/>
      <c r="AQ520" s="167">
        <f t="shared" si="232"/>
        <v>0</v>
      </c>
      <c r="AR520" s="12"/>
      <c r="AS520" s="167">
        <f t="shared" si="233"/>
        <v>0</v>
      </c>
      <c r="AT520" s="168">
        <f t="shared" si="234"/>
        <v>0</v>
      </c>
      <c r="AU520" s="167">
        <f t="shared" si="235"/>
        <v>0</v>
      </c>
    </row>
    <row r="521" spans="1:47" ht="29.25" customHeight="1" x14ac:dyDescent="0.25">
      <c r="A521" s="76"/>
      <c r="B521" s="158" t="s">
        <v>1960</v>
      </c>
      <c r="C521" s="411" t="s">
        <v>1984</v>
      </c>
      <c r="D521" s="412"/>
      <c r="E521" s="408"/>
      <c r="F521" s="409"/>
      <c r="G521" s="394"/>
      <c r="H521" s="394"/>
      <c r="I521" s="207" t="s">
        <v>1138</v>
      </c>
      <c r="J521" s="208"/>
      <c r="K521" s="209"/>
      <c r="L521" s="209"/>
      <c r="M521" s="209"/>
      <c r="N521" s="209"/>
      <c r="O521" s="209"/>
      <c r="P521" s="209"/>
      <c r="Q521" s="209"/>
      <c r="R521" s="209"/>
      <c r="S521" s="209"/>
      <c r="T521" s="209"/>
      <c r="U521" s="209"/>
      <c r="V521" s="209"/>
      <c r="W521" s="209"/>
      <c r="X521" s="209"/>
      <c r="Y521" s="209"/>
      <c r="Z521" s="209"/>
      <c r="AA521" s="209"/>
      <c r="AB521" s="209"/>
      <c r="AC521" s="209"/>
      <c r="AD521" s="209"/>
      <c r="AE521" s="209"/>
      <c r="AF521" s="209"/>
      <c r="AG521" s="209"/>
      <c r="AH521" s="209"/>
      <c r="AI521" s="209"/>
      <c r="AJ521" s="209"/>
      <c r="AK521" s="209"/>
      <c r="AL521" s="209"/>
      <c r="AM521" s="209"/>
      <c r="AN521" s="210"/>
      <c r="AO521" s="211">
        <f t="shared" si="227"/>
        <v>0</v>
      </c>
      <c r="AP521" s="12"/>
      <c r="AQ521" s="167">
        <f t="shared" si="232"/>
        <v>0</v>
      </c>
      <c r="AR521" s="12"/>
      <c r="AS521" s="167">
        <f t="shared" si="233"/>
        <v>0</v>
      </c>
      <c r="AT521" s="168">
        <f t="shared" si="234"/>
        <v>0</v>
      </c>
      <c r="AU521" s="167">
        <f t="shared" si="235"/>
        <v>0</v>
      </c>
    </row>
    <row r="522" spans="1:47" ht="29.25" customHeight="1" x14ac:dyDescent="0.25">
      <c r="A522" s="76"/>
      <c r="B522" s="158" t="s">
        <v>1961</v>
      </c>
      <c r="C522" s="411" t="s">
        <v>1985</v>
      </c>
      <c r="D522" s="412"/>
      <c r="E522" s="408"/>
      <c r="F522" s="409"/>
      <c r="G522" s="394"/>
      <c r="H522" s="394"/>
      <c r="I522" s="207" t="s">
        <v>1138</v>
      </c>
      <c r="J522" s="208"/>
      <c r="K522" s="209">
        <v>10</v>
      </c>
      <c r="L522" s="209">
        <v>11</v>
      </c>
      <c r="M522" s="209"/>
      <c r="N522" s="209"/>
      <c r="O522" s="209"/>
      <c r="P522" s="209"/>
      <c r="Q522" s="209"/>
      <c r="R522" s="209"/>
      <c r="S522" s="209"/>
      <c r="T522" s="209"/>
      <c r="U522" s="209"/>
      <c r="V522" s="209"/>
      <c r="W522" s="209"/>
      <c r="X522" s="209"/>
      <c r="Y522" s="209"/>
      <c r="Z522" s="209"/>
      <c r="AA522" s="209"/>
      <c r="AB522" s="209"/>
      <c r="AC522" s="209"/>
      <c r="AD522" s="209"/>
      <c r="AE522" s="209"/>
      <c r="AF522" s="209"/>
      <c r="AG522" s="209"/>
      <c r="AH522" s="209"/>
      <c r="AI522" s="209"/>
      <c r="AJ522" s="209"/>
      <c r="AK522" s="209"/>
      <c r="AL522" s="209"/>
      <c r="AM522" s="209"/>
      <c r="AN522" s="210"/>
      <c r="AO522" s="211">
        <f t="shared" si="227"/>
        <v>21</v>
      </c>
      <c r="AP522" s="12"/>
      <c r="AQ522" s="167">
        <f t="shared" si="232"/>
        <v>0</v>
      </c>
      <c r="AR522" s="12"/>
      <c r="AS522" s="167">
        <f t="shared" si="233"/>
        <v>0</v>
      </c>
      <c r="AT522" s="168">
        <f t="shared" si="234"/>
        <v>0</v>
      </c>
      <c r="AU522" s="167">
        <f t="shared" si="235"/>
        <v>0</v>
      </c>
    </row>
    <row r="523" spans="1:47" ht="29.25" customHeight="1" x14ac:dyDescent="0.25">
      <c r="A523" s="76"/>
      <c r="B523" s="158" t="s">
        <v>1962</v>
      </c>
      <c r="C523" s="411" t="s">
        <v>1986</v>
      </c>
      <c r="D523" s="412"/>
      <c r="E523" s="408"/>
      <c r="F523" s="409"/>
      <c r="G523" s="394"/>
      <c r="H523" s="394"/>
      <c r="I523" s="207" t="s">
        <v>1138</v>
      </c>
      <c r="J523" s="208">
        <v>18</v>
      </c>
      <c r="K523" s="209">
        <v>14</v>
      </c>
      <c r="L523" s="209">
        <v>14</v>
      </c>
      <c r="M523" s="209"/>
      <c r="N523" s="209"/>
      <c r="O523" s="209"/>
      <c r="P523" s="209"/>
      <c r="Q523" s="209"/>
      <c r="R523" s="209"/>
      <c r="S523" s="209"/>
      <c r="T523" s="209"/>
      <c r="U523" s="209"/>
      <c r="V523" s="209"/>
      <c r="W523" s="209"/>
      <c r="X523" s="209"/>
      <c r="Y523" s="209"/>
      <c r="Z523" s="209"/>
      <c r="AA523" s="209"/>
      <c r="AB523" s="209"/>
      <c r="AC523" s="209"/>
      <c r="AD523" s="209"/>
      <c r="AE523" s="209"/>
      <c r="AF523" s="209"/>
      <c r="AG523" s="209"/>
      <c r="AH523" s="209"/>
      <c r="AI523" s="209"/>
      <c r="AJ523" s="209"/>
      <c r="AK523" s="209"/>
      <c r="AL523" s="209"/>
      <c r="AM523" s="209"/>
      <c r="AN523" s="210"/>
      <c r="AO523" s="211">
        <f t="shared" si="227"/>
        <v>46</v>
      </c>
      <c r="AP523" s="12"/>
      <c r="AQ523" s="167">
        <f t="shared" si="232"/>
        <v>0</v>
      </c>
      <c r="AR523" s="12"/>
      <c r="AS523" s="167">
        <f t="shared" si="233"/>
        <v>0</v>
      </c>
      <c r="AT523" s="168">
        <f t="shared" si="234"/>
        <v>0</v>
      </c>
      <c r="AU523" s="167">
        <f t="shared" si="235"/>
        <v>0</v>
      </c>
    </row>
    <row r="524" spans="1:47" ht="29.25" customHeight="1" x14ac:dyDescent="0.25">
      <c r="A524" s="76"/>
      <c r="B524" s="158" t="s">
        <v>1963</v>
      </c>
      <c r="C524" s="411" t="s">
        <v>1987</v>
      </c>
      <c r="D524" s="412"/>
      <c r="E524" s="408"/>
      <c r="F524" s="409"/>
      <c r="G524" s="394"/>
      <c r="H524" s="394"/>
      <c r="I524" s="207" t="s">
        <v>1138</v>
      </c>
      <c r="J524" s="208"/>
      <c r="K524" s="209">
        <v>3</v>
      </c>
      <c r="L524" s="209"/>
      <c r="M524" s="209"/>
      <c r="N524" s="209"/>
      <c r="O524" s="209"/>
      <c r="P524" s="209"/>
      <c r="Q524" s="209"/>
      <c r="R524" s="209"/>
      <c r="S524" s="209"/>
      <c r="T524" s="209"/>
      <c r="U524" s="209"/>
      <c r="V524" s="209"/>
      <c r="W524" s="209"/>
      <c r="X524" s="209"/>
      <c r="Y524" s="209"/>
      <c r="Z524" s="209"/>
      <c r="AA524" s="209"/>
      <c r="AB524" s="209"/>
      <c r="AC524" s="209"/>
      <c r="AD524" s="209"/>
      <c r="AE524" s="209"/>
      <c r="AF524" s="209"/>
      <c r="AG524" s="209"/>
      <c r="AH524" s="209"/>
      <c r="AI524" s="209"/>
      <c r="AJ524" s="209"/>
      <c r="AK524" s="209"/>
      <c r="AL524" s="209"/>
      <c r="AM524" s="209"/>
      <c r="AN524" s="210"/>
      <c r="AO524" s="211">
        <f t="shared" si="227"/>
        <v>3</v>
      </c>
      <c r="AP524" s="12"/>
      <c r="AQ524" s="167">
        <f t="shared" si="232"/>
        <v>0</v>
      </c>
      <c r="AR524" s="12"/>
      <c r="AS524" s="167">
        <f t="shared" si="233"/>
        <v>0</v>
      </c>
      <c r="AT524" s="168">
        <f t="shared" si="234"/>
        <v>0</v>
      </c>
      <c r="AU524" s="167">
        <f t="shared" si="235"/>
        <v>0</v>
      </c>
    </row>
    <row r="525" spans="1:47" ht="29.25" customHeight="1" x14ac:dyDescent="0.25">
      <c r="A525" s="76"/>
      <c r="B525" s="158" t="s">
        <v>1964</v>
      </c>
      <c r="C525" s="411" t="s">
        <v>1988</v>
      </c>
      <c r="D525" s="412"/>
      <c r="E525" s="408"/>
      <c r="F525" s="409"/>
      <c r="G525" s="394"/>
      <c r="H525" s="394"/>
      <c r="I525" s="162" t="s">
        <v>1138</v>
      </c>
      <c r="J525" s="163"/>
      <c r="K525" s="164"/>
      <c r="L525" s="164">
        <v>4</v>
      </c>
      <c r="M525" s="164"/>
      <c r="N525" s="164"/>
      <c r="O525" s="164"/>
      <c r="P525" s="164"/>
      <c r="Q525" s="164"/>
      <c r="R525" s="164"/>
      <c r="S525" s="164"/>
      <c r="T525" s="164"/>
      <c r="U525" s="164"/>
      <c r="V525" s="164"/>
      <c r="W525" s="164"/>
      <c r="X525" s="164"/>
      <c r="Y525" s="164"/>
      <c r="Z525" s="164"/>
      <c r="AA525" s="164"/>
      <c r="AB525" s="164"/>
      <c r="AC525" s="164"/>
      <c r="AD525" s="164"/>
      <c r="AE525" s="164"/>
      <c r="AF525" s="164"/>
      <c r="AG525" s="164"/>
      <c r="AH525" s="164"/>
      <c r="AI525" s="164"/>
      <c r="AJ525" s="164"/>
      <c r="AK525" s="164"/>
      <c r="AL525" s="164"/>
      <c r="AM525" s="164"/>
      <c r="AN525" s="165"/>
      <c r="AO525" s="166">
        <f t="shared" si="227"/>
        <v>4</v>
      </c>
      <c r="AP525" s="12"/>
      <c r="AQ525" s="167">
        <f t="shared" si="228"/>
        <v>0</v>
      </c>
      <c r="AR525" s="12"/>
      <c r="AS525" s="167">
        <f t="shared" si="229"/>
        <v>0</v>
      </c>
      <c r="AT525" s="168">
        <f t="shared" si="230"/>
        <v>0</v>
      </c>
      <c r="AU525" s="167">
        <f t="shared" si="231"/>
        <v>0</v>
      </c>
    </row>
    <row r="526" spans="1:47" ht="29.25" customHeight="1" x14ac:dyDescent="0.25">
      <c r="A526" s="76"/>
      <c r="B526" s="158" t="s">
        <v>1965</v>
      </c>
      <c r="C526" s="411" t="s">
        <v>1989</v>
      </c>
      <c r="D526" s="412"/>
      <c r="E526" s="408"/>
      <c r="F526" s="409"/>
      <c r="G526" s="394"/>
      <c r="H526" s="394"/>
      <c r="I526" s="162" t="s">
        <v>1138</v>
      </c>
      <c r="J526" s="163"/>
      <c r="K526" s="164">
        <v>3</v>
      </c>
      <c r="L526" s="164"/>
      <c r="M526" s="164"/>
      <c r="N526" s="164"/>
      <c r="O526" s="164"/>
      <c r="P526" s="164"/>
      <c r="Q526" s="164"/>
      <c r="R526" s="164"/>
      <c r="S526" s="164"/>
      <c r="T526" s="164"/>
      <c r="U526" s="164"/>
      <c r="V526" s="164"/>
      <c r="W526" s="164"/>
      <c r="X526" s="164"/>
      <c r="Y526" s="164"/>
      <c r="Z526" s="164"/>
      <c r="AA526" s="164"/>
      <c r="AB526" s="164"/>
      <c r="AC526" s="164"/>
      <c r="AD526" s="164"/>
      <c r="AE526" s="164"/>
      <c r="AF526" s="164"/>
      <c r="AG526" s="164"/>
      <c r="AH526" s="164"/>
      <c r="AI526" s="164"/>
      <c r="AJ526" s="164"/>
      <c r="AK526" s="164"/>
      <c r="AL526" s="164"/>
      <c r="AM526" s="164"/>
      <c r="AN526" s="165"/>
      <c r="AO526" s="166">
        <f t="shared" si="227"/>
        <v>3</v>
      </c>
      <c r="AP526" s="12"/>
      <c r="AQ526" s="167">
        <f t="shared" si="228"/>
        <v>0</v>
      </c>
      <c r="AR526" s="12"/>
      <c r="AS526" s="167">
        <f t="shared" si="229"/>
        <v>0</v>
      </c>
      <c r="AT526" s="168">
        <f t="shared" si="230"/>
        <v>0</v>
      </c>
      <c r="AU526" s="167">
        <f t="shared" si="231"/>
        <v>0</v>
      </c>
    </row>
    <row r="527" spans="1:47" ht="29.25" customHeight="1" x14ac:dyDescent="0.25">
      <c r="A527" s="76"/>
      <c r="B527" s="158" t="s">
        <v>1966</v>
      </c>
      <c r="C527" s="411" t="s">
        <v>1990</v>
      </c>
      <c r="D527" s="412"/>
      <c r="E527" s="408"/>
      <c r="F527" s="409"/>
      <c r="G527" s="394"/>
      <c r="H527" s="394"/>
      <c r="I527" s="162" t="s">
        <v>1138</v>
      </c>
      <c r="J527" s="163">
        <v>1</v>
      </c>
      <c r="K527" s="164">
        <v>1</v>
      </c>
      <c r="L527" s="164">
        <v>1</v>
      </c>
      <c r="M527" s="164"/>
      <c r="N527" s="164"/>
      <c r="O527" s="164"/>
      <c r="P527" s="164"/>
      <c r="Q527" s="164"/>
      <c r="R527" s="164"/>
      <c r="S527" s="164"/>
      <c r="T527" s="164"/>
      <c r="U527" s="164"/>
      <c r="V527" s="164"/>
      <c r="W527" s="164"/>
      <c r="X527" s="164"/>
      <c r="Y527" s="164"/>
      <c r="Z527" s="164"/>
      <c r="AA527" s="164"/>
      <c r="AB527" s="164"/>
      <c r="AC527" s="164"/>
      <c r="AD527" s="164"/>
      <c r="AE527" s="164"/>
      <c r="AF527" s="164"/>
      <c r="AG527" s="164"/>
      <c r="AH527" s="164"/>
      <c r="AI527" s="164"/>
      <c r="AJ527" s="164"/>
      <c r="AK527" s="164"/>
      <c r="AL527" s="164"/>
      <c r="AM527" s="164"/>
      <c r="AN527" s="165"/>
      <c r="AO527" s="166">
        <f t="shared" si="227"/>
        <v>3</v>
      </c>
      <c r="AP527" s="12"/>
      <c r="AQ527" s="167">
        <f t="shared" si="228"/>
        <v>0</v>
      </c>
      <c r="AR527" s="12"/>
      <c r="AS527" s="167">
        <f t="shared" si="229"/>
        <v>0</v>
      </c>
      <c r="AT527" s="168">
        <f t="shared" si="230"/>
        <v>0</v>
      </c>
      <c r="AU527" s="167">
        <f t="shared" si="231"/>
        <v>0</v>
      </c>
    </row>
    <row r="528" spans="1:47" ht="29.25" customHeight="1" x14ac:dyDescent="0.25">
      <c r="A528" s="76"/>
      <c r="B528" s="169" t="s">
        <v>1967</v>
      </c>
      <c r="C528" s="411" t="s">
        <v>1991</v>
      </c>
      <c r="D528" s="412"/>
      <c r="E528" s="400"/>
      <c r="F528" s="402"/>
      <c r="G528" s="395"/>
      <c r="H528" s="395"/>
      <c r="I528" s="173" t="s">
        <v>1138</v>
      </c>
      <c r="J528" s="174"/>
      <c r="K528" s="175">
        <v>3</v>
      </c>
      <c r="L528" s="175"/>
      <c r="M528" s="175"/>
      <c r="N528" s="175"/>
      <c r="O528" s="175"/>
      <c r="P528" s="175"/>
      <c r="Q528" s="175"/>
      <c r="R528" s="175"/>
      <c r="S528" s="175"/>
      <c r="T528" s="175"/>
      <c r="U528" s="175"/>
      <c r="V528" s="175"/>
      <c r="W528" s="175"/>
      <c r="X528" s="175"/>
      <c r="Y528" s="175"/>
      <c r="Z528" s="175"/>
      <c r="AA528" s="175"/>
      <c r="AB528" s="175"/>
      <c r="AC528" s="175"/>
      <c r="AD528" s="175"/>
      <c r="AE528" s="175"/>
      <c r="AF528" s="175"/>
      <c r="AG528" s="175"/>
      <c r="AH528" s="175"/>
      <c r="AI528" s="175"/>
      <c r="AJ528" s="175"/>
      <c r="AK528" s="175"/>
      <c r="AL528" s="175"/>
      <c r="AM528" s="175"/>
      <c r="AN528" s="176"/>
      <c r="AO528" s="177">
        <f t="shared" si="227"/>
        <v>3</v>
      </c>
      <c r="AP528" s="14"/>
      <c r="AQ528" s="178">
        <f t="shared" si="228"/>
        <v>0</v>
      </c>
      <c r="AR528" s="14"/>
      <c r="AS528" s="178">
        <f t="shared" si="229"/>
        <v>0</v>
      </c>
      <c r="AT528" s="179">
        <f t="shared" si="230"/>
        <v>0</v>
      </c>
      <c r="AU528" s="178">
        <f t="shared" si="231"/>
        <v>0</v>
      </c>
    </row>
    <row r="529" spans="1:47" ht="29.25" customHeight="1" x14ac:dyDescent="0.25">
      <c r="A529" s="76"/>
      <c r="B529" s="148" t="s">
        <v>1992</v>
      </c>
      <c r="C529" s="192" t="s">
        <v>1998</v>
      </c>
      <c r="D529" s="193"/>
      <c r="E529" s="399" t="s">
        <v>2004</v>
      </c>
      <c r="F529" s="401" t="s">
        <v>1942</v>
      </c>
      <c r="G529" s="403" t="s">
        <v>1079</v>
      </c>
      <c r="H529" s="403" t="s">
        <v>1079</v>
      </c>
      <c r="I529" s="151" t="s">
        <v>1138</v>
      </c>
      <c r="J529" s="152"/>
      <c r="K529" s="153"/>
      <c r="L529" s="153"/>
      <c r="M529" s="153"/>
      <c r="N529" s="153"/>
      <c r="O529" s="153"/>
      <c r="P529" s="153"/>
      <c r="Q529" s="153"/>
      <c r="R529" s="153"/>
      <c r="S529" s="153"/>
      <c r="T529" s="153"/>
      <c r="U529" s="153"/>
      <c r="V529" s="153"/>
      <c r="W529" s="153"/>
      <c r="X529" s="153"/>
      <c r="Y529" s="153"/>
      <c r="Z529" s="153"/>
      <c r="AA529" s="153"/>
      <c r="AB529" s="153"/>
      <c r="AC529" s="153"/>
      <c r="AD529" s="153"/>
      <c r="AE529" s="153"/>
      <c r="AF529" s="153"/>
      <c r="AG529" s="153"/>
      <c r="AH529" s="153"/>
      <c r="AI529" s="153"/>
      <c r="AJ529" s="153"/>
      <c r="AK529" s="153"/>
      <c r="AL529" s="153"/>
      <c r="AM529" s="153"/>
      <c r="AN529" s="154"/>
      <c r="AO529" s="155">
        <f t="shared" si="227"/>
        <v>0</v>
      </c>
      <c r="AP529" s="13"/>
      <c r="AQ529" s="156">
        <f t="shared" ref="AQ529:AQ534" si="236">+AP529*AO529</f>
        <v>0</v>
      </c>
      <c r="AR529" s="13"/>
      <c r="AS529" s="156">
        <f t="shared" ref="AS529:AS534" si="237">+AR529*AO529</f>
        <v>0</v>
      </c>
      <c r="AT529" s="157">
        <f t="shared" ref="AT529:AT534" si="238">+AR529+AP529</f>
        <v>0</v>
      </c>
      <c r="AU529" s="156">
        <f t="shared" ref="AU529:AU534" si="239">+AT529*AO529</f>
        <v>0</v>
      </c>
    </row>
    <row r="530" spans="1:47" ht="29.25" customHeight="1" x14ac:dyDescent="0.25">
      <c r="A530" s="76"/>
      <c r="B530" s="158" t="s">
        <v>1993</v>
      </c>
      <c r="C530" s="194" t="s">
        <v>1999</v>
      </c>
      <c r="D530" s="195"/>
      <c r="E530" s="408"/>
      <c r="F530" s="409"/>
      <c r="G530" s="394"/>
      <c r="H530" s="394"/>
      <c r="I530" s="207" t="s">
        <v>1138</v>
      </c>
      <c r="J530" s="208"/>
      <c r="K530" s="209">
        <v>2</v>
      </c>
      <c r="L530" s="209"/>
      <c r="M530" s="209"/>
      <c r="N530" s="209"/>
      <c r="O530" s="209"/>
      <c r="P530" s="209"/>
      <c r="Q530" s="209"/>
      <c r="R530" s="209"/>
      <c r="S530" s="209"/>
      <c r="T530" s="209"/>
      <c r="U530" s="209"/>
      <c r="V530" s="209"/>
      <c r="W530" s="209"/>
      <c r="X530" s="209"/>
      <c r="Y530" s="209"/>
      <c r="Z530" s="209"/>
      <c r="AA530" s="209"/>
      <c r="AB530" s="209"/>
      <c r="AC530" s="209"/>
      <c r="AD530" s="209"/>
      <c r="AE530" s="209"/>
      <c r="AF530" s="209"/>
      <c r="AG530" s="209"/>
      <c r="AH530" s="209"/>
      <c r="AI530" s="209"/>
      <c r="AJ530" s="209"/>
      <c r="AK530" s="209"/>
      <c r="AL530" s="209"/>
      <c r="AM530" s="209"/>
      <c r="AN530" s="210"/>
      <c r="AO530" s="211">
        <f t="shared" si="227"/>
        <v>2</v>
      </c>
      <c r="AP530" s="12"/>
      <c r="AQ530" s="167">
        <f t="shared" si="236"/>
        <v>0</v>
      </c>
      <c r="AR530" s="12"/>
      <c r="AS530" s="167">
        <f t="shared" si="237"/>
        <v>0</v>
      </c>
      <c r="AT530" s="168">
        <f t="shared" si="238"/>
        <v>0</v>
      </c>
      <c r="AU530" s="167">
        <f t="shared" si="239"/>
        <v>0</v>
      </c>
    </row>
    <row r="531" spans="1:47" ht="29.25" customHeight="1" x14ac:dyDescent="0.25">
      <c r="A531" s="76"/>
      <c r="B531" s="158" t="s">
        <v>1994</v>
      </c>
      <c r="C531" s="194" t="s">
        <v>2000</v>
      </c>
      <c r="D531" s="195"/>
      <c r="E531" s="408"/>
      <c r="F531" s="409"/>
      <c r="G531" s="394"/>
      <c r="H531" s="394"/>
      <c r="I531" s="207" t="s">
        <v>1138</v>
      </c>
      <c r="J531" s="208"/>
      <c r="K531" s="209"/>
      <c r="L531" s="209"/>
      <c r="M531" s="209"/>
      <c r="N531" s="209"/>
      <c r="O531" s="209"/>
      <c r="P531" s="209"/>
      <c r="Q531" s="209"/>
      <c r="R531" s="209"/>
      <c r="S531" s="209"/>
      <c r="T531" s="209"/>
      <c r="U531" s="209"/>
      <c r="V531" s="209"/>
      <c r="W531" s="209"/>
      <c r="X531" s="209"/>
      <c r="Y531" s="209"/>
      <c r="Z531" s="209"/>
      <c r="AA531" s="209"/>
      <c r="AB531" s="209"/>
      <c r="AC531" s="209"/>
      <c r="AD531" s="209"/>
      <c r="AE531" s="209"/>
      <c r="AF531" s="209"/>
      <c r="AG531" s="209"/>
      <c r="AH531" s="209"/>
      <c r="AI531" s="209"/>
      <c r="AJ531" s="209"/>
      <c r="AK531" s="209"/>
      <c r="AL531" s="209"/>
      <c r="AM531" s="209"/>
      <c r="AN531" s="210"/>
      <c r="AO531" s="211">
        <f t="shared" si="227"/>
        <v>0</v>
      </c>
      <c r="AP531" s="12"/>
      <c r="AQ531" s="167">
        <f t="shared" si="236"/>
        <v>0</v>
      </c>
      <c r="AR531" s="12"/>
      <c r="AS531" s="167">
        <f t="shared" si="237"/>
        <v>0</v>
      </c>
      <c r="AT531" s="168">
        <f t="shared" si="238"/>
        <v>0</v>
      </c>
      <c r="AU531" s="167">
        <f t="shared" si="239"/>
        <v>0</v>
      </c>
    </row>
    <row r="532" spans="1:47" ht="29.25" customHeight="1" x14ac:dyDescent="0.25">
      <c r="A532" s="76"/>
      <c r="B532" s="158" t="s">
        <v>1995</v>
      </c>
      <c r="C532" s="194" t="s">
        <v>2001</v>
      </c>
      <c r="D532" s="195"/>
      <c r="E532" s="408"/>
      <c r="F532" s="409"/>
      <c r="G532" s="394"/>
      <c r="H532" s="394"/>
      <c r="I532" s="207" t="s">
        <v>1138</v>
      </c>
      <c r="J532" s="208"/>
      <c r="K532" s="209"/>
      <c r="L532" s="209"/>
      <c r="M532" s="209"/>
      <c r="N532" s="209"/>
      <c r="O532" s="209"/>
      <c r="P532" s="209"/>
      <c r="Q532" s="209"/>
      <c r="R532" s="209"/>
      <c r="S532" s="209"/>
      <c r="T532" s="209"/>
      <c r="U532" s="209"/>
      <c r="V532" s="209"/>
      <c r="W532" s="209"/>
      <c r="X532" s="209"/>
      <c r="Y532" s="209"/>
      <c r="Z532" s="209"/>
      <c r="AA532" s="209"/>
      <c r="AB532" s="209"/>
      <c r="AC532" s="209"/>
      <c r="AD532" s="209"/>
      <c r="AE532" s="209"/>
      <c r="AF532" s="209"/>
      <c r="AG532" s="209"/>
      <c r="AH532" s="209"/>
      <c r="AI532" s="209"/>
      <c r="AJ532" s="209"/>
      <c r="AK532" s="209"/>
      <c r="AL532" s="209"/>
      <c r="AM532" s="209"/>
      <c r="AN532" s="210"/>
      <c r="AO532" s="211">
        <f t="shared" si="227"/>
        <v>0</v>
      </c>
      <c r="AP532" s="12"/>
      <c r="AQ532" s="167">
        <f t="shared" si="236"/>
        <v>0</v>
      </c>
      <c r="AR532" s="12"/>
      <c r="AS532" s="167">
        <f t="shared" si="237"/>
        <v>0</v>
      </c>
      <c r="AT532" s="168">
        <f t="shared" si="238"/>
        <v>0</v>
      </c>
      <c r="AU532" s="167">
        <f t="shared" si="239"/>
        <v>0</v>
      </c>
    </row>
    <row r="533" spans="1:47" ht="29.25" customHeight="1" x14ac:dyDescent="0.25">
      <c r="A533" s="76"/>
      <c r="B533" s="158" t="s">
        <v>1996</v>
      </c>
      <c r="C533" s="194" t="s">
        <v>2002</v>
      </c>
      <c r="D533" s="195"/>
      <c r="E533" s="408"/>
      <c r="F533" s="409"/>
      <c r="G533" s="394"/>
      <c r="H533" s="394"/>
      <c r="I533" s="207" t="s">
        <v>1138</v>
      </c>
      <c r="J533" s="208"/>
      <c r="K533" s="209">
        <v>1</v>
      </c>
      <c r="L533" s="209"/>
      <c r="M533" s="209"/>
      <c r="N533" s="209"/>
      <c r="O533" s="209"/>
      <c r="P533" s="209"/>
      <c r="Q533" s="209"/>
      <c r="R533" s="209"/>
      <c r="S533" s="209"/>
      <c r="T533" s="209"/>
      <c r="U533" s="209"/>
      <c r="V533" s="209"/>
      <c r="W533" s="209"/>
      <c r="X533" s="209"/>
      <c r="Y533" s="209"/>
      <c r="Z533" s="209"/>
      <c r="AA533" s="209"/>
      <c r="AB533" s="209"/>
      <c r="AC533" s="209"/>
      <c r="AD533" s="209"/>
      <c r="AE533" s="209"/>
      <c r="AF533" s="209"/>
      <c r="AG533" s="209"/>
      <c r="AH533" s="209"/>
      <c r="AI533" s="209"/>
      <c r="AJ533" s="209"/>
      <c r="AK533" s="209"/>
      <c r="AL533" s="209"/>
      <c r="AM533" s="209"/>
      <c r="AN533" s="210"/>
      <c r="AO533" s="211">
        <f t="shared" si="227"/>
        <v>1</v>
      </c>
      <c r="AP533" s="12"/>
      <c r="AQ533" s="167">
        <f t="shared" si="236"/>
        <v>0</v>
      </c>
      <c r="AR533" s="12"/>
      <c r="AS533" s="167">
        <f t="shared" si="237"/>
        <v>0</v>
      </c>
      <c r="AT533" s="168">
        <f t="shared" si="238"/>
        <v>0</v>
      </c>
      <c r="AU533" s="167">
        <f t="shared" si="239"/>
        <v>0</v>
      </c>
    </row>
    <row r="534" spans="1:47" ht="29.25" customHeight="1" x14ac:dyDescent="0.25">
      <c r="A534" s="76"/>
      <c r="B534" s="169" t="s">
        <v>1997</v>
      </c>
      <c r="C534" s="196" t="s">
        <v>2003</v>
      </c>
      <c r="D534" s="197"/>
      <c r="E534" s="400"/>
      <c r="F534" s="402"/>
      <c r="G534" s="395"/>
      <c r="H534" s="395"/>
      <c r="I534" s="56" t="s">
        <v>1138</v>
      </c>
      <c r="J534" s="212"/>
      <c r="K534" s="213">
        <v>1</v>
      </c>
      <c r="L534" s="213"/>
      <c r="M534" s="213"/>
      <c r="N534" s="213"/>
      <c r="O534" s="213"/>
      <c r="P534" s="213"/>
      <c r="Q534" s="213"/>
      <c r="R534" s="213"/>
      <c r="S534" s="213"/>
      <c r="T534" s="213"/>
      <c r="U534" s="213"/>
      <c r="V534" s="213"/>
      <c r="W534" s="213"/>
      <c r="X534" s="213"/>
      <c r="Y534" s="213"/>
      <c r="Z534" s="213"/>
      <c r="AA534" s="213"/>
      <c r="AB534" s="213"/>
      <c r="AC534" s="213"/>
      <c r="AD534" s="213"/>
      <c r="AE534" s="213"/>
      <c r="AF534" s="213"/>
      <c r="AG534" s="213"/>
      <c r="AH534" s="213"/>
      <c r="AI534" s="213"/>
      <c r="AJ534" s="213"/>
      <c r="AK534" s="213"/>
      <c r="AL534" s="213"/>
      <c r="AM534" s="213"/>
      <c r="AN534" s="214"/>
      <c r="AO534" s="57">
        <f t="shared" si="227"/>
        <v>1</v>
      </c>
      <c r="AP534" s="14"/>
      <c r="AQ534" s="178">
        <f t="shared" si="236"/>
        <v>0</v>
      </c>
      <c r="AR534" s="14"/>
      <c r="AS534" s="178">
        <f t="shared" si="237"/>
        <v>0</v>
      </c>
      <c r="AT534" s="179">
        <f t="shared" si="238"/>
        <v>0</v>
      </c>
      <c r="AU534" s="178">
        <f t="shared" si="239"/>
        <v>0</v>
      </c>
    </row>
    <row r="535" spans="1:47" ht="234" customHeight="1" x14ac:dyDescent="0.25">
      <c r="A535" s="76"/>
      <c r="B535" s="37" t="s">
        <v>2005</v>
      </c>
      <c r="C535" s="276" t="s">
        <v>2006</v>
      </c>
      <c r="D535" s="278"/>
      <c r="E535" s="188" t="s">
        <v>2007</v>
      </c>
      <c r="F535" s="189" t="s">
        <v>2008</v>
      </c>
      <c r="G535" s="191" t="s">
        <v>1079</v>
      </c>
      <c r="H535" s="191" t="s">
        <v>1079</v>
      </c>
      <c r="I535" s="41" t="s">
        <v>393</v>
      </c>
      <c r="J535" s="136"/>
      <c r="K535" s="137">
        <v>1</v>
      </c>
      <c r="L535" s="137"/>
      <c r="M535" s="137"/>
      <c r="N535" s="137"/>
      <c r="O535" s="137"/>
      <c r="P535" s="137"/>
      <c r="Q535" s="137"/>
      <c r="R535" s="137"/>
      <c r="S535" s="137"/>
      <c r="T535" s="137"/>
      <c r="U535" s="137"/>
      <c r="V535" s="137"/>
      <c r="W535" s="137"/>
      <c r="X535" s="137"/>
      <c r="Y535" s="137"/>
      <c r="Z535" s="137"/>
      <c r="AA535" s="137"/>
      <c r="AB535" s="137"/>
      <c r="AC535" s="137"/>
      <c r="AD535" s="137"/>
      <c r="AE535" s="137"/>
      <c r="AF535" s="137"/>
      <c r="AG535" s="137"/>
      <c r="AH535" s="137"/>
      <c r="AI535" s="137"/>
      <c r="AJ535" s="137"/>
      <c r="AK535" s="137"/>
      <c r="AL535" s="137"/>
      <c r="AM535" s="137"/>
      <c r="AN535" s="138"/>
      <c r="AO535" s="42">
        <f t="shared" si="227"/>
        <v>1</v>
      </c>
      <c r="AP535" s="1"/>
      <c r="AQ535" s="43">
        <f t="shared" ref="AQ535:AQ542" si="240">+AP535*AO535</f>
        <v>0</v>
      </c>
      <c r="AR535" s="1"/>
      <c r="AS535" s="43">
        <f t="shared" ref="AS535:AS542" si="241">+AR535*AO535</f>
        <v>0</v>
      </c>
      <c r="AT535" s="44">
        <f t="shared" ref="AT535:AT542" si="242">+AR535+AP535</f>
        <v>0</v>
      </c>
      <c r="AU535" s="43">
        <f t="shared" ref="AU535:AU542" si="243">+AT535*AO535</f>
        <v>0</v>
      </c>
    </row>
    <row r="536" spans="1:47" ht="29.25" customHeight="1" x14ac:dyDescent="0.25">
      <c r="A536" s="76"/>
      <c r="B536" s="148" t="s">
        <v>2009</v>
      </c>
      <c r="C536" s="406" t="s">
        <v>2016</v>
      </c>
      <c r="D536" s="407"/>
      <c r="E536" s="399" t="s">
        <v>2022</v>
      </c>
      <c r="F536" s="401" t="s">
        <v>1329</v>
      </c>
      <c r="G536" s="403" t="s">
        <v>1079</v>
      </c>
      <c r="H536" s="403" t="s">
        <v>1079</v>
      </c>
      <c r="I536" s="151" t="s">
        <v>532</v>
      </c>
      <c r="J536" s="152">
        <v>250</v>
      </c>
      <c r="K536" s="153">
        <v>570</v>
      </c>
      <c r="L536" s="153">
        <v>2250</v>
      </c>
      <c r="M536" s="153"/>
      <c r="N536" s="153"/>
      <c r="O536" s="153"/>
      <c r="P536" s="153"/>
      <c r="Q536" s="153"/>
      <c r="R536" s="153"/>
      <c r="S536" s="153"/>
      <c r="T536" s="153"/>
      <c r="U536" s="153"/>
      <c r="V536" s="153"/>
      <c r="W536" s="153"/>
      <c r="X536" s="153"/>
      <c r="Y536" s="153"/>
      <c r="Z536" s="153"/>
      <c r="AA536" s="153"/>
      <c r="AB536" s="153"/>
      <c r="AC536" s="153"/>
      <c r="AD536" s="153"/>
      <c r="AE536" s="153"/>
      <c r="AF536" s="153"/>
      <c r="AG536" s="153"/>
      <c r="AH536" s="153"/>
      <c r="AI536" s="153"/>
      <c r="AJ536" s="153"/>
      <c r="AK536" s="153"/>
      <c r="AL536" s="153"/>
      <c r="AM536" s="153"/>
      <c r="AN536" s="154"/>
      <c r="AO536" s="155">
        <f t="shared" si="227"/>
        <v>3070</v>
      </c>
      <c r="AP536" s="13"/>
      <c r="AQ536" s="156">
        <f t="shared" si="240"/>
        <v>0</v>
      </c>
      <c r="AR536" s="13"/>
      <c r="AS536" s="156">
        <f t="shared" si="241"/>
        <v>0</v>
      </c>
      <c r="AT536" s="157">
        <f t="shared" si="242"/>
        <v>0</v>
      </c>
      <c r="AU536" s="156">
        <f t="shared" si="243"/>
        <v>0</v>
      </c>
    </row>
    <row r="537" spans="1:47" ht="29.25" customHeight="1" x14ac:dyDescent="0.25">
      <c r="A537" s="76"/>
      <c r="B537" s="158" t="s">
        <v>2010</v>
      </c>
      <c r="C537" s="411" t="s">
        <v>2017</v>
      </c>
      <c r="D537" s="412"/>
      <c r="E537" s="408"/>
      <c r="F537" s="409"/>
      <c r="G537" s="394"/>
      <c r="H537" s="394"/>
      <c r="I537" s="207" t="s">
        <v>532</v>
      </c>
      <c r="J537" s="208"/>
      <c r="K537" s="209"/>
      <c r="L537" s="209"/>
      <c r="M537" s="209"/>
      <c r="N537" s="209"/>
      <c r="O537" s="209"/>
      <c r="P537" s="209"/>
      <c r="Q537" s="209"/>
      <c r="R537" s="209"/>
      <c r="S537" s="209"/>
      <c r="T537" s="209"/>
      <c r="U537" s="209"/>
      <c r="V537" s="209"/>
      <c r="W537" s="209"/>
      <c r="X537" s="209"/>
      <c r="Y537" s="209"/>
      <c r="Z537" s="209"/>
      <c r="AA537" s="209"/>
      <c r="AB537" s="209"/>
      <c r="AC537" s="209"/>
      <c r="AD537" s="209"/>
      <c r="AE537" s="209"/>
      <c r="AF537" s="209"/>
      <c r="AG537" s="209"/>
      <c r="AH537" s="209"/>
      <c r="AI537" s="209"/>
      <c r="AJ537" s="209"/>
      <c r="AK537" s="209"/>
      <c r="AL537" s="209"/>
      <c r="AM537" s="209"/>
      <c r="AN537" s="210"/>
      <c r="AO537" s="211">
        <f t="shared" si="227"/>
        <v>0</v>
      </c>
      <c r="AP537" s="12"/>
      <c r="AQ537" s="167">
        <f t="shared" si="240"/>
        <v>0</v>
      </c>
      <c r="AR537" s="12"/>
      <c r="AS537" s="167">
        <f t="shared" si="241"/>
        <v>0</v>
      </c>
      <c r="AT537" s="168">
        <f t="shared" si="242"/>
        <v>0</v>
      </c>
      <c r="AU537" s="167">
        <f t="shared" si="243"/>
        <v>0</v>
      </c>
    </row>
    <row r="538" spans="1:47" ht="29.25" customHeight="1" x14ac:dyDescent="0.25">
      <c r="A538" s="76"/>
      <c r="B538" s="158" t="s">
        <v>2011</v>
      </c>
      <c r="C538" s="411" t="s">
        <v>2018</v>
      </c>
      <c r="D538" s="412"/>
      <c r="E538" s="408"/>
      <c r="F538" s="409"/>
      <c r="G538" s="394"/>
      <c r="H538" s="394"/>
      <c r="I538" s="207" t="s">
        <v>532</v>
      </c>
      <c r="J538" s="208">
        <v>100</v>
      </c>
      <c r="K538" s="209">
        <v>130</v>
      </c>
      <c r="L538" s="209">
        <v>650</v>
      </c>
      <c r="M538" s="209"/>
      <c r="N538" s="209"/>
      <c r="O538" s="209"/>
      <c r="P538" s="209"/>
      <c r="Q538" s="209"/>
      <c r="R538" s="209"/>
      <c r="S538" s="209"/>
      <c r="T538" s="209"/>
      <c r="U538" s="209"/>
      <c r="V538" s="209"/>
      <c r="W538" s="209"/>
      <c r="X538" s="209"/>
      <c r="Y538" s="209"/>
      <c r="Z538" s="209"/>
      <c r="AA538" s="209"/>
      <c r="AB538" s="209"/>
      <c r="AC538" s="209"/>
      <c r="AD538" s="209"/>
      <c r="AE538" s="209"/>
      <c r="AF538" s="209"/>
      <c r="AG538" s="209"/>
      <c r="AH538" s="209"/>
      <c r="AI538" s="209"/>
      <c r="AJ538" s="209"/>
      <c r="AK538" s="209"/>
      <c r="AL538" s="209"/>
      <c r="AM538" s="209"/>
      <c r="AN538" s="210"/>
      <c r="AO538" s="211">
        <f t="shared" si="227"/>
        <v>880</v>
      </c>
      <c r="AP538" s="12"/>
      <c r="AQ538" s="167">
        <f t="shared" ref="AQ538:AQ541" si="244">+AP538*AO538</f>
        <v>0</v>
      </c>
      <c r="AR538" s="12"/>
      <c r="AS538" s="167">
        <f t="shared" ref="AS538:AS541" si="245">+AR538*AO538</f>
        <v>0</v>
      </c>
      <c r="AT538" s="168">
        <f t="shared" ref="AT538:AT541" si="246">+AR538+AP538</f>
        <v>0</v>
      </c>
      <c r="AU538" s="167">
        <f t="shared" ref="AU538:AU541" si="247">+AT538*AO538</f>
        <v>0</v>
      </c>
    </row>
    <row r="539" spans="1:47" ht="29.25" customHeight="1" x14ac:dyDescent="0.25">
      <c r="A539" s="76"/>
      <c r="B539" s="158" t="s">
        <v>2012</v>
      </c>
      <c r="C539" s="411" t="s">
        <v>2019</v>
      </c>
      <c r="D539" s="412"/>
      <c r="E539" s="408"/>
      <c r="F539" s="410"/>
      <c r="G539" s="394"/>
      <c r="H539" s="394"/>
      <c r="I539" s="207" t="s">
        <v>532</v>
      </c>
      <c r="J539" s="208"/>
      <c r="K539" s="209"/>
      <c r="L539" s="209">
        <v>80</v>
      </c>
      <c r="M539" s="209"/>
      <c r="N539" s="209"/>
      <c r="O539" s="209"/>
      <c r="P539" s="209"/>
      <c r="Q539" s="209"/>
      <c r="R539" s="209"/>
      <c r="S539" s="209"/>
      <c r="T539" s="209"/>
      <c r="U539" s="209"/>
      <c r="V539" s="209"/>
      <c r="W539" s="209"/>
      <c r="X539" s="209"/>
      <c r="Y539" s="209"/>
      <c r="Z539" s="209"/>
      <c r="AA539" s="209"/>
      <c r="AB539" s="209"/>
      <c r="AC539" s="209"/>
      <c r="AD539" s="209"/>
      <c r="AE539" s="209"/>
      <c r="AF539" s="209"/>
      <c r="AG539" s="209"/>
      <c r="AH539" s="209"/>
      <c r="AI539" s="209"/>
      <c r="AJ539" s="209"/>
      <c r="AK539" s="209"/>
      <c r="AL539" s="209"/>
      <c r="AM539" s="209"/>
      <c r="AN539" s="210"/>
      <c r="AO539" s="211">
        <f t="shared" si="227"/>
        <v>80</v>
      </c>
      <c r="AP539" s="12"/>
      <c r="AQ539" s="167">
        <f t="shared" si="244"/>
        <v>0</v>
      </c>
      <c r="AR539" s="12"/>
      <c r="AS539" s="167">
        <f t="shared" si="245"/>
        <v>0</v>
      </c>
      <c r="AT539" s="168">
        <f t="shared" si="246"/>
        <v>0</v>
      </c>
      <c r="AU539" s="167">
        <f t="shared" si="247"/>
        <v>0</v>
      </c>
    </row>
    <row r="540" spans="1:47" ht="48.75" customHeight="1" x14ac:dyDescent="0.25">
      <c r="A540" s="76"/>
      <c r="B540" s="158" t="s">
        <v>2013</v>
      </c>
      <c r="C540" s="411" t="s">
        <v>2020</v>
      </c>
      <c r="D540" s="412"/>
      <c r="E540" s="408"/>
      <c r="F540" s="415" t="s">
        <v>1406</v>
      </c>
      <c r="G540" s="394"/>
      <c r="H540" s="394"/>
      <c r="I540" s="207" t="s">
        <v>532</v>
      </c>
      <c r="J540" s="208">
        <v>150</v>
      </c>
      <c r="K540" s="209">
        <v>300</v>
      </c>
      <c r="L540" s="209">
        <v>1250</v>
      </c>
      <c r="M540" s="209"/>
      <c r="N540" s="209"/>
      <c r="O540" s="209"/>
      <c r="P540" s="209"/>
      <c r="Q540" s="209"/>
      <c r="R540" s="209"/>
      <c r="S540" s="209"/>
      <c r="T540" s="209"/>
      <c r="U540" s="209"/>
      <c r="V540" s="209"/>
      <c r="W540" s="209"/>
      <c r="X540" s="209"/>
      <c r="Y540" s="209"/>
      <c r="Z540" s="209"/>
      <c r="AA540" s="209"/>
      <c r="AB540" s="209"/>
      <c r="AC540" s="209"/>
      <c r="AD540" s="209"/>
      <c r="AE540" s="209"/>
      <c r="AF540" s="209"/>
      <c r="AG540" s="209"/>
      <c r="AH540" s="209"/>
      <c r="AI540" s="209"/>
      <c r="AJ540" s="209"/>
      <c r="AK540" s="209"/>
      <c r="AL540" s="209"/>
      <c r="AM540" s="209"/>
      <c r="AN540" s="210"/>
      <c r="AO540" s="211">
        <f t="shared" si="227"/>
        <v>1700</v>
      </c>
      <c r="AP540" s="12"/>
      <c r="AQ540" s="167">
        <f t="shared" si="244"/>
        <v>0</v>
      </c>
      <c r="AR540" s="12"/>
      <c r="AS540" s="167">
        <f t="shared" si="245"/>
        <v>0</v>
      </c>
      <c r="AT540" s="168">
        <f t="shared" si="246"/>
        <v>0</v>
      </c>
      <c r="AU540" s="167">
        <f t="shared" si="247"/>
        <v>0</v>
      </c>
    </row>
    <row r="541" spans="1:47" ht="48.75" customHeight="1" x14ac:dyDescent="0.25">
      <c r="A541" s="76"/>
      <c r="B541" s="158" t="s">
        <v>2014</v>
      </c>
      <c r="C541" s="411" t="s">
        <v>2021</v>
      </c>
      <c r="D541" s="412"/>
      <c r="E541" s="408"/>
      <c r="F541" s="410"/>
      <c r="G541" s="394"/>
      <c r="H541" s="394"/>
      <c r="I541" s="207" t="s">
        <v>532</v>
      </c>
      <c r="J541" s="208"/>
      <c r="K541" s="209"/>
      <c r="L541" s="209"/>
      <c r="M541" s="209"/>
      <c r="N541" s="209"/>
      <c r="O541" s="209"/>
      <c r="P541" s="209"/>
      <c r="Q541" s="209"/>
      <c r="R541" s="209"/>
      <c r="S541" s="209"/>
      <c r="T541" s="209"/>
      <c r="U541" s="209"/>
      <c r="V541" s="209"/>
      <c r="W541" s="209"/>
      <c r="X541" s="209"/>
      <c r="Y541" s="209"/>
      <c r="Z541" s="209"/>
      <c r="AA541" s="209"/>
      <c r="AB541" s="209"/>
      <c r="AC541" s="209"/>
      <c r="AD541" s="209"/>
      <c r="AE541" s="209"/>
      <c r="AF541" s="209"/>
      <c r="AG541" s="209"/>
      <c r="AH541" s="209"/>
      <c r="AI541" s="209"/>
      <c r="AJ541" s="209"/>
      <c r="AK541" s="209"/>
      <c r="AL541" s="209"/>
      <c r="AM541" s="209"/>
      <c r="AN541" s="210"/>
      <c r="AO541" s="211">
        <f t="shared" si="227"/>
        <v>0</v>
      </c>
      <c r="AP541" s="12"/>
      <c r="AQ541" s="167">
        <f t="shared" si="244"/>
        <v>0</v>
      </c>
      <c r="AR541" s="12"/>
      <c r="AS541" s="167">
        <f t="shared" si="245"/>
        <v>0</v>
      </c>
      <c r="AT541" s="168">
        <f t="shared" si="246"/>
        <v>0</v>
      </c>
      <c r="AU541" s="167">
        <f t="shared" si="247"/>
        <v>0</v>
      </c>
    </row>
    <row r="542" spans="1:47" ht="29.25" customHeight="1" x14ac:dyDescent="0.25">
      <c r="A542" s="76"/>
      <c r="B542" s="158" t="s">
        <v>2015</v>
      </c>
      <c r="C542" s="404" t="s">
        <v>1423</v>
      </c>
      <c r="D542" s="405"/>
      <c r="E542" s="400"/>
      <c r="F542" s="215"/>
      <c r="G542" s="395"/>
      <c r="H542" s="395"/>
      <c r="I542" s="56" t="s">
        <v>532</v>
      </c>
      <c r="J542" s="212">
        <v>40</v>
      </c>
      <c r="K542" s="213">
        <v>300</v>
      </c>
      <c r="L542" s="213">
        <v>60</v>
      </c>
      <c r="M542" s="213"/>
      <c r="N542" s="213"/>
      <c r="O542" s="213"/>
      <c r="P542" s="213"/>
      <c r="Q542" s="213"/>
      <c r="R542" s="213"/>
      <c r="S542" s="213"/>
      <c r="T542" s="213"/>
      <c r="U542" s="213"/>
      <c r="V542" s="213"/>
      <c r="W542" s="213"/>
      <c r="X542" s="213"/>
      <c r="Y542" s="213"/>
      <c r="Z542" s="213"/>
      <c r="AA542" s="213"/>
      <c r="AB542" s="213"/>
      <c r="AC542" s="213"/>
      <c r="AD542" s="213"/>
      <c r="AE542" s="213"/>
      <c r="AF542" s="213"/>
      <c r="AG542" s="213"/>
      <c r="AH542" s="213"/>
      <c r="AI542" s="213"/>
      <c r="AJ542" s="213"/>
      <c r="AK542" s="213"/>
      <c r="AL542" s="213"/>
      <c r="AM542" s="213"/>
      <c r="AN542" s="214"/>
      <c r="AO542" s="57">
        <f t="shared" si="227"/>
        <v>400</v>
      </c>
      <c r="AP542" s="14"/>
      <c r="AQ542" s="178">
        <f t="shared" si="240"/>
        <v>0</v>
      </c>
      <c r="AR542" s="14"/>
      <c r="AS542" s="178">
        <f t="shared" si="241"/>
        <v>0</v>
      </c>
      <c r="AT542" s="179">
        <f t="shared" si="242"/>
        <v>0</v>
      </c>
      <c r="AU542" s="178">
        <f t="shared" si="243"/>
        <v>0</v>
      </c>
    </row>
    <row r="543" spans="1:47" ht="43.5" customHeight="1" x14ac:dyDescent="0.25">
      <c r="A543" s="76"/>
      <c r="B543" s="37" t="s">
        <v>2023</v>
      </c>
      <c r="C543" s="276" t="s">
        <v>2025</v>
      </c>
      <c r="D543" s="278"/>
      <c r="E543" s="188" t="s">
        <v>2024</v>
      </c>
      <c r="F543" s="216"/>
      <c r="G543" s="191" t="s">
        <v>1079</v>
      </c>
      <c r="H543" s="191" t="s">
        <v>1079</v>
      </c>
      <c r="I543" s="41" t="s">
        <v>393</v>
      </c>
      <c r="J543" s="136"/>
      <c r="K543" s="137">
        <v>1</v>
      </c>
      <c r="L543" s="137"/>
      <c r="M543" s="137"/>
      <c r="N543" s="137"/>
      <c r="O543" s="137"/>
      <c r="P543" s="137"/>
      <c r="Q543" s="137"/>
      <c r="R543" s="137"/>
      <c r="S543" s="137"/>
      <c r="T543" s="137"/>
      <c r="U543" s="137"/>
      <c r="V543" s="137"/>
      <c r="W543" s="137"/>
      <c r="X543" s="137"/>
      <c r="Y543" s="137"/>
      <c r="Z543" s="137"/>
      <c r="AA543" s="137"/>
      <c r="AB543" s="137"/>
      <c r="AC543" s="137"/>
      <c r="AD543" s="137"/>
      <c r="AE543" s="137"/>
      <c r="AF543" s="137"/>
      <c r="AG543" s="137"/>
      <c r="AH543" s="137"/>
      <c r="AI543" s="137"/>
      <c r="AJ543" s="137"/>
      <c r="AK543" s="137"/>
      <c r="AL543" s="137"/>
      <c r="AM543" s="137"/>
      <c r="AN543" s="138"/>
      <c r="AO543" s="42">
        <f t="shared" si="227"/>
        <v>1</v>
      </c>
      <c r="AP543" s="1"/>
      <c r="AQ543" s="43">
        <f t="shared" ref="AQ543" si="248">+AP543*AO543</f>
        <v>0</v>
      </c>
      <c r="AR543" s="1"/>
      <c r="AS543" s="43">
        <f t="shared" ref="AS543" si="249">+AR543*AO543</f>
        <v>0</v>
      </c>
      <c r="AT543" s="44">
        <f t="shared" ref="AT543" si="250">+AR543+AP543</f>
        <v>0</v>
      </c>
      <c r="AU543" s="43">
        <f t="shared" ref="AU543" si="251">+AT543*AO543</f>
        <v>0</v>
      </c>
    </row>
    <row r="544" spans="1:47" ht="52.5" customHeight="1" x14ac:dyDescent="0.25">
      <c r="A544" s="140"/>
      <c r="B544" s="37">
        <v>15</v>
      </c>
      <c r="C544" s="270" t="s">
        <v>2026</v>
      </c>
      <c r="D544" s="271"/>
      <c r="E544" s="271"/>
      <c r="F544" s="356"/>
      <c r="G544" s="97"/>
      <c r="H544" s="84"/>
      <c r="I544" s="97"/>
      <c r="J544" s="83"/>
      <c r="K544" s="83"/>
      <c r="L544" s="83"/>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4"/>
      <c r="AP544" s="78"/>
      <c r="AQ544" s="79">
        <f>SUM(AQ545:AQ574)</f>
        <v>0</v>
      </c>
      <c r="AR544" s="78"/>
      <c r="AS544" s="79">
        <f>SUM(AS545:AS574)</f>
        <v>0</v>
      </c>
      <c r="AT544" s="78"/>
      <c r="AU544" s="79">
        <f>SUM(AU545:AU574)</f>
        <v>0</v>
      </c>
    </row>
    <row r="545" spans="1:47" ht="48.75" customHeight="1" x14ac:dyDescent="0.25">
      <c r="A545" s="76"/>
      <c r="B545" s="148" t="s">
        <v>2052</v>
      </c>
      <c r="C545" s="406" t="s">
        <v>2028</v>
      </c>
      <c r="D545" s="407"/>
      <c r="E545" s="399" t="s">
        <v>1939</v>
      </c>
      <c r="F545" s="401" t="s">
        <v>2037</v>
      </c>
      <c r="G545" s="403" t="s">
        <v>1079</v>
      </c>
      <c r="H545" s="403" t="s">
        <v>1079</v>
      </c>
      <c r="I545" s="151" t="s">
        <v>393</v>
      </c>
      <c r="J545" s="152"/>
      <c r="K545" s="153">
        <v>1</v>
      </c>
      <c r="L545" s="153"/>
      <c r="M545" s="153"/>
      <c r="N545" s="153"/>
      <c r="O545" s="153"/>
      <c r="P545" s="153"/>
      <c r="Q545" s="153"/>
      <c r="R545" s="153"/>
      <c r="S545" s="153"/>
      <c r="T545" s="153"/>
      <c r="U545" s="153"/>
      <c r="V545" s="153"/>
      <c r="W545" s="153"/>
      <c r="X545" s="153"/>
      <c r="Y545" s="153"/>
      <c r="Z545" s="153"/>
      <c r="AA545" s="153"/>
      <c r="AB545" s="153"/>
      <c r="AC545" s="153"/>
      <c r="AD545" s="153"/>
      <c r="AE545" s="153"/>
      <c r="AF545" s="153"/>
      <c r="AG545" s="153"/>
      <c r="AH545" s="153"/>
      <c r="AI545" s="153"/>
      <c r="AJ545" s="153"/>
      <c r="AK545" s="153"/>
      <c r="AL545" s="153"/>
      <c r="AM545" s="153"/>
      <c r="AN545" s="154"/>
      <c r="AO545" s="155">
        <f t="shared" ref="AO545:AO574" si="252">SUM(J545:AN545)</f>
        <v>1</v>
      </c>
      <c r="AP545" s="13"/>
      <c r="AQ545" s="156">
        <f t="shared" ref="AQ545:AQ553" si="253">+AP545*AO545</f>
        <v>0</v>
      </c>
      <c r="AR545" s="13"/>
      <c r="AS545" s="156">
        <f t="shared" ref="AS545:AS553" si="254">+AR545*AO545</f>
        <v>0</v>
      </c>
      <c r="AT545" s="157">
        <f t="shared" ref="AT545:AT553" si="255">+AR545+AP545</f>
        <v>0</v>
      </c>
      <c r="AU545" s="156">
        <f t="shared" ref="AU545:AU553" si="256">+AT545*AO545</f>
        <v>0</v>
      </c>
    </row>
    <row r="546" spans="1:47" ht="29.25" customHeight="1" x14ac:dyDescent="0.25">
      <c r="A546" s="76"/>
      <c r="B546" s="158" t="s">
        <v>2053</v>
      </c>
      <c r="C546" s="411" t="s">
        <v>2029</v>
      </c>
      <c r="D546" s="412"/>
      <c r="E546" s="408"/>
      <c r="F546" s="409"/>
      <c r="G546" s="394"/>
      <c r="H546" s="394"/>
      <c r="I546" s="207" t="s">
        <v>393</v>
      </c>
      <c r="J546" s="208"/>
      <c r="K546" s="209">
        <v>1</v>
      </c>
      <c r="L546" s="209"/>
      <c r="M546" s="209"/>
      <c r="N546" s="209"/>
      <c r="O546" s="209"/>
      <c r="P546" s="209"/>
      <c r="Q546" s="209"/>
      <c r="R546" s="209"/>
      <c r="S546" s="209"/>
      <c r="T546" s="209"/>
      <c r="U546" s="209"/>
      <c r="V546" s="209"/>
      <c r="W546" s="209"/>
      <c r="X546" s="209"/>
      <c r="Y546" s="209"/>
      <c r="Z546" s="209"/>
      <c r="AA546" s="209"/>
      <c r="AB546" s="209"/>
      <c r="AC546" s="209"/>
      <c r="AD546" s="209"/>
      <c r="AE546" s="209"/>
      <c r="AF546" s="209"/>
      <c r="AG546" s="209"/>
      <c r="AH546" s="209"/>
      <c r="AI546" s="209"/>
      <c r="AJ546" s="209"/>
      <c r="AK546" s="209"/>
      <c r="AL546" s="209"/>
      <c r="AM546" s="209"/>
      <c r="AN546" s="210"/>
      <c r="AO546" s="211">
        <f t="shared" si="252"/>
        <v>1</v>
      </c>
      <c r="AP546" s="12"/>
      <c r="AQ546" s="167">
        <f t="shared" si="253"/>
        <v>0</v>
      </c>
      <c r="AR546" s="12"/>
      <c r="AS546" s="167">
        <f t="shared" si="254"/>
        <v>0</v>
      </c>
      <c r="AT546" s="168">
        <f t="shared" si="255"/>
        <v>0</v>
      </c>
      <c r="AU546" s="167">
        <f t="shared" si="256"/>
        <v>0</v>
      </c>
    </row>
    <row r="547" spans="1:47" ht="29.25" customHeight="1" x14ac:dyDescent="0.25">
      <c r="A547" s="76"/>
      <c r="B547" s="158" t="s">
        <v>2054</v>
      </c>
      <c r="C547" s="411" t="s">
        <v>2030</v>
      </c>
      <c r="D547" s="412"/>
      <c r="E547" s="408"/>
      <c r="F547" s="409"/>
      <c r="G547" s="394"/>
      <c r="H547" s="394"/>
      <c r="I547" s="207" t="s">
        <v>393</v>
      </c>
      <c r="J547" s="208"/>
      <c r="K547" s="209"/>
      <c r="L547" s="209"/>
      <c r="M547" s="209"/>
      <c r="N547" s="209"/>
      <c r="O547" s="209"/>
      <c r="P547" s="209"/>
      <c r="Q547" s="209"/>
      <c r="R547" s="209"/>
      <c r="S547" s="209"/>
      <c r="T547" s="209"/>
      <c r="U547" s="209"/>
      <c r="V547" s="209"/>
      <c r="W547" s="209"/>
      <c r="X547" s="209"/>
      <c r="Y547" s="209"/>
      <c r="Z547" s="209"/>
      <c r="AA547" s="209"/>
      <c r="AB547" s="209"/>
      <c r="AC547" s="209"/>
      <c r="AD547" s="209"/>
      <c r="AE547" s="209"/>
      <c r="AF547" s="209"/>
      <c r="AG547" s="209"/>
      <c r="AH547" s="209"/>
      <c r="AI547" s="209"/>
      <c r="AJ547" s="209"/>
      <c r="AK547" s="209"/>
      <c r="AL547" s="209"/>
      <c r="AM547" s="209"/>
      <c r="AN547" s="210"/>
      <c r="AO547" s="211">
        <f t="shared" si="252"/>
        <v>0</v>
      </c>
      <c r="AP547" s="12"/>
      <c r="AQ547" s="167">
        <f t="shared" si="253"/>
        <v>0</v>
      </c>
      <c r="AR547" s="12"/>
      <c r="AS547" s="167">
        <f t="shared" si="254"/>
        <v>0</v>
      </c>
      <c r="AT547" s="168">
        <f t="shared" si="255"/>
        <v>0</v>
      </c>
      <c r="AU547" s="167">
        <f t="shared" si="256"/>
        <v>0</v>
      </c>
    </row>
    <row r="548" spans="1:47" ht="29.25" customHeight="1" x14ac:dyDescent="0.25">
      <c r="A548" s="76"/>
      <c r="B548" s="158" t="s">
        <v>2055</v>
      </c>
      <c r="C548" s="411" t="s">
        <v>2031</v>
      </c>
      <c r="D548" s="412"/>
      <c r="E548" s="408"/>
      <c r="F548" s="409"/>
      <c r="G548" s="394"/>
      <c r="H548" s="394"/>
      <c r="I548" s="207" t="s">
        <v>393</v>
      </c>
      <c r="J548" s="208"/>
      <c r="K548" s="209"/>
      <c r="L548" s="209"/>
      <c r="M548" s="209"/>
      <c r="N548" s="209"/>
      <c r="O548" s="209"/>
      <c r="P548" s="209"/>
      <c r="Q548" s="209"/>
      <c r="R548" s="209"/>
      <c r="S548" s="209"/>
      <c r="T548" s="209"/>
      <c r="U548" s="209"/>
      <c r="V548" s="209"/>
      <c r="W548" s="209"/>
      <c r="X548" s="209"/>
      <c r="Y548" s="209"/>
      <c r="Z548" s="209"/>
      <c r="AA548" s="209"/>
      <c r="AB548" s="209"/>
      <c r="AC548" s="209"/>
      <c r="AD548" s="209"/>
      <c r="AE548" s="209"/>
      <c r="AF548" s="209"/>
      <c r="AG548" s="209"/>
      <c r="AH548" s="209"/>
      <c r="AI548" s="209"/>
      <c r="AJ548" s="209"/>
      <c r="AK548" s="209"/>
      <c r="AL548" s="209"/>
      <c r="AM548" s="209"/>
      <c r="AN548" s="210"/>
      <c r="AO548" s="211">
        <f t="shared" si="252"/>
        <v>0</v>
      </c>
      <c r="AP548" s="12"/>
      <c r="AQ548" s="167">
        <f t="shared" si="253"/>
        <v>0</v>
      </c>
      <c r="AR548" s="12"/>
      <c r="AS548" s="167">
        <f t="shared" si="254"/>
        <v>0</v>
      </c>
      <c r="AT548" s="168">
        <f t="shared" si="255"/>
        <v>0</v>
      </c>
      <c r="AU548" s="167">
        <f t="shared" si="256"/>
        <v>0</v>
      </c>
    </row>
    <row r="549" spans="1:47" ht="29.25" customHeight="1" x14ac:dyDescent="0.25">
      <c r="A549" s="76"/>
      <c r="B549" s="158" t="s">
        <v>2056</v>
      </c>
      <c r="C549" s="411" t="s">
        <v>2032</v>
      </c>
      <c r="D549" s="412"/>
      <c r="E549" s="408"/>
      <c r="F549" s="409"/>
      <c r="G549" s="394"/>
      <c r="H549" s="394"/>
      <c r="I549" s="207" t="s">
        <v>393</v>
      </c>
      <c r="J549" s="208"/>
      <c r="K549" s="209">
        <v>4</v>
      </c>
      <c r="L549" s="209"/>
      <c r="M549" s="209"/>
      <c r="N549" s="209"/>
      <c r="O549" s="209"/>
      <c r="P549" s="209"/>
      <c r="Q549" s="209"/>
      <c r="R549" s="209"/>
      <c r="S549" s="209"/>
      <c r="T549" s="209"/>
      <c r="U549" s="209"/>
      <c r="V549" s="209"/>
      <c r="W549" s="209"/>
      <c r="X549" s="209"/>
      <c r="Y549" s="209"/>
      <c r="Z549" s="209"/>
      <c r="AA549" s="209"/>
      <c r="AB549" s="209"/>
      <c r="AC549" s="209"/>
      <c r="AD549" s="209"/>
      <c r="AE549" s="209"/>
      <c r="AF549" s="209"/>
      <c r="AG549" s="209"/>
      <c r="AH549" s="209"/>
      <c r="AI549" s="209"/>
      <c r="AJ549" s="209"/>
      <c r="AK549" s="209"/>
      <c r="AL549" s="209"/>
      <c r="AM549" s="209"/>
      <c r="AN549" s="210"/>
      <c r="AO549" s="211">
        <f t="shared" si="252"/>
        <v>4</v>
      </c>
      <c r="AP549" s="12"/>
      <c r="AQ549" s="167">
        <f t="shared" ref="AQ549:AQ551" si="257">+AP549*AO549</f>
        <v>0</v>
      </c>
      <c r="AR549" s="12"/>
      <c r="AS549" s="167">
        <f t="shared" ref="AS549:AS551" si="258">+AR549*AO549</f>
        <v>0</v>
      </c>
      <c r="AT549" s="168">
        <f t="shared" ref="AT549:AT551" si="259">+AR549+AP549</f>
        <v>0</v>
      </c>
      <c r="AU549" s="167">
        <f t="shared" ref="AU549:AU551" si="260">+AT549*AO549</f>
        <v>0</v>
      </c>
    </row>
    <row r="550" spans="1:47" ht="29.25" customHeight="1" x14ac:dyDescent="0.25">
      <c r="A550" s="76"/>
      <c r="B550" s="158" t="s">
        <v>2057</v>
      </c>
      <c r="C550" s="411" t="s">
        <v>2033</v>
      </c>
      <c r="D550" s="412"/>
      <c r="E550" s="408"/>
      <c r="F550" s="409"/>
      <c r="G550" s="394"/>
      <c r="H550" s="394"/>
      <c r="I550" s="207" t="s">
        <v>393</v>
      </c>
      <c r="J550" s="208"/>
      <c r="K550" s="209"/>
      <c r="L550" s="209"/>
      <c r="M550" s="209"/>
      <c r="N550" s="209"/>
      <c r="O550" s="209"/>
      <c r="P550" s="209"/>
      <c r="Q550" s="209"/>
      <c r="R550" s="209"/>
      <c r="S550" s="209"/>
      <c r="T550" s="209"/>
      <c r="U550" s="209"/>
      <c r="V550" s="209"/>
      <c r="W550" s="209"/>
      <c r="X550" s="209"/>
      <c r="Y550" s="209"/>
      <c r="Z550" s="209"/>
      <c r="AA550" s="209"/>
      <c r="AB550" s="209"/>
      <c r="AC550" s="209"/>
      <c r="AD550" s="209"/>
      <c r="AE550" s="209"/>
      <c r="AF550" s="209"/>
      <c r="AG550" s="209"/>
      <c r="AH550" s="209"/>
      <c r="AI550" s="209"/>
      <c r="AJ550" s="209"/>
      <c r="AK550" s="209"/>
      <c r="AL550" s="209"/>
      <c r="AM550" s="209"/>
      <c r="AN550" s="210"/>
      <c r="AO550" s="211">
        <f t="shared" si="252"/>
        <v>0</v>
      </c>
      <c r="AP550" s="12"/>
      <c r="AQ550" s="167">
        <f t="shared" si="257"/>
        <v>0</v>
      </c>
      <c r="AR550" s="12"/>
      <c r="AS550" s="167">
        <f t="shared" si="258"/>
        <v>0</v>
      </c>
      <c r="AT550" s="168">
        <f t="shared" si="259"/>
        <v>0</v>
      </c>
      <c r="AU550" s="167">
        <f t="shared" si="260"/>
        <v>0</v>
      </c>
    </row>
    <row r="551" spans="1:47" ht="29.25" customHeight="1" x14ac:dyDescent="0.25">
      <c r="A551" s="76"/>
      <c r="B551" s="158" t="s">
        <v>2058</v>
      </c>
      <c r="C551" s="411" t="s">
        <v>2034</v>
      </c>
      <c r="D551" s="412"/>
      <c r="E551" s="408"/>
      <c r="F551" s="409"/>
      <c r="G551" s="394"/>
      <c r="H551" s="394"/>
      <c r="I551" s="207" t="s">
        <v>393</v>
      </c>
      <c r="J551" s="208"/>
      <c r="K551" s="209">
        <v>1</v>
      </c>
      <c r="L551" s="209"/>
      <c r="M551" s="209"/>
      <c r="N551" s="209"/>
      <c r="O551" s="209"/>
      <c r="P551" s="209"/>
      <c r="Q551" s="209"/>
      <c r="R551" s="209"/>
      <c r="S551" s="209"/>
      <c r="T551" s="209"/>
      <c r="U551" s="209"/>
      <c r="V551" s="209"/>
      <c r="W551" s="209"/>
      <c r="X551" s="209"/>
      <c r="Y551" s="209"/>
      <c r="Z551" s="209"/>
      <c r="AA551" s="209"/>
      <c r="AB551" s="209"/>
      <c r="AC551" s="209"/>
      <c r="AD551" s="209"/>
      <c r="AE551" s="209"/>
      <c r="AF551" s="209"/>
      <c r="AG551" s="209"/>
      <c r="AH551" s="209"/>
      <c r="AI551" s="209"/>
      <c r="AJ551" s="209"/>
      <c r="AK551" s="209"/>
      <c r="AL551" s="209"/>
      <c r="AM551" s="209"/>
      <c r="AN551" s="210"/>
      <c r="AO551" s="211">
        <f t="shared" si="252"/>
        <v>1</v>
      </c>
      <c r="AP551" s="12"/>
      <c r="AQ551" s="167">
        <f t="shared" si="257"/>
        <v>0</v>
      </c>
      <c r="AR551" s="12"/>
      <c r="AS551" s="167">
        <f t="shared" si="258"/>
        <v>0</v>
      </c>
      <c r="AT551" s="168">
        <f t="shared" si="259"/>
        <v>0</v>
      </c>
      <c r="AU551" s="167">
        <f t="shared" si="260"/>
        <v>0</v>
      </c>
    </row>
    <row r="552" spans="1:47" ht="29.25" customHeight="1" x14ac:dyDescent="0.25">
      <c r="A552" s="76"/>
      <c r="B552" s="158" t="s">
        <v>2059</v>
      </c>
      <c r="C552" s="411" t="s">
        <v>2035</v>
      </c>
      <c r="D552" s="412"/>
      <c r="E552" s="408"/>
      <c r="F552" s="409"/>
      <c r="G552" s="394"/>
      <c r="H552" s="394"/>
      <c r="I552" s="207" t="s">
        <v>393</v>
      </c>
      <c r="J552" s="208"/>
      <c r="K552" s="209"/>
      <c r="L552" s="209"/>
      <c r="M552" s="209"/>
      <c r="N552" s="209"/>
      <c r="O552" s="209"/>
      <c r="P552" s="209"/>
      <c r="Q552" s="209"/>
      <c r="R552" s="209"/>
      <c r="S552" s="209"/>
      <c r="T552" s="209"/>
      <c r="U552" s="209"/>
      <c r="V552" s="209"/>
      <c r="W552" s="209"/>
      <c r="X552" s="209"/>
      <c r="Y552" s="209"/>
      <c r="Z552" s="209"/>
      <c r="AA552" s="209"/>
      <c r="AB552" s="209"/>
      <c r="AC552" s="209"/>
      <c r="AD552" s="209"/>
      <c r="AE552" s="209"/>
      <c r="AF552" s="209"/>
      <c r="AG552" s="209"/>
      <c r="AH552" s="209"/>
      <c r="AI552" s="209"/>
      <c r="AJ552" s="209"/>
      <c r="AK552" s="209"/>
      <c r="AL552" s="209"/>
      <c r="AM552" s="209"/>
      <c r="AN552" s="210"/>
      <c r="AO552" s="211">
        <f t="shared" si="252"/>
        <v>0</v>
      </c>
      <c r="AP552" s="12"/>
      <c r="AQ552" s="167">
        <f t="shared" si="253"/>
        <v>0</v>
      </c>
      <c r="AR552" s="12"/>
      <c r="AS552" s="167">
        <f t="shared" si="254"/>
        <v>0</v>
      </c>
      <c r="AT552" s="168">
        <f t="shared" si="255"/>
        <v>0</v>
      </c>
      <c r="AU552" s="167">
        <f t="shared" si="256"/>
        <v>0</v>
      </c>
    </row>
    <row r="553" spans="1:47" ht="29.25" customHeight="1" x14ac:dyDescent="0.25">
      <c r="A553" s="76"/>
      <c r="B553" s="169" t="s">
        <v>2060</v>
      </c>
      <c r="C553" s="404" t="s">
        <v>2036</v>
      </c>
      <c r="D553" s="405"/>
      <c r="E553" s="400"/>
      <c r="F553" s="402"/>
      <c r="G553" s="395"/>
      <c r="H553" s="395"/>
      <c r="I553" s="56" t="s">
        <v>1138</v>
      </c>
      <c r="J553" s="212"/>
      <c r="K553" s="213">
        <v>1</v>
      </c>
      <c r="L553" s="213"/>
      <c r="M553" s="213"/>
      <c r="N553" s="213"/>
      <c r="O553" s="213"/>
      <c r="P553" s="213"/>
      <c r="Q553" s="213"/>
      <c r="R553" s="213"/>
      <c r="S553" s="213"/>
      <c r="T553" s="213"/>
      <c r="U553" s="213"/>
      <c r="V553" s="213"/>
      <c r="W553" s="213"/>
      <c r="X553" s="213"/>
      <c r="Y553" s="213"/>
      <c r="Z553" s="213"/>
      <c r="AA553" s="213"/>
      <c r="AB553" s="213"/>
      <c r="AC553" s="213"/>
      <c r="AD553" s="213"/>
      <c r="AE553" s="213"/>
      <c r="AF553" s="213"/>
      <c r="AG553" s="213"/>
      <c r="AH553" s="213"/>
      <c r="AI553" s="213"/>
      <c r="AJ553" s="213"/>
      <c r="AK553" s="213"/>
      <c r="AL553" s="213"/>
      <c r="AM553" s="213"/>
      <c r="AN553" s="214"/>
      <c r="AO553" s="57">
        <f t="shared" si="252"/>
        <v>1</v>
      </c>
      <c r="AP553" s="14"/>
      <c r="AQ553" s="178">
        <f t="shared" si="253"/>
        <v>0</v>
      </c>
      <c r="AR553" s="14"/>
      <c r="AS553" s="178">
        <f t="shared" si="254"/>
        <v>0</v>
      </c>
      <c r="AT553" s="179">
        <f t="shared" si="255"/>
        <v>0</v>
      </c>
      <c r="AU553" s="178">
        <f t="shared" si="256"/>
        <v>0</v>
      </c>
    </row>
    <row r="554" spans="1:47" ht="31.5" customHeight="1" x14ac:dyDescent="0.25">
      <c r="A554" s="76"/>
      <c r="B554" s="148" t="s">
        <v>2061</v>
      </c>
      <c r="C554" s="406" t="s">
        <v>2038</v>
      </c>
      <c r="D554" s="407"/>
      <c r="E554" s="399" t="s">
        <v>2047</v>
      </c>
      <c r="F554" s="401" t="s">
        <v>2037</v>
      </c>
      <c r="G554" s="403" t="s">
        <v>1079</v>
      </c>
      <c r="H554" s="403" t="s">
        <v>1079</v>
      </c>
      <c r="I554" s="151" t="s">
        <v>1138</v>
      </c>
      <c r="J554" s="152"/>
      <c r="K554" s="153">
        <v>12</v>
      </c>
      <c r="L554" s="153">
        <v>13</v>
      </c>
      <c r="M554" s="153"/>
      <c r="N554" s="153"/>
      <c r="O554" s="153"/>
      <c r="P554" s="153"/>
      <c r="Q554" s="153"/>
      <c r="R554" s="153"/>
      <c r="S554" s="153"/>
      <c r="T554" s="153"/>
      <c r="U554" s="153"/>
      <c r="V554" s="153"/>
      <c r="W554" s="153"/>
      <c r="X554" s="153"/>
      <c r="Y554" s="153"/>
      <c r="Z554" s="153"/>
      <c r="AA554" s="153"/>
      <c r="AB554" s="153"/>
      <c r="AC554" s="153"/>
      <c r="AD554" s="153"/>
      <c r="AE554" s="153"/>
      <c r="AF554" s="153"/>
      <c r="AG554" s="153"/>
      <c r="AH554" s="153"/>
      <c r="AI554" s="153"/>
      <c r="AJ554" s="153"/>
      <c r="AK554" s="153"/>
      <c r="AL554" s="153"/>
      <c r="AM554" s="153"/>
      <c r="AN554" s="154"/>
      <c r="AO554" s="155">
        <f t="shared" si="252"/>
        <v>25</v>
      </c>
      <c r="AP554" s="13"/>
      <c r="AQ554" s="156">
        <f t="shared" ref="AQ554:AQ562" si="261">+AP554*AO554</f>
        <v>0</v>
      </c>
      <c r="AR554" s="13"/>
      <c r="AS554" s="156">
        <f t="shared" ref="AS554:AS562" si="262">+AR554*AO554</f>
        <v>0</v>
      </c>
      <c r="AT554" s="157">
        <f t="shared" ref="AT554:AT562" si="263">+AR554+AP554</f>
        <v>0</v>
      </c>
      <c r="AU554" s="156">
        <f t="shared" ref="AU554:AU562" si="264">+AT554*AO554</f>
        <v>0</v>
      </c>
    </row>
    <row r="555" spans="1:47" ht="31.5" customHeight="1" x14ac:dyDescent="0.25">
      <c r="A555" s="76"/>
      <c r="B555" s="158" t="s">
        <v>2062</v>
      </c>
      <c r="C555" s="411" t="s">
        <v>2039</v>
      </c>
      <c r="D555" s="412"/>
      <c r="E555" s="408"/>
      <c r="F555" s="409"/>
      <c r="G555" s="394"/>
      <c r="H555" s="394"/>
      <c r="I555" s="207" t="s">
        <v>1138</v>
      </c>
      <c r="J555" s="208">
        <v>10</v>
      </c>
      <c r="K555" s="209">
        <v>8</v>
      </c>
      <c r="L555" s="209">
        <v>6</v>
      </c>
      <c r="M555" s="209"/>
      <c r="N555" s="209"/>
      <c r="O555" s="209"/>
      <c r="P555" s="209"/>
      <c r="Q555" s="209"/>
      <c r="R555" s="209"/>
      <c r="S555" s="209"/>
      <c r="T555" s="209"/>
      <c r="U555" s="209"/>
      <c r="V555" s="209"/>
      <c r="W555" s="209"/>
      <c r="X555" s="209"/>
      <c r="Y555" s="209"/>
      <c r="Z555" s="209"/>
      <c r="AA555" s="209"/>
      <c r="AB555" s="209"/>
      <c r="AC555" s="209"/>
      <c r="AD555" s="209"/>
      <c r="AE555" s="209"/>
      <c r="AF555" s="209"/>
      <c r="AG555" s="209"/>
      <c r="AH555" s="209"/>
      <c r="AI555" s="209"/>
      <c r="AJ555" s="209"/>
      <c r="AK555" s="209"/>
      <c r="AL555" s="209"/>
      <c r="AM555" s="209"/>
      <c r="AN555" s="210"/>
      <c r="AO555" s="211">
        <f t="shared" si="252"/>
        <v>24</v>
      </c>
      <c r="AP555" s="12"/>
      <c r="AQ555" s="167">
        <f t="shared" si="261"/>
        <v>0</v>
      </c>
      <c r="AR555" s="12"/>
      <c r="AS555" s="167">
        <f t="shared" si="262"/>
        <v>0</v>
      </c>
      <c r="AT555" s="168">
        <f t="shared" si="263"/>
        <v>0</v>
      </c>
      <c r="AU555" s="167">
        <f t="shared" si="264"/>
        <v>0</v>
      </c>
    </row>
    <row r="556" spans="1:47" ht="31.5" customHeight="1" x14ac:dyDescent="0.25">
      <c r="A556" s="76"/>
      <c r="B556" s="158" t="s">
        <v>2063</v>
      </c>
      <c r="C556" s="411" t="s">
        <v>2040</v>
      </c>
      <c r="D556" s="412"/>
      <c r="E556" s="408"/>
      <c r="F556" s="409"/>
      <c r="G556" s="394"/>
      <c r="H556" s="394"/>
      <c r="I556" s="207" t="s">
        <v>1138</v>
      </c>
      <c r="J556" s="208">
        <v>2</v>
      </c>
      <c r="K556" s="209">
        <v>6</v>
      </c>
      <c r="L556" s="209">
        <v>4</v>
      </c>
      <c r="M556" s="209"/>
      <c r="N556" s="209"/>
      <c r="O556" s="209"/>
      <c r="P556" s="209"/>
      <c r="Q556" s="209"/>
      <c r="R556" s="209"/>
      <c r="S556" s="209"/>
      <c r="T556" s="209"/>
      <c r="U556" s="209"/>
      <c r="V556" s="209"/>
      <c r="W556" s="209"/>
      <c r="X556" s="209"/>
      <c r="Y556" s="209"/>
      <c r="Z556" s="209"/>
      <c r="AA556" s="209"/>
      <c r="AB556" s="209"/>
      <c r="AC556" s="209"/>
      <c r="AD556" s="209"/>
      <c r="AE556" s="209"/>
      <c r="AF556" s="209"/>
      <c r="AG556" s="209"/>
      <c r="AH556" s="209"/>
      <c r="AI556" s="209"/>
      <c r="AJ556" s="209"/>
      <c r="AK556" s="209"/>
      <c r="AL556" s="209"/>
      <c r="AM556" s="209"/>
      <c r="AN556" s="210"/>
      <c r="AO556" s="211">
        <f t="shared" si="252"/>
        <v>12</v>
      </c>
      <c r="AP556" s="12"/>
      <c r="AQ556" s="167">
        <f t="shared" si="261"/>
        <v>0</v>
      </c>
      <c r="AR556" s="12"/>
      <c r="AS556" s="167">
        <f t="shared" si="262"/>
        <v>0</v>
      </c>
      <c r="AT556" s="168">
        <f t="shared" si="263"/>
        <v>0</v>
      </c>
      <c r="AU556" s="167">
        <f t="shared" si="264"/>
        <v>0</v>
      </c>
    </row>
    <row r="557" spans="1:47" ht="31.5" customHeight="1" x14ac:dyDescent="0.25">
      <c r="A557" s="76"/>
      <c r="B557" s="158" t="s">
        <v>2064</v>
      </c>
      <c r="C557" s="411" t="s">
        <v>2041</v>
      </c>
      <c r="D557" s="412"/>
      <c r="E557" s="408"/>
      <c r="F557" s="409"/>
      <c r="G557" s="394"/>
      <c r="H557" s="394"/>
      <c r="I557" s="207" t="s">
        <v>1138</v>
      </c>
      <c r="J557" s="208"/>
      <c r="K557" s="209"/>
      <c r="L557" s="209"/>
      <c r="M557" s="209"/>
      <c r="N557" s="209"/>
      <c r="O557" s="209"/>
      <c r="P557" s="209"/>
      <c r="Q557" s="209"/>
      <c r="R557" s="209"/>
      <c r="S557" s="209"/>
      <c r="T557" s="209"/>
      <c r="U557" s="209"/>
      <c r="V557" s="209"/>
      <c r="W557" s="209"/>
      <c r="X557" s="209"/>
      <c r="Y557" s="209"/>
      <c r="Z557" s="209"/>
      <c r="AA557" s="209"/>
      <c r="AB557" s="209"/>
      <c r="AC557" s="209"/>
      <c r="AD557" s="209"/>
      <c r="AE557" s="209"/>
      <c r="AF557" s="209"/>
      <c r="AG557" s="209"/>
      <c r="AH557" s="209"/>
      <c r="AI557" s="209"/>
      <c r="AJ557" s="209"/>
      <c r="AK557" s="209"/>
      <c r="AL557" s="209"/>
      <c r="AM557" s="209"/>
      <c r="AN557" s="210"/>
      <c r="AO557" s="211">
        <f t="shared" si="252"/>
        <v>0</v>
      </c>
      <c r="AP557" s="12"/>
      <c r="AQ557" s="167">
        <f t="shared" si="261"/>
        <v>0</v>
      </c>
      <c r="AR557" s="12"/>
      <c r="AS557" s="167">
        <f t="shared" si="262"/>
        <v>0</v>
      </c>
      <c r="AT557" s="168">
        <f t="shared" si="263"/>
        <v>0</v>
      </c>
      <c r="AU557" s="167">
        <f t="shared" si="264"/>
        <v>0</v>
      </c>
    </row>
    <row r="558" spans="1:47" ht="29.25" customHeight="1" x14ac:dyDescent="0.25">
      <c r="A558" s="76"/>
      <c r="B558" s="158" t="s">
        <v>2065</v>
      </c>
      <c r="C558" s="411" t="s">
        <v>2042</v>
      </c>
      <c r="D558" s="412"/>
      <c r="E558" s="408"/>
      <c r="F558" s="409"/>
      <c r="G558" s="394"/>
      <c r="H558" s="394"/>
      <c r="I558" s="207" t="s">
        <v>1138</v>
      </c>
      <c r="J558" s="208"/>
      <c r="K558" s="209"/>
      <c r="L558" s="209"/>
      <c r="M558" s="209"/>
      <c r="N558" s="209"/>
      <c r="O558" s="209"/>
      <c r="P558" s="209"/>
      <c r="Q558" s="209"/>
      <c r="R558" s="209"/>
      <c r="S558" s="209"/>
      <c r="T558" s="209"/>
      <c r="U558" s="209"/>
      <c r="V558" s="209"/>
      <c r="W558" s="209"/>
      <c r="X558" s="209"/>
      <c r="Y558" s="209"/>
      <c r="Z558" s="209"/>
      <c r="AA558" s="209"/>
      <c r="AB558" s="209"/>
      <c r="AC558" s="209"/>
      <c r="AD558" s="209"/>
      <c r="AE558" s="209"/>
      <c r="AF558" s="209"/>
      <c r="AG558" s="209"/>
      <c r="AH558" s="209"/>
      <c r="AI558" s="209"/>
      <c r="AJ558" s="209"/>
      <c r="AK558" s="209"/>
      <c r="AL558" s="209"/>
      <c r="AM558" s="209"/>
      <c r="AN558" s="210"/>
      <c r="AO558" s="211">
        <f t="shared" si="252"/>
        <v>0</v>
      </c>
      <c r="AP558" s="12"/>
      <c r="AQ558" s="167">
        <f t="shared" si="261"/>
        <v>0</v>
      </c>
      <c r="AR558" s="12"/>
      <c r="AS558" s="167">
        <f t="shared" si="262"/>
        <v>0</v>
      </c>
      <c r="AT558" s="168">
        <f t="shared" si="263"/>
        <v>0</v>
      </c>
      <c r="AU558" s="167">
        <f t="shared" si="264"/>
        <v>0</v>
      </c>
    </row>
    <row r="559" spans="1:47" ht="29.25" customHeight="1" x14ac:dyDescent="0.25">
      <c r="A559" s="76"/>
      <c r="B559" s="158" t="s">
        <v>2066</v>
      </c>
      <c r="C559" s="411" t="s">
        <v>2043</v>
      </c>
      <c r="D559" s="412"/>
      <c r="E559" s="408"/>
      <c r="F559" s="409"/>
      <c r="G559" s="394"/>
      <c r="H559" s="394"/>
      <c r="I559" s="207" t="s">
        <v>1138</v>
      </c>
      <c r="J559" s="208"/>
      <c r="K559" s="209">
        <v>13</v>
      </c>
      <c r="L559" s="209"/>
      <c r="M559" s="209"/>
      <c r="N559" s="209"/>
      <c r="O559" s="209"/>
      <c r="P559" s="209"/>
      <c r="Q559" s="209"/>
      <c r="R559" s="209"/>
      <c r="S559" s="209"/>
      <c r="T559" s="209"/>
      <c r="U559" s="209"/>
      <c r="V559" s="209"/>
      <c r="W559" s="209"/>
      <c r="X559" s="209"/>
      <c r="Y559" s="209"/>
      <c r="Z559" s="209"/>
      <c r="AA559" s="209"/>
      <c r="AB559" s="209"/>
      <c r="AC559" s="209"/>
      <c r="AD559" s="209"/>
      <c r="AE559" s="209"/>
      <c r="AF559" s="209"/>
      <c r="AG559" s="209"/>
      <c r="AH559" s="209"/>
      <c r="AI559" s="209"/>
      <c r="AJ559" s="209"/>
      <c r="AK559" s="209"/>
      <c r="AL559" s="209"/>
      <c r="AM559" s="209"/>
      <c r="AN559" s="210"/>
      <c r="AO559" s="211">
        <f t="shared" si="252"/>
        <v>13</v>
      </c>
      <c r="AP559" s="12"/>
      <c r="AQ559" s="167">
        <f t="shared" si="261"/>
        <v>0</v>
      </c>
      <c r="AR559" s="12"/>
      <c r="AS559" s="167">
        <f t="shared" si="262"/>
        <v>0</v>
      </c>
      <c r="AT559" s="168">
        <f t="shared" si="263"/>
        <v>0</v>
      </c>
      <c r="AU559" s="167">
        <f t="shared" si="264"/>
        <v>0</v>
      </c>
    </row>
    <row r="560" spans="1:47" ht="29.25" customHeight="1" x14ac:dyDescent="0.25">
      <c r="A560" s="76"/>
      <c r="B560" s="158" t="s">
        <v>2067</v>
      </c>
      <c r="C560" s="411" t="s">
        <v>2044</v>
      </c>
      <c r="D560" s="412"/>
      <c r="E560" s="408"/>
      <c r="F560" s="409"/>
      <c r="G560" s="394"/>
      <c r="H560" s="394"/>
      <c r="I560" s="207" t="s">
        <v>1138</v>
      </c>
      <c r="J560" s="208">
        <v>1</v>
      </c>
      <c r="K560" s="209"/>
      <c r="L560" s="209">
        <v>2</v>
      </c>
      <c r="M560" s="209"/>
      <c r="N560" s="209"/>
      <c r="O560" s="209"/>
      <c r="P560" s="209"/>
      <c r="Q560" s="209"/>
      <c r="R560" s="209"/>
      <c r="S560" s="209"/>
      <c r="T560" s="209"/>
      <c r="U560" s="209"/>
      <c r="V560" s="209"/>
      <c r="W560" s="209"/>
      <c r="X560" s="209"/>
      <c r="Y560" s="209"/>
      <c r="Z560" s="209"/>
      <c r="AA560" s="209"/>
      <c r="AB560" s="209"/>
      <c r="AC560" s="209"/>
      <c r="AD560" s="209"/>
      <c r="AE560" s="209"/>
      <c r="AF560" s="209"/>
      <c r="AG560" s="209"/>
      <c r="AH560" s="209"/>
      <c r="AI560" s="209"/>
      <c r="AJ560" s="209"/>
      <c r="AK560" s="209"/>
      <c r="AL560" s="209"/>
      <c r="AM560" s="209"/>
      <c r="AN560" s="210"/>
      <c r="AO560" s="211">
        <f t="shared" si="252"/>
        <v>3</v>
      </c>
      <c r="AP560" s="12"/>
      <c r="AQ560" s="167">
        <f t="shared" si="261"/>
        <v>0</v>
      </c>
      <c r="AR560" s="12"/>
      <c r="AS560" s="167">
        <f t="shared" si="262"/>
        <v>0</v>
      </c>
      <c r="AT560" s="168">
        <f t="shared" si="263"/>
        <v>0</v>
      </c>
      <c r="AU560" s="167">
        <f t="shared" si="264"/>
        <v>0</v>
      </c>
    </row>
    <row r="561" spans="1:47" ht="29.25" customHeight="1" x14ac:dyDescent="0.25">
      <c r="A561" s="76"/>
      <c r="B561" s="158" t="s">
        <v>2068</v>
      </c>
      <c r="C561" s="411" t="s">
        <v>2045</v>
      </c>
      <c r="D561" s="412"/>
      <c r="E561" s="408"/>
      <c r="F561" s="409"/>
      <c r="G561" s="394"/>
      <c r="H561" s="394"/>
      <c r="I561" s="207" t="s">
        <v>1138</v>
      </c>
      <c r="J561" s="208"/>
      <c r="K561" s="209"/>
      <c r="L561" s="209">
        <v>1</v>
      </c>
      <c r="M561" s="209"/>
      <c r="N561" s="209"/>
      <c r="O561" s="209"/>
      <c r="P561" s="209"/>
      <c r="Q561" s="209"/>
      <c r="R561" s="209"/>
      <c r="S561" s="209"/>
      <c r="T561" s="209"/>
      <c r="U561" s="209"/>
      <c r="V561" s="209"/>
      <c r="W561" s="209"/>
      <c r="X561" s="209"/>
      <c r="Y561" s="209"/>
      <c r="Z561" s="209"/>
      <c r="AA561" s="209"/>
      <c r="AB561" s="209"/>
      <c r="AC561" s="209"/>
      <c r="AD561" s="209"/>
      <c r="AE561" s="209"/>
      <c r="AF561" s="209"/>
      <c r="AG561" s="209"/>
      <c r="AH561" s="209"/>
      <c r="AI561" s="209"/>
      <c r="AJ561" s="209"/>
      <c r="AK561" s="209"/>
      <c r="AL561" s="209"/>
      <c r="AM561" s="209"/>
      <c r="AN561" s="210"/>
      <c r="AO561" s="211">
        <f t="shared" si="252"/>
        <v>1</v>
      </c>
      <c r="AP561" s="12"/>
      <c r="AQ561" s="167">
        <f t="shared" si="261"/>
        <v>0</v>
      </c>
      <c r="AR561" s="12"/>
      <c r="AS561" s="167">
        <f t="shared" si="262"/>
        <v>0</v>
      </c>
      <c r="AT561" s="168">
        <f t="shared" si="263"/>
        <v>0</v>
      </c>
      <c r="AU561" s="167">
        <f t="shared" si="264"/>
        <v>0</v>
      </c>
    </row>
    <row r="562" spans="1:47" ht="29.25" customHeight="1" x14ac:dyDescent="0.25">
      <c r="A562" s="76"/>
      <c r="B562" s="169" t="s">
        <v>2069</v>
      </c>
      <c r="C562" s="404" t="s">
        <v>2046</v>
      </c>
      <c r="D562" s="405"/>
      <c r="E562" s="400"/>
      <c r="F562" s="402"/>
      <c r="G562" s="395"/>
      <c r="H562" s="395"/>
      <c r="I562" s="56" t="s">
        <v>1138</v>
      </c>
      <c r="J562" s="212"/>
      <c r="K562" s="213"/>
      <c r="L562" s="213"/>
      <c r="M562" s="213"/>
      <c r="N562" s="213"/>
      <c r="O562" s="213"/>
      <c r="P562" s="213"/>
      <c r="Q562" s="213"/>
      <c r="R562" s="213"/>
      <c r="S562" s="213"/>
      <c r="T562" s="213"/>
      <c r="U562" s="213"/>
      <c r="V562" s="213"/>
      <c r="W562" s="213"/>
      <c r="X562" s="213"/>
      <c r="Y562" s="213"/>
      <c r="Z562" s="213"/>
      <c r="AA562" s="213"/>
      <c r="AB562" s="213"/>
      <c r="AC562" s="213"/>
      <c r="AD562" s="213"/>
      <c r="AE562" s="213"/>
      <c r="AF562" s="213"/>
      <c r="AG562" s="213"/>
      <c r="AH562" s="213"/>
      <c r="AI562" s="213"/>
      <c r="AJ562" s="213"/>
      <c r="AK562" s="213"/>
      <c r="AL562" s="213"/>
      <c r="AM562" s="213"/>
      <c r="AN562" s="214"/>
      <c r="AO562" s="57">
        <f t="shared" si="252"/>
        <v>0</v>
      </c>
      <c r="AP562" s="14"/>
      <c r="AQ562" s="178">
        <f t="shared" si="261"/>
        <v>0</v>
      </c>
      <c r="AR562" s="14"/>
      <c r="AS562" s="178">
        <f t="shared" si="262"/>
        <v>0</v>
      </c>
      <c r="AT562" s="179">
        <f t="shared" si="263"/>
        <v>0</v>
      </c>
      <c r="AU562" s="178">
        <f t="shared" si="264"/>
        <v>0</v>
      </c>
    </row>
    <row r="563" spans="1:47" ht="31.5" customHeight="1" x14ac:dyDescent="0.25">
      <c r="A563" s="76"/>
      <c r="B563" s="148" t="s">
        <v>2070</v>
      </c>
      <c r="C563" s="406" t="s">
        <v>2048</v>
      </c>
      <c r="D563" s="407"/>
      <c r="E563" s="399" t="s">
        <v>1657</v>
      </c>
      <c r="F563" s="401" t="s">
        <v>2037</v>
      </c>
      <c r="G563" s="403" t="s">
        <v>1079</v>
      </c>
      <c r="H563" s="403" t="s">
        <v>1079</v>
      </c>
      <c r="I563" s="151" t="s">
        <v>1138</v>
      </c>
      <c r="J563" s="152"/>
      <c r="K563" s="153"/>
      <c r="L563" s="153"/>
      <c r="M563" s="153"/>
      <c r="N563" s="153"/>
      <c r="O563" s="153"/>
      <c r="P563" s="153"/>
      <c r="Q563" s="153"/>
      <c r="R563" s="153"/>
      <c r="S563" s="153"/>
      <c r="T563" s="153"/>
      <c r="U563" s="153"/>
      <c r="V563" s="153"/>
      <c r="W563" s="153"/>
      <c r="X563" s="153"/>
      <c r="Y563" s="153"/>
      <c r="Z563" s="153"/>
      <c r="AA563" s="153"/>
      <c r="AB563" s="153"/>
      <c r="AC563" s="153"/>
      <c r="AD563" s="153"/>
      <c r="AE563" s="153"/>
      <c r="AF563" s="153"/>
      <c r="AG563" s="153"/>
      <c r="AH563" s="153"/>
      <c r="AI563" s="153"/>
      <c r="AJ563" s="153"/>
      <c r="AK563" s="153"/>
      <c r="AL563" s="153"/>
      <c r="AM563" s="153"/>
      <c r="AN563" s="154"/>
      <c r="AO563" s="155">
        <f t="shared" si="252"/>
        <v>0</v>
      </c>
      <c r="AP563" s="13"/>
      <c r="AQ563" s="156">
        <f t="shared" ref="AQ563:AQ573" si="265">+AP563*AO563</f>
        <v>0</v>
      </c>
      <c r="AR563" s="13"/>
      <c r="AS563" s="156">
        <f t="shared" ref="AS563:AS573" si="266">+AR563*AO563</f>
        <v>0</v>
      </c>
      <c r="AT563" s="157">
        <f t="shared" ref="AT563:AT573" si="267">+AR563+AP563</f>
        <v>0</v>
      </c>
      <c r="AU563" s="156">
        <f t="shared" ref="AU563:AU573" si="268">+AT563*AO563</f>
        <v>0</v>
      </c>
    </row>
    <row r="564" spans="1:47" ht="31.5" customHeight="1" x14ac:dyDescent="0.25">
      <c r="A564" s="76"/>
      <c r="B564" s="158" t="s">
        <v>2071</v>
      </c>
      <c r="C564" s="411" t="s">
        <v>2049</v>
      </c>
      <c r="D564" s="412"/>
      <c r="E564" s="408"/>
      <c r="F564" s="409"/>
      <c r="G564" s="394"/>
      <c r="H564" s="394"/>
      <c r="I564" s="207" t="s">
        <v>1138</v>
      </c>
      <c r="J564" s="208"/>
      <c r="K564" s="209">
        <v>1</v>
      </c>
      <c r="L564" s="209"/>
      <c r="M564" s="209"/>
      <c r="N564" s="209"/>
      <c r="O564" s="209"/>
      <c r="P564" s="209"/>
      <c r="Q564" s="209"/>
      <c r="R564" s="209"/>
      <c r="S564" s="209"/>
      <c r="T564" s="209"/>
      <c r="U564" s="209"/>
      <c r="V564" s="209"/>
      <c r="W564" s="209"/>
      <c r="X564" s="209"/>
      <c r="Y564" s="209"/>
      <c r="Z564" s="209"/>
      <c r="AA564" s="209"/>
      <c r="AB564" s="209"/>
      <c r="AC564" s="209"/>
      <c r="AD564" s="209"/>
      <c r="AE564" s="209"/>
      <c r="AF564" s="209"/>
      <c r="AG564" s="209"/>
      <c r="AH564" s="209"/>
      <c r="AI564" s="209"/>
      <c r="AJ564" s="209"/>
      <c r="AK564" s="209"/>
      <c r="AL564" s="209"/>
      <c r="AM564" s="209"/>
      <c r="AN564" s="210"/>
      <c r="AO564" s="211">
        <f t="shared" si="252"/>
        <v>1</v>
      </c>
      <c r="AP564" s="12"/>
      <c r="AQ564" s="167">
        <f t="shared" si="265"/>
        <v>0</v>
      </c>
      <c r="AR564" s="12"/>
      <c r="AS564" s="167">
        <f t="shared" si="266"/>
        <v>0</v>
      </c>
      <c r="AT564" s="168">
        <f t="shared" si="267"/>
        <v>0</v>
      </c>
      <c r="AU564" s="167">
        <f t="shared" si="268"/>
        <v>0</v>
      </c>
    </row>
    <row r="565" spans="1:47" ht="31.5" customHeight="1" x14ac:dyDescent="0.25">
      <c r="A565" s="76"/>
      <c r="B565" s="158" t="s">
        <v>2072</v>
      </c>
      <c r="C565" s="411" t="s">
        <v>2050</v>
      </c>
      <c r="D565" s="412"/>
      <c r="E565" s="408"/>
      <c r="F565" s="409"/>
      <c r="G565" s="394"/>
      <c r="H565" s="394"/>
      <c r="I565" s="207" t="s">
        <v>1138</v>
      </c>
      <c r="J565" s="208"/>
      <c r="K565" s="209"/>
      <c r="L565" s="209"/>
      <c r="M565" s="209"/>
      <c r="N565" s="209"/>
      <c r="O565" s="209"/>
      <c r="P565" s="209"/>
      <c r="Q565" s="209"/>
      <c r="R565" s="209"/>
      <c r="S565" s="209"/>
      <c r="T565" s="209"/>
      <c r="U565" s="209"/>
      <c r="V565" s="209"/>
      <c r="W565" s="209"/>
      <c r="X565" s="209"/>
      <c r="Y565" s="209"/>
      <c r="Z565" s="209"/>
      <c r="AA565" s="209"/>
      <c r="AB565" s="209"/>
      <c r="AC565" s="209"/>
      <c r="AD565" s="209"/>
      <c r="AE565" s="209"/>
      <c r="AF565" s="209"/>
      <c r="AG565" s="209"/>
      <c r="AH565" s="209"/>
      <c r="AI565" s="209"/>
      <c r="AJ565" s="209"/>
      <c r="AK565" s="209"/>
      <c r="AL565" s="209"/>
      <c r="AM565" s="209"/>
      <c r="AN565" s="210"/>
      <c r="AO565" s="211">
        <f t="shared" si="252"/>
        <v>0</v>
      </c>
      <c r="AP565" s="12"/>
      <c r="AQ565" s="167">
        <f t="shared" si="265"/>
        <v>0</v>
      </c>
      <c r="AR565" s="12"/>
      <c r="AS565" s="167">
        <f t="shared" si="266"/>
        <v>0</v>
      </c>
      <c r="AT565" s="168">
        <f t="shared" si="267"/>
        <v>0</v>
      </c>
      <c r="AU565" s="167">
        <f t="shared" si="268"/>
        <v>0</v>
      </c>
    </row>
    <row r="566" spans="1:47" ht="31.5" customHeight="1" x14ac:dyDescent="0.25">
      <c r="A566" s="76"/>
      <c r="B566" s="169" t="s">
        <v>2073</v>
      </c>
      <c r="C566" s="404" t="s">
        <v>2051</v>
      </c>
      <c r="D566" s="405"/>
      <c r="E566" s="400"/>
      <c r="F566" s="402"/>
      <c r="G566" s="395"/>
      <c r="H566" s="395"/>
      <c r="I566" s="56" t="s">
        <v>1138</v>
      </c>
      <c r="J566" s="212"/>
      <c r="K566" s="213"/>
      <c r="L566" s="213"/>
      <c r="M566" s="213"/>
      <c r="N566" s="213"/>
      <c r="O566" s="213"/>
      <c r="P566" s="213"/>
      <c r="Q566" s="213"/>
      <c r="R566" s="213"/>
      <c r="S566" s="213"/>
      <c r="T566" s="213"/>
      <c r="U566" s="213"/>
      <c r="V566" s="213"/>
      <c r="W566" s="213"/>
      <c r="X566" s="213"/>
      <c r="Y566" s="213"/>
      <c r="Z566" s="213"/>
      <c r="AA566" s="213"/>
      <c r="AB566" s="213"/>
      <c r="AC566" s="213"/>
      <c r="AD566" s="213"/>
      <c r="AE566" s="213"/>
      <c r="AF566" s="213"/>
      <c r="AG566" s="213"/>
      <c r="AH566" s="213"/>
      <c r="AI566" s="213"/>
      <c r="AJ566" s="213"/>
      <c r="AK566" s="213"/>
      <c r="AL566" s="213"/>
      <c r="AM566" s="213"/>
      <c r="AN566" s="214"/>
      <c r="AO566" s="57">
        <f t="shared" si="252"/>
        <v>0</v>
      </c>
      <c r="AP566" s="14"/>
      <c r="AQ566" s="178">
        <f t="shared" si="265"/>
        <v>0</v>
      </c>
      <c r="AR566" s="14"/>
      <c r="AS566" s="178">
        <f t="shared" si="266"/>
        <v>0</v>
      </c>
      <c r="AT566" s="179">
        <f t="shared" si="267"/>
        <v>0</v>
      </c>
      <c r="AU566" s="178">
        <f t="shared" si="268"/>
        <v>0</v>
      </c>
    </row>
    <row r="567" spans="1:47" ht="31.5" customHeight="1" x14ac:dyDescent="0.25">
      <c r="A567" s="76"/>
      <c r="B567" s="148" t="s">
        <v>2074</v>
      </c>
      <c r="C567" s="406" t="s">
        <v>2081</v>
      </c>
      <c r="D567" s="407"/>
      <c r="E567" s="399" t="s">
        <v>2022</v>
      </c>
      <c r="F567" s="401" t="s">
        <v>1329</v>
      </c>
      <c r="G567" s="403" t="s">
        <v>1079</v>
      </c>
      <c r="H567" s="403" t="s">
        <v>1079</v>
      </c>
      <c r="I567" s="151" t="s">
        <v>532</v>
      </c>
      <c r="J567" s="152">
        <v>280</v>
      </c>
      <c r="K567" s="153">
        <v>1450</v>
      </c>
      <c r="L567" s="153">
        <v>415</v>
      </c>
      <c r="M567" s="153"/>
      <c r="N567" s="153"/>
      <c r="O567" s="153"/>
      <c r="P567" s="153"/>
      <c r="Q567" s="153"/>
      <c r="R567" s="153"/>
      <c r="S567" s="153"/>
      <c r="T567" s="153"/>
      <c r="U567" s="153"/>
      <c r="V567" s="153"/>
      <c r="W567" s="153"/>
      <c r="X567" s="153"/>
      <c r="Y567" s="153"/>
      <c r="Z567" s="153"/>
      <c r="AA567" s="153"/>
      <c r="AB567" s="153"/>
      <c r="AC567" s="153"/>
      <c r="AD567" s="153"/>
      <c r="AE567" s="153"/>
      <c r="AF567" s="153"/>
      <c r="AG567" s="153"/>
      <c r="AH567" s="153"/>
      <c r="AI567" s="153"/>
      <c r="AJ567" s="153"/>
      <c r="AK567" s="153"/>
      <c r="AL567" s="153"/>
      <c r="AM567" s="153"/>
      <c r="AN567" s="154"/>
      <c r="AO567" s="155">
        <f t="shared" si="252"/>
        <v>2145</v>
      </c>
      <c r="AP567" s="13"/>
      <c r="AQ567" s="156">
        <f t="shared" si="265"/>
        <v>0</v>
      </c>
      <c r="AR567" s="13"/>
      <c r="AS567" s="156">
        <f t="shared" si="266"/>
        <v>0</v>
      </c>
      <c r="AT567" s="157">
        <f t="shared" si="267"/>
        <v>0</v>
      </c>
      <c r="AU567" s="156">
        <f t="shared" si="268"/>
        <v>0</v>
      </c>
    </row>
    <row r="568" spans="1:47" ht="31.5" customHeight="1" x14ac:dyDescent="0.25">
      <c r="A568" s="76"/>
      <c r="B568" s="158" t="s">
        <v>2075</v>
      </c>
      <c r="C568" s="411" t="s">
        <v>2082</v>
      </c>
      <c r="D568" s="412"/>
      <c r="E568" s="408"/>
      <c r="F568" s="409"/>
      <c r="G568" s="394"/>
      <c r="H568" s="394"/>
      <c r="I568" s="207" t="s">
        <v>532</v>
      </c>
      <c r="J568" s="208"/>
      <c r="K568" s="209"/>
      <c r="L568" s="209"/>
      <c r="M568" s="209"/>
      <c r="N568" s="209"/>
      <c r="O568" s="209"/>
      <c r="P568" s="209"/>
      <c r="Q568" s="209"/>
      <c r="R568" s="209"/>
      <c r="S568" s="209"/>
      <c r="T568" s="209"/>
      <c r="U568" s="209"/>
      <c r="V568" s="209"/>
      <c r="W568" s="209"/>
      <c r="X568" s="209"/>
      <c r="Y568" s="209"/>
      <c r="Z568" s="209"/>
      <c r="AA568" s="209"/>
      <c r="AB568" s="209"/>
      <c r="AC568" s="209"/>
      <c r="AD568" s="209"/>
      <c r="AE568" s="209"/>
      <c r="AF568" s="209"/>
      <c r="AG568" s="209"/>
      <c r="AH568" s="209"/>
      <c r="AI568" s="209"/>
      <c r="AJ568" s="209"/>
      <c r="AK568" s="209"/>
      <c r="AL568" s="209"/>
      <c r="AM568" s="209"/>
      <c r="AN568" s="210"/>
      <c r="AO568" s="211">
        <f t="shared" si="252"/>
        <v>0</v>
      </c>
      <c r="AP568" s="12"/>
      <c r="AQ568" s="167">
        <f t="shared" si="265"/>
        <v>0</v>
      </c>
      <c r="AR568" s="12"/>
      <c r="AS568" s="167">
        <f t="shared" si="266"/>
        <v>0</v>
      </c>
      <c r="AT568" s="168">
        <f t="shared" si="267"/>
        <v>0</v>
      </c>
      <c r="AU568" s="167">
        <f t="shared" si="268"/>
        <v>0</v>
      </c>
    </row>
    <row r="569" spans="1:47" ht="31.5" customHeight="1" x14ac:dyDescent="0.25">
      <c r="A569" s="76"/>
      <c r="B569" s="158" t="s">
        <v>2076</v>
      </c>
      <c r="C569" s="411" t="s">
        <v>2083</v>
      </c>
      <c r="D569" s="412"/>
      <c r="E569" s="408"/>
      <c r="F569" s="409"/>
      <c r="G569" s="394"/>
      <c r="H569" s="394"/>
      <c r="I569" s="207" t="s">
        <v>532</v>
      </c>
      <c r="J569" s="208"/>
      <c r="K569" s="209">
        <v>20</v>
      </c>
      <c r="L569" s="209"/>
      <c r="M569" s="209"/>
      <c r="N569" s="209"/>
      <c r="O569" s="209"/>
      <c r="P569" s="209"/>
      <c r="Q569" s="209"/>
      <c r="R569" s="209"/>
      <c r="S569" s="209"/>
      <c r="T569" s="209"/>
      <c r="U569" s="209"/>
      <c r="V569" s="209"/>
      <c r="W569" s="209"/>
      <c r="X569" s="209"/>
      <c r="Y569" s="209"/>
      <c r="Z569" s="209"/>
      <c r="AA569" s="209"/>
      <c r="AB569" s="209"/>
      <c r="AC569" s="209"/>
      <c r="AD569" s="209"/>
      <c r="AE569" s="209"/>
      <c r="AF569" s="209"/>
      <c r="AG569" s="209"/>
      <c r="AH569" s="209"/>
      <c r="AI569" s="209"/>
      <c r="AJ569" s="209"/>
      <c r="AK569" s="209"/>
      <c r="AL569" s="209"/>
      <c r="AM569" s="209"/>
      <c r="AN569" s="210"/>
      <c r="AO569" s="211">
        <f t="shared" si="252"/>
        <v>20</v>
      </c>
      <c r="AP569" s="12"/>
      <c r="AQ569" s="167">
        <f t="shared" si="265"/>
        <v>0</v>
      </c>
      <c r="AR569" s="12"/>
      <c r="AS569" s="167">
        <f t="shared" si="266"/>
        <v>0</v>
      </c>
      <c r="AT569" s="168">
        <f t="shared" si="267"/>
        <v>0</v>
      </c>
      <c r="AU569" s="167">
        <f t="shared" si="268"/>
        <v>0</v>
      </c>
    </row>
    <row r="570" spans="1:47" ht="31.5" customHeight="1" x14ac:dyDescent="0.25">
      <c r="A570" s="76"/>
      <c r="B570" s="158" t="s">
        <v>2077</v>
      </c>
      <c r="C570" s="411" t="s">
        <v>2084</v>
      </c>
      <c r="D570" s="412"/>
      <c r="E570" s="408"/>
      <c r="F570" s="409"/>
      <c r="G570" s="394"/>
      <c r="H570" s="394"/>
      <c r="I570" s="207" t="s">
        <v>532</v>
      </c>
      <c r="J570" s="208"/>
      <c r="K570" s="209"/>
      <c r="L570" s="209"/>
      <c r="M570" s="209"/>
      <c r="N570" s="209"/>
      <c r="O570" s="209"/>
      <c r="P570" s="209"/>
      <c r="Q570" s="209"/>
      <c r="R570" s="209"/>
      <c r="S570" s="209"/>
      <c r="T570" s="209"/>
      <c r="U570" s="209"/>
      <c r="V570" s="209"/>
      <c r="W570" s="209"/>
      <c r="X570" s="209"/>
      <c r="Y570" s="209"/>
      <c r="Z570" s="209"/>
      <c r="AA570" s="209"/>
      <c r="AB570" s="209"/>
      <c r="AC570" s="209"/>
      <c r="AD570" s="209"/>
      <c r="AE570" s="209"/>
      <c r="AF570" s="209"/>
      <c r="AG570" s="209"/>
      <c r="AH570" s="209"/>
      <c r="AI570" s="209"/>
      <c r="AJ570" s="209"/>
      <c r="AK570" s="209"/>
      <c r="AL570" s="209"/>
      <c r="AM570" s="209"/>
      <c r="AN570" s="210"/>
      <c r="AO570" s="211">
        <f t="shared" si="252"/>
        <v>0</v>
      </c>
      <c r="AP570" s="12"/>
      <c r="AQ570" s="167">
        <f t="shared" si="265"/>
        <v>0</v>
      </c>
      <c r="AR570" s="12"/>
      <c r="AS570" s="167">
        <f t="shared" si="266"/>
        <v>0</v>
      </c>
      <c r="AT570" s="168">
        <f t="shared" si="267"/>
        <v>0</v>
      </c>
      <c r="AU570" s="167">
        <f t="shared" si="268"/>
        <v>0</v>
      </c>
    </row>
    <row r="571" spans="1:47" ht="29.25" customHeight="1" x14ac:dyDescent="0.25">
      <c r="A571" s="76"/>
      <c r="B571" s="158" t="s">
        <v>2078</v>
      </c>
      <c r="C571" s="411" t="s">
        <v>2085</v>
      </c>
      <c r="D571" s="412"/>
      <c r="E571" s="408"/>
      <c r="F571" s="410"/>
      <c r="G571" s="394"/>
      <c r="H571" s="394"/>
      <c r="I571" s="207" t="s">
        <v>532</v>
      </c>
      <c r="J571" s="208"/>
      <c r="K571" s="209"/>
      <c r="L571" s="209"/>
      <c r="M571" s="209"/>
      <c r="N571" s="209"/>
      <c r="O571" s="209"/>
      <c r="P571" s="209"/>
      <c r="Q571" s="209"/>
      <c r="R571" s="209"/>
      <c r="S571" s="209"/>
      <c r="T571" s="209"/>
      <c r="U571" s="209"/>
      <c r="V571" s="209"/>
      <c r="W571" s="209"/>
      <c r="X571" s="209"/>
      <c r="Y571" s="209"/>
      <c r="Z571" s="209"/>
      <c r="AA571" s="209"/>
      <c r="AB571" s="209"/>
      <c r="AC571" s="209"/>
      <c r="AD571" s="209"/>
      <c r="AE571" s="209"/>
      <c r="AF571" s="209"/>
      <c r="AG571" s="209"/>
      <c r="AH571" s="209"/>
      <c r="AI571" s="209"/>
      <c r="AJ571" s="209"/>
      <c r="AK571" s="209"/>
      <c r="AL571" s="209"/>
      <c r="AM571" s="209"/>
      <c r="AN571" s="210"/>
      <c r="AO571" s="211">
        <f t="shared" si="252"/>
        <v>0</v>
      </c>
      <c r="AP571" s="12"/>
      <c r="AQ571" s="167">
        <f t="shared" si="265"/>
        <v>0</v>
      </c>
      <c r="AR571" s="12"/>
      <c r="AS571" s="167">
        <f t="shared" si="266"/>
        <v>0</v>
      </c>
      <c r="AT571" s="168">
        <f t="shared" si="267"/>
        <v>0</v>
      </c>
      <c r="AU571" s="167">
        <f t="shared" si="268"/>
        <v>0</v>
      </c>
    </row>
    <row r="572" spans="1:47" ht="45" customHeight="1" x14ac:dyDescent="0.25">
      <c r="A572" s="76"/>
      <c r="B572" s="158" t="s">
        <v>2079</v>
      </c>
      <c r="C572" s="411" t="s">
        <v>2020</v>
      </c>
      <c r="D572" s="412"/>
      <c r="E572" s="408"/>
      <c r="F572" s="415" t="s">
        <v>1406</v>
      </c>
      <c r="G572" s="394"/>
      <c r="H572" s="394"/>
      <c r="I572" s="207" t="s">
        <v>532</v>
      </c>
      <c r="J572" s="208"/>
      <c r="K572" s="209"/>
      <c r="L572" s="209"/>
      <c r="M572" s="209"/>
      <c r="N572" s="209"/>
      <c r="O572" s="209"/>
      <c r="P572" s="209"/>
      <c r="Q572" s="209"/>
      <c r="R572" s="209"/>
      <c r="S572" s="209"/>
      <c r="T572" s="209"/>
      <c r="U572" s="209"/>
      <c r="V572" s="209"/>
      <c r="W572" s="209"/>
      <c r="X572" s="209"/>
      <c r="Y572" s="209"/>
      <c r="Z572" s="209"/>
      <c r="AA572" s="209"/>
      <c r="AB572" s="209"/>
      <c r="AC572" s="209"/>
      <c r="AD572" s="209"/>
      <c r="AE572" s="209"/>
      <c r="AF572" s="209"/>
      <c r="AG572" s="209"/>
      <c r="AH572" s="209"/>
      <c r="AI572" s="209"/>
      <c r="AJ572" s="209"/>
      <c r="AK572" s="209"/>
      <c r="AL572" s="209"/>
      <c r="AM572" s="209"/>
      <c r="AN572" s="210"/>
      <c r="AO572" s="211">
        <f t="shared" si="252"/>
        <v>0</v>
      </c>
      <c r="AP572" s="12"/>
      <c r="AQ572" s="167">
        <f t="shared" si="265"/>
        <v>0</v>
      </c>
      <c r="AR572" s="12"/>
      <c r="AS572" s="167">
        <f t="shared" si="266"/>
        <v>0</v>
      </c>
      <c r="AT572" s="168">
        <f t="shared" si="267"/>
        <v>0</v>
      </c>
      <c r="AU572" s="167">
        <f t="shared" si="268"/>
        <v>0</v>
      </c>
    </row>
    <row r="573" spans="1:47" ht="45" customHeight="1" x14ac:dyDescent="0.25">
      <c r="A573" s="76"/>
      <c r="B573" s="169" t="s">
        <v>2080</v>
      </c>
      <c r="C573" s="404" t="s">
        <v>2021</v>
      </c>
      <c r="D573" s="405"/>
      <c r="E573" s="400"/>
      <c r="F573" s="402"/>
      <c r="G573" s="395"/>
      <c r="H573" s="395"/>
      <c r="I573" s="56" t="s">
        <v>532</v>
      </c>
      <c r="J573" s="212">
        <v>150</v>
      </c>
      <c r="K573" s="213">
        <v>400</v>
      </c>
      <c r="L573" s="213">
        <v>200</v>
      </c>
      <c r="M573" s="213"/>
      <c r="N573" s="213"/>
      <c r="O573" s="213"/>
      <c r="P573" s="213"/>
      <c r="Q573" s="213"/>
      <c r="R573" s="213"/>
      <c r="S573" s="213"/>
      <c r="T573" s="213"/>
      <c r="U573" s="213"/>
      <c r="V573" s="213"/>
      <c r="W573" s="213"/>
      <c r="X573" s="213"/>
      <c r="Y573" s="213"/>
      <c r="Z573" s="213"/>
      <c r="AA573" s="213"/>
      <c r="AB573" s="213"/>
      <c r="AC573" s="213"/>
      <c r="AD573" s="213"/>
      <c r="AE573" s="213"/>
      <c r="AF573" s="213"/>
      <c r="AG573" s="213"/>
      <c r="AH573" s="213"/>
      <c r="AI573" s="213"/>
      <c r="AJ573" s="213"/>
      <c r="AK573" s="213"/>
      <c r="AL573" s="213"/>
      <c r="AM573" s="213"/>
      <c r="AN573" s="214"/>
      <c r="AO573" s="57">
        <f t="shared" si="252"/>
        <v>750</v>
      </c>
      <c r="AP573" s="14"/>
      <c r="AQ573" s="178">
        <f t="shared" si="265"/>
        <v>0</v>
      </c>
      <c r="AR573" s="14"/>
      <c r="AS573" s="178">
        <f t="shared" si="266"/>
        <v>0</v>
      </c>
      <c r="AT573" s="179">
        <f t="shared" si="267"/>
        <v>0</v>
      </c>
      <c r="AU573" s="178">
        <f t="shared" si="268"/>
        <v>0</v>
      </c>
    </row>
    <row r="574" spans="1:47" ht="36.75" customHeight="1" x14ac:dyDescent="0.25">
      <c r="A574" s="76"/>
      <c r="B574" s="37" t="s">
        <v>2027</v>
      </c>
      <c r="C574" s="276" t="s">
        <v>2025</v>
      </c>
      <c r="D574" s="278"/>
      <c r="E574" s="188" t="s">
        <v>2024</v>
      </c>
      <c r="F574" s="189"/>
      <c r="G574" s="191"/>
      <c r="H574" s="191"/>
      <c r="I574" s="41" t="s">
        <v>393</v>
      </c>
      <c r="J574" s="136"/>
      <c r="K574" s="137">
        <v>1</v>
      </c>
      <c r="L574" s="137"/>
      <c r="M574" s="137"/>
      <c r="N574" s="137"/>
      <c r="O574" s="137"/>
      <c r="P574" s="137"/>
      <c r="Q574" s="137"/>
      <c r="R574" s="137"/>
      <c r="S574" s="137"/>
      <c r="T574" s="137"/>
      <c r="U574" s="137"/>
      <c r="V574" s="137"/>
      <c r="W574" s="137"/>
      <c r="X574" s="137"/>
      <c r="Y574" s="137"/>
      <c r="Z574" s="137"/>
      <c r="AA574" s="137"/>
      <c r="AB574" s="137"/>
      <c r="AC574" s="137"/>
      <c r="AD574" s="137"/>
      <c r="AE574" s="137"/>
      <c r="AF574" s="137"/>
      <c r="AG574" s="137"/>
      <c r="AH574" s="137"/>
      <c r="AI574" s="137"/>
      <c r="AJ574" s="137"/>
      <c r="AK574" s="137"/>
      <c r="AL574" s="137"/>
      <c r="AM574" s="137"/>
      <c r="AN574" s="138"/>
      <c r="AO574" s="42">
        <f t="shared" si="252"/>
        <v>1</v>
      </c>
      <c r="AP574" s="1"/>
      <c r="AQ574" s="43">
        <f t="shared" ref="AQ574" si="269">+AP574*AO574</f>
        <v>0</v>
      </c>
      <c r="AR574" s="1"/>
      <c r="AS574" s="43">
        <f t="shared" ref="AS574" si="270">+AR574*AO574</f>
        <v>0</v>
      </c>
      <c r="AT574" s="44">
        <f t="shared" ref="AT574" si="271">+AR574+AP574</f>
        <v>0</v>
      </c>
      <c r="AU574" s="43">
        <f t="shared" ref="AU574" si="272">+AT574*AO574</f>
        <v>0</v>
      </c>
    </row>
    <row r="575" spans="1:47" ht="84.75" customHeight="1" x14ac:dyDescent="0.25">
      <c r="A575" s="140"/>
      <c r="B575" s="37">
        <v>16</v>
      </c>
      <c r="C575" s="270" t="s">
        <v>2086</v>
      </c>
      <c r="D575" s="271"/>
      <c r="E575" s="271"/>
      <c r="F575" s="356"/>
      <c r="G575" s="97"/>
      <c r="H575" s="84"/>
      <c r="I575" s="97"/>
      <c r="J575" s="83"/>
      <c r="K575" s="83"/>
      <c r="L575" s="83"/>
      <c r="M575" s="83"/>
      <c r="N575" s="83"/>
      <c r="O575" s="83"/>
      <c r="P575" s="83"/>
      <c r="Q575" s="83"/>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4"/>
      <c r="AP575" s="78"/>
      <c r="AQ575" s="79">
        <f>SUM(AQ576:AQ588)</f>
        <v>0</v>
      </c>
      <c r="AR575" s="78"/>
      <c r="AS575" s="79">
        <f>SUM(AS576:AS588)</f>
        <v>0</v>
      </c>
      <c r="AT575" s="78"/>
      <c r="AU575" s="79">
        <f>SUM(AU576:AU588)</f>
        <v>0</v>
      </c>
    </row>
    <row r="576" spans="1:47" ht="29.25" customHeight="1" x14ac:dyDescent="0.25">
      <c r="A576" s="76"/>
      <c r="B576" s="148" t="s">
        <v>2087</v>
      </c>
      <c r="C576" s="406" t="s">
        <v>2089</v>
      </c>
      <c r="D576" s="407"/>
      <c r="E576" s="399" t="s">
        <v>2091</v>
      </c>
      <c r="F576" s="401"/>
      <c r="G576" s="413" t="s">
        <v>1078</v>
      </c>
      <c r="H576" s="217" t="s">
        <v>1078</v>
      </c>
      <c r="I576" s="151" t="s">
        <v>1138</v>
      </c>
      <c r="J576" s="152"/>
      <c r="K576" s="153"/>
      <c r="L576" s="153"/>
      <c r="M576" s="153"/>
      <c r="N576" s="153"/>
      <c r="O576" s="153"/>
      <c r="P576" s="153"/>
      <c r="Q576" s="153"/>
      <c r="R576" s="153"/>
      <c r="S576" s="153"/>
      <c r="T576" s="153"/>
      <c r="U576" s="153"/>
      <c r="V576" s="153"/>
      <c r="W576" s="153"/>
      <c r="X576" s="153"/>
      <c r="Y576" s="153"/>
      <c r="Z576" s="153"/>
      <c r="AA576" s="153"/>
      <c r="AB576" s="153"/>
      <c r="AC576" s="153"/>
      <c r="AD576" s="153"/>
      <c r="AE576" s="153"/>
      <c r="AF576" s="153"/>
      <c r="AG576" s="153"/>
      <c r="AH576" s="153"/>
      <c r="AI576" s="153"/>
      <c r="AJ576" s="153"/>
      <c r="AK576" s="153"/>
      <c r="AL576" s="153"/>
      <c r="AM576" s="153"/>
      <c r="AN576" s="154"/>
      <c r="AO576" s="155">
        <f t="shared" ref="AO576:AO588" si="273">SUM(J576:AN576)</f>
        <v>0</v>
      </c>
      <c r="AP576" s="218"/>
      <c r="AQ576" s="156">
        <f t="shared" ref="AQ576:AQ577" si="274">+AP576*AO576</f>
        <v>0</v>
      </c>
      <c r="AR576" s="218"/>
      <c r="AS576" s="156">
        <f t="shared" ref="AS576:AS577" si="275">+AR576*AO576</f>
        <v>0</v>
      </c>
      <c r="AT576" s="157">
        <f t="shared" ref="AT576:AT577" si="276">+AR576+AP576</f>
        <v>0</v>
      </c>
      <c r="AU576" s="156">
        <f t="shared" ref="AU576:AU577" si="277">+AT576*AO576</f>
        <v>0</v>
      </c>
    </row>
    <row r="577" spans="1:47" ht="29.25" customHeight="1" x14ac:dyDescent="0.25">
      <c r="A577" s="76"/>
      <c r="B577" s="169" t="s">
        <v>2088</v>
      </c>
      <c r="C577" s="404" t="s">
        <v>2090</v>
      </c>
      <c r="D577" s="405"/>
      <c r="E577" s="400"/>
      <c r="F577" s="402"/>
      <c r="G577" s="417"/>
      <c r="H577" s="181" t="s">
        <v>1079</v>
      </c>
      <c r="I577" s="56" t="s">
        <v>1138</v>
      </c>
      <c r="J577" s="212">
        <v>1</v>
      </c>
      <c r="K577" s="213">
        <v>2</v>
      </c>
      <c r="L577" s="213">
        <v>14</v>
      </c>
      <c r="M577" s="213"/>
      <c r="N577" s="213"/>
      <c r="O577" s="213"/>
      <c r="P577" s="213"/>
      <c r="Q577" s="213"/>
      <c r="R577" s="213"/>
      <c r="S577" s="213"/>
      <c r="T577" s="213"/>
      <c r="U577" s="213"/>
      <c r="V577" s="213"/>
      <c r="W577" s="213"/>
      <c r="X577" s="213"/>
      <c r="Y577" s="213"/>
      <c r="Z577" s="213"/>
      <c r="AA577" s="213"/>
      <c r="AB577" s="213"/>
      <c r="AC577" s="213"/>
      <c r="AD577" s="213"/>
      <c r="AE577" s="213"/>
      <c r="AF577" s="213"/>
      <c r="AG577" s="213"/>
      <c r="AH577" s="213"/>
      <c r="AI577" s="213"/>
      <c r="AJ577" s="213"/>
      <c r="AK577" s="213"/>
      <c r="AL577" s="213"/>
      <c r="AM577" s="213"/>
      <c r="AN577" s="214"/>
      <c r="AO577" s="57">
        <f t="shared" si="273"/>
        <v>17</v>
      </c>
      <c r="AP577" s="219"/>
      <c r="AQ577" s="178">
        <f t="shared" si="274"/>
        <v>0</v>
      </c>
      <c r="AR577" s="14"/>
      <c r="AS577" s="178">
        <f t="shared" si="275"/>
        <v>0</v>
      </c>
      <c r="AT577" s="179">
        <f t="shared" si="276"/>
        <v>0</v>
      </c>
      <c r="AU577" s="178">
        <f t="shared" si="277"/>
        <v>0</v>
      </c>
    </row>
    <row r="578" spans="1:47" ht="29.25" customHeight="1" x14ac:dyDescent="0.25">
      <c r="A578" s="76"/>
      <c r="B578" s="148" t="s">
        <v>2092</v>
      </c>
      <c r="C578" s="406" t="s">
        <v>2094</v>
      </c>
      <c r="D578" s="407"/>
      <c r="E578" s="399" t="s">
        <v>2096</v>
      </c>
      <c r="F578" s="401" t="s">
        <v>2097</v>
      </c>
      <c r="G578" s="418" t="s">
        <v>1079</v>
      </c>
      <c r="H578" s="403" t="s">
        <v>1079</v>
      </c>
      <c r="I578" s="151" t="s">
        <v>1138</v>
      </c>
      <c r="J578" s="152">
        <v>1</v>
      </c>
      <c r="K578" s="153">
        <v>86</v>
      </c>
      <c r="L578" s="153">
        <v>22</v>
      </c>
      <c r="M578" s="153"/>
      <c r="N578" s="153"/>
      <c r="O578" s="153"/>
      <c r="P578" s="153"/>
      <c r="Q578" s="153"/>
      <c r="R578" s="153"/>
      <c r="S578" s="153"/>
      <c r="T578" s="153"/>
      <c r="U578" s="153"/>
      <c r="V578" s="153"/>
      <c r="W578" s="153"/>
      <c r="X578" s="153"/>
      <c r="Y578" s="153"/>
      <c r="Z578" s="153"/>
      <c r="AA578" s="153"/>
      <c r="AB578" s="153"/>
      <c r="AC578" s="153"/>
      <c r="AD578" s="153"/>
      <c r="AE578" s="153"/>
      <c r="AF578" s="153"/>
      <c r="AG578" s="153"/>
      <c r="AH578" s="153"/>
      <c r="AI578" s="153"/>
      <c r="AJ578" s="153"/>
      <c r="AK578" s="153"/>
      <c r="AL578" s="153"/>
      <c r="AM578" s="153"/>
      <c r="AN578" s="154"/>
      <c r="AO578" s="155">
        <f t="shared" si="273"/>
        <v>109</v>
      </c>
      <c r="AP578" s="13"/>
      <c r="AQ578" s="156">
        <f t="shared" ref="AQ578:AQ579" si="278">+AP578*AO578</f>
        <v>0</v>
      </c>
      <c r="AR578" s="13"/>
      <c r="AS578" s="156">
        <f t="shared" ref="AS578:AS579" si="279">+AR578*AO578</f>
        <v>0</v>
      </c>
      <c r="AT578" s="157">
        <f t="shared" ref="AT578:AT579" si="280">+AR578+AP578</f>
        <v>0</v>
      </c>
      <c r="AU578" s="156">
        <f t="shared" ref="AU578:AU579" si="281">+AT578*AO578</f>
        <v>0</v>
      </c>
    </row>
    <row r="579" spans="1:47" ht="29.25" customHeight="1" x14ac:dyDescent="0.25">
      <c r="A579" s="76"/>
      <c r="B579" s="169" t="s">
        <v>2093</v>
      </c>
      <c r="C579" s="404" t="s">
        <v>2095</v>
      </c>
      <c r="D579" s="405"/>
      <c r="E579" s="400"/>
      <c r="F579" s="402"/>
      <c r="G579" s="419"/>
      <c r="H579" s="395"/>
      <c r="I579" s="56" t="s">
        <v>1138</v>
      </c>
      <c r="J579" s="212">
        <v>1</v>
      </c>
      <c r="K579" s="213">
        <v>2</v>
      </c>
      <c r="L579" s="213">
        <v>14</v>
      </c>
      <c r="M579" s="213"/>
      <c r="N579" s="213"/>
      <c r="O579" s="213"/>
      <c r="P579" s="213"/>
      <c r="Q579" s="213"/>
      <c r="R579" s="213"/>
      <c r="S579" s="213"/>
      <c r="T579" s="213"/>
      <c r="U579" s="213"/>
      <c r="V579" s="213"/>
      <c r="W579" s="213"/>
      <c r="X579" s="213"/>
      <c r="Y579" s="213"/>
      <c r="Z579" s="213"/>
      <c r="AA579" s="213"/>
      <c r="AB579" s="213"/>
      <c r="AC579" s="213"/>
      <c r="AD579" s="213"/>
      <c r="AE579" s="213"/>
      <c r="AF579" s="213"/>
      <c r="AG579" s="213"/>
      <c r="AH579" s="213"/>
      <c r="AI579" s="213"/>
      <c r="AJ579" s="213"/>
      <c r="AK579" s="213"/>
      <c r="AL579" s="213"/>
      <c r="AM579" s="213"/>
      <c r="AN579" s="214"/>
      <c r="AO579" s="57">
        <f t="shared" si="273"/>
        <v>17</v>
      </c>
      <c r="AP579" s="14"/>
      <c r="AQ579" s="178">
        <f t="shared" si="278"/>
        <v>0</v>
      </c>
      <c r="AR579" s="14"/>
      <c r="AS579" s="178">
        <f t="shared" si="279"/>
        <v>0</v>
      </c>
      <c r="AT579" s="179">
        <f t="shared" si="280"/>
        <v>0</v>
      </c>
      <c r="AU579" s="178">
        <f t="shared" si="281"/>
        <v>0</v>
      </c>
    </row>
    <row r="580" spans="1:47" ht="61.5" customHeight="1" x14ac:dyDescent="0.25">
      <c r="A580" s="76"/>
      <c r="B580" s="37" t="s">
        <v>2098</v>
      </c>
      <c r="C580" s="276" t="s">
        <v>2099</v>
      </c>
      <c r="D580" s="278"/>
      <c r="E580" s="188" t="s">
        <v>2100</v>
      </c>
      <c r="F580" s="189" t="s">
        <v>2097</v>
      </c>
      <c r="G580" s="220" t="s">
        <v>1079</v>
      </c>
      <c r="H580" s="191" t="s">
        <v>1079</v>
      </c>
      <c r="I580" s="41" t="s">
        <v>532</v>
      </c>
      <c r="J580" s="136">
        <v>155</v>
      </c>
      <c r="K580" s="137">
        <v>5100</v>
      </c>
      <c r="L580" s="137">
        <v>1575</v>
      </c>
      <c r="M580" s="137"/>
      <c r="N580" s="137"/>
      <c r="O580" s="137"/>
      <c r="P580" s="137"/>
      <c r="Q580" s="137"/>
      <c r="R580" s="137"/>
      <c r="S580" s="137"/>
      <c r="T580" s="137"/>
      <c r="U580" s="137"/>
      <c r="V580" s="137"/>
      <c r="W580" s="137"/>
      <c r="X580" s="137"/>
      <c r="Y580" s="137"/>
      <c r="Z580" s="137"/>
      <c r="AA580" s="137"/>
      <c r="AB580" s="137"/>
      <c r="AC580" s="137"/>
      <c r="AD580" s="137"/>
      <c r="AE580" s="137"/>
      <c r="AF580" s="137"/>
      <c r="AG580" s="137"/>
      <c r="AH580" s="137"/>
      <c r="AI580" s="137"/>
      <c r="AJ580" s="137"/>
      <c r="AK580" s="137"/>
      <c r="AL580" s="137"/>
      <c r="AM580" s="137"/>
      <c r="AN580" s="138"/>
      <c r="AO580" s="42">
        <f t="shared" si="273"/>
        <v>6830</v>
      </c>
      <c r="AP580" s="1"/>
      <c r="AQ580" s="43">
        <f t="shared" ref="AQ580" si="282">+AP580*AO580</f>
        <v>0</v>
      </c>
      <c r="AR580" s="1"/>
      <c r="AS580" s="43">
        <f t="shared" ref="AS580" si="283">+AR580*AO580</f>
        <v>0</v>
      </c>
      <c r="AT580" s="44">
        <f t="shared" ref="AT580" si="284">+AR580+AP580</f>
        <v>0</v>
      </c>
      <c r="AU580" s="43">
        <f t="shared" ref="AU580" si="285">+AT580*AO580</f>
        <v>0</v>
      </c>
    </row>
    <row r="581" spans="1:47" ht="61.5" customHeight="1" x14ac:dyDescent="0.25">
      <c r="A581" s="76"/>
      <c r="B581" s="37" t="s">
        <v>2101</v>
      </c>
      <c r="C581" s="276" t="s">
        <v>2103</v>
      </c>
      <c r="D581" s="278"/>
      <c r="E581" s="188" t="s">
        <v>2102</v>
      </c>
      <c r="F581" s="189" t="s">
        <v>2097</v>
      </c>
      <c r="G581" s="220" t="s">
        <v>1079</v>
      </c>
      <c r="H581" s="191" t="s">
        <v>1079</v>
      </c>
      <c r="I581" s="41" t="s">
        <v>532</v>
      </c>
      <c r="J581" s="136"/>
      <c r="K581" s="137"/>
      <c r="L581" s="137"/>
      <c r="M581" s="137"/>
      <c r="N581" s="137"/>
      <c r="O581" s="137"/>
      <c r="P581" s="137"/>
      <c r="Q581" s="137"/>
      <c r="R581" s="137"/>
      <c r="S581" s="137"/>
      <c r="T581" s="137"/>
      <c r="U581" s="137"/>
      <c r="V581" s="137"/>
      <c r="W581" s="137"/>
      <c r="X581" s="137"/>
      <c r="Y581" s="137"/>
      <c r="Z581" s="137"/>
      <c r="AA581" s="137"/>
      <c r="AB581" s="137"/>
      <c r="AC581" s="137"/>
      <c r="AD581" s="137"/>
      <c r="AE581" s="137"/>
      <c r="AF581" s="137"/>
      <c r="AG581" s="137"/>
      <c r="AH581" s="137"/>
      <c r="AI581" s="137"/>
      <c r="AJ581" s="137"/>
      <c r="AK581" s="137"/>
      <c r="AL581" s="137"/>
      <c r="AM581" s="137"/>
      <c r="AN581" s="138"/>
      <c r="AO581" s="42">
        <f t="shared" si="273"/>
        <v>0</v>
      </c>
      <c r="AP581" s="1"/>
      <c r="AQ581" s="43">
        <f t="shared" ref="AQ581:AQ584" si="286">+AP581*AO581</f>
        <v>0</v>
      </c>
      <c r="AR581" s="1"/>
      <c r="AS581" s="43">
        <f t="shared" ref="AS581:AS584" si="287">+AR581*AO581</f>
        <v>0</v>
      </c>
      <c r="AT581" s="44">
        <f t="shared" ref="AT581:AT584" si="288">+AR581+AP581</f>
        <v>0</v>
      </c>
      <c r="AU581" s="43">
        <f t="shared" ref="AU581:AU584" si="289">+AT581*AO581</f>
        <v>0</v>
      </c>
    </row>
    <row r="582" spans="1:47" ht="48" customHeight="1" x14ac:dyDescent="0.25">
      <c r="A582" s="76"/>
      <c r="B582" s="148" t="s">
        <v>2104</v>
      </c>
      <c r="C582" s="406" t="s">
        <v>2107</v>
      </c>
      <c r="D582" s="407"/>
      <c r="E582" s="399" t="s">
        <v>2108</v>
      </c>
      <c r="F582" s="401"/>
      <c r="G582" s="418" t="s">
        <v>1079</v>
      </c>
      <c r="H582" s="403" t="s">
        <v>1079</v>
      </c>
      <c r="I582" s="151" t="s">
        <v>532</v>
      </c>
      <c r="J582" s="152">
        <v>10</v>
      </c>
      <c r="K582" s="153">
        <v>460</v>
      </c>
      <c r="L582" s="153">
        <v>300</v>
      </c>
      <c r="M582" s="153"/>
      <c r="N582" s="153"/>
      <c r="O582" s="153"/>
      <c r="P582" s="153"/>
      <c r="Q582" s="153"/>
      <c r="R582" s="153"/>
      <c r="S582" s="153"/>
      <c r="T582" s="153"/>
      <c r="U582" s="153"/>
      <c r="V582" s="153"/>
      <c r="W582" s="153"/>
      <c r="X582" s="153"/>
      <c r="Y582" s="153"/>
      <c r="Z582" s="153"/>
      <c r="AA582" s="153"/>
      <c r="AB582" s="153"/>
      <c r="AC582" s="153"/>
      <c r="AD582" s="153"/>
      <c r="AE582" s="153"/>
      <c r="AF582" s="153"/>
      <c r="AG582" s="153"/>
      <c r="AH582" s="153"/>
      <c r="AI582" s="153"/>
      <c r="AJ582" s="153"/>
      <c r="AK582" s="153"/>
      <c r="AL582" s="153"/>
      <c r="AM582" s="153"/>
      <c r="AN582" s="154"/>
      <c r="AO582" s="155">
        <f t="shared" si="273"/>
        <v>770</v>
      </c>
      <c r="AP582" s="13"/>
      <c r="AQ582" s="156">
        <f t="shared" si="286"/>
        <v>0</v>
      </c>
      <c r="AR582" s="13"/>
      <c r="AS582" s="156">
        <f t="shared" si="287"/>
        <v>0</v>
      </c>
      <c r="AT582" s="157">
        <f t="shared" si="288"/>
        <v>0</v>
      </c>
      <c r="AU582" s="156">
        <f t="shared" si="289"/>
        <v>0</v>
      </c>
    </row>
    <row r="583" spans="1:47" ht="48" customHeight="1" x14ac:dyDescent="0.25">
      <c r="A583" s="76"/>
      <c r="B583" s="94" t="s">
        <v>2105</v>
      </c>
      <c r="C583" s="411" t="s">
        <v>1423</v>
      </c>
      <c r="D583" s="412"/>
      <c r="E583" s="408"/>
      <c r="F583" s="409"/>
      <c r="G583" s="420"/>
      <c r="H583" s="394"/>
      <c r="I583" s="162" t="s">
        <v>532</v>
      </c>
      <c r="J583" s="163">
        <v>5</v>
      </c>
      <c r="K583" s="164">
        <v>210</v>
      </c>
      <c r="L583" s="164">
        <v>90</v>
      </c>
      <c r="M583" s="164"/>
      <c r="N583" s="164"/>
      <c r="O583" s="164"/>
      <c r="P583" s="164"/>
      <c r="Q583" s="164"/>
      <c r="R583" s="164"/>
      <c r="S583" s="164"/>
      <c r="T583" s="164"/>
      <c r="U583" s="164"/>
      <c r="V583" s="164"/>
      <c r="W583" s="164"/>
      <c r="X583" s="164"/>
      <c r="Y583" s="164"/>
      <c r="Z583" s="164"/>
      <c r="AA583" s="164"/>
      <c r="AB583" s="164"/>
      <c r="AC583" s="164"/>
      <c r="AD583" s="164"/>
      <c r="AE583" s="164"/>
      <c r="AF583" s="164"/>
      <c r="AG583" s="164"/>
      <c r="AH583" s="164"/>
      <c r="AI583" s="164"/>
      <c r="AJ583" s="164"/>
      <c r="AK583" s="164"/>
      <c r="AL583" s="164"/>
      <c r="AM583" s="164"/>
      <c r="AN583" s="165"/>
      <c r="AO583" s="166">
        <f t="shared" si="273"/>
        <v>305</v>
      </c>
      <c r="AP583" s="12"/>
      <c r="AQ583" s="167">
        <f t="shared" si="286"/>
        <v>0</v>
      </c>
      <c r="AR583" s="12"/>
      <c r="AS583" s="167">
        <f t="shared" si="287"/>
        <v>0</v>
      </c>
      <c r="AT583" s="168">
        <f t="shared" si="288"/>
        <v>0</v>
      </c>
      <c r="AU583" s="167">
        <f t="shared" si="289"/>
        <v>0</v>
      </c>
    </row>
    <row r="584" spans="1:47" ht="48" customHeight="1" x14ac:dyDescent="0.25">
      <c r="A584" s="76"/>
      <c r="B584" s="169" t="s">
        <v>2106</v>
      </c>
      <c r="C584" s="404" t="s">
        <v>1424</v>
      </c>
      <c r="D584" s="405"/>
      <c r="E584" s="400"/>
      <c r="F584" s="402"/>
      <c r="G584" s="419"/>
      <c r="H584" s="395"/>
      <c r="I584" s="56" t="s">
        <v>532</v>
      </c>
      <c r="J584" s="212"/>
      <c r="K584" s="213"/>
      <c r="L584" s="213"/>
      <c r="M584" s="213"/>
      <c r="N584" s="213"/>
      <c r="O584" s="213"/>
      <c r="P584" s="213"/>
      <c r="Q584" s="213"/>
      <c r="R584" s="213"/>
      <c r="S584" s="213"/>
      <c r="T584" s="213"/>
      <c r="U584" s="213"/>
      <c r="V584" s="213"/>
      <c r="W584" s="213"/>
      <c r="X584" s="213"/>
      <c r="Y584" s="213"/>
      <c r="Z584" s="213"/>
      <c r="AA584" s="213"/>
      <c r="AB584" s="213"/>
      <c r="AC584" s="213"/>
      <c r="AD584" s="213"/>
      <c r="AE584" s="213"/>
      <c r="AF584" s="213"/>
      <c r="AG584" s="213"/>
      <c r="AH584" s="213"/>
      <c r="AI584" s="213"/>
      <c r="AJ584" s="213"/>
      <c r="AK584" s="213"/>
      <c r="AL584" s="213"/>
      <c r="AM584" s="213"/>
      <c r="AN584" s="214"/>
      <c r="AO584" s="57">
        <f t="shared" si="273"/>
        <v>0</v>
      </c>
      <c r="AP584" s="14"/>
      <c r="AQ584" s="178">
        <f t="shared" si="286"/>
        <v>0</v>
      </c>
      <c r="AR584" s="14"/>
      <c r="AS584" s="178">
        <f t="shared" si="287"/>
        <v>0</v>
      </c>
      <c r="AT584" s="179">
        <f t="shared" si="288"/>
        <v>0</v>
      </c>
      <c r="AU584" s="178">
        <f t="shared" si="289"/>
        <v>0</v>
      </c>
    </row>
    <row r="585" spans="1:47" ht="30" customHeight="1" x14ac:dyDescent="0.25">
      <c r="A585" s="76"/>
      <c r="B585" s="148" t="s">
        <v>2109</v>
      </c>
      <c r="C585" s="192" t="s">
        <v>2113</v>
      </c>
      <c r="D585" s="193"/>
      <c r="E585" s="399" t="s">
        <v>2117</v>
      </c>
      <c r="F585" s="401" t="s">
        <v>2097</v>
      </c>
      <c r="G585" s="418" t="s">
        <v>1079</v>
      </c>
      <c r="H585" s="403" t="s">
        <v>1079</v>
      </c>
      <c r="I585" s="151" t="s">
        <v>532</v>
      </c>
      <c r="J585" s="152"/>
      <c r="K585" s="153">
        <v>100</v>
      </c>
      <c r="L585" s="153"/>
      <c r="M585" s="153"/>
      <c r="N585" s="153">
        <v>140</v>
      </c>
      <c r="O585" s="153"/>
      <c r="P585" s="153"/>
      <c r="Q585" s="153"/>
      <c r="R585" s="153"/>
      <c r="S585" s="153"/>
      <c r="T585" s="153"/>
      <c r="U585" s="153"/>
      <c r="V585" s="153"/>
      <c r="W585" s="153"/>
      <c r="X585" s="153"/>
      <c r="Y585" s="153"/>
      <c r="Z585" s="153"/>
      <c r="AA585" s="153"/>
      <c r="AB585" s="153"/>
      <c r="AC585" s="153"/>
      <c r="AD585" s="153"/>
      <c r="AE585" s="153"/>
      <c r="AF585" s="153"/>
      <c r="AG585" s="153"/>
      <c r="AH585" s="153"/>
      <c r="AI585" s="153"/>
      <c r="AJ585" s="153"/>
      <c r="AK585" s="153"/>
      <c r="AL585" s="153"/>
      <c r="AM585" s="153"/>
      <c r="AN585" s="154"/>
      <c r="AO585" s="155">
        <f t="shared" si="273"/>
        <v>240</v>
      </c>
      <c r="AP585" s="13"/>
      <c r="AQ585" s="156">
        <f t="shared" ref="AQ585:AQ588" si="290">+AP585*AO585</f>
        <v>0</v>
      </c>
      <c r="AR585" s="13"/>
      <c r="AS585" s="156">
        <f t="shared" ref="AS585:AS588" si="291">+AR585*AO585</f>
        <v>0</v>
      </c>
      <c r="AT585" s="157">
        <f t="shared" ref="AT585:AT588" si="292">+AR585+AP585</f>
        <v>0</v>
      </c>
      <c r="AU585" s="156">
        <f t="shared" ref="AU585:AU588" si="293">+AT585*AO585</f>
        <v>0</v>
      </c>
    </row>
    <row r="586" spans="1:47" ht="30" customHeight="1" x14ac:dyDescent="0.25">
      <c r="A586" s="76"/>
      <c r="B586" s="158" t="s">
        <v>2110</v>
      </c>
      <c r="C586" s="221" t="s">
        <v>2114</v>
      </c>
      <c r="D586" s="222"/>
      <c r="E586" s="408"/>
      <c r="F586" s="409"/>
      <c r="G586" s="420"/>
      <c r="H586" s="394"/>
      <c r="I586" s="207" t="s">
        <v>532</v>
      </c>
      <c r="J586" s="208"/>
      <c r="K586" s="209"/>
      <c r="L586" s="209"/>
      <c r="M586" s="209"/>
      <c r="N586" s="209"/>
      <c r="O586" s="209"/>
      <c r="P586" s="209"/>
      <c r="Q586" s="209"/>
      <c r="R586" s="209"/>
      <c r="S586" s="209"/>
      <c r="T586" s="209"/>
      <c r="U586" s="209"/>
      <c r="V586" s="209"/>
      <c r="W586" s="209"/>
      <c r="X586" s="209"/>
      <c r="Y586" s="209"/>
      <c r="Z586" s="209"/>
      <c r="AA586" s="209"/>
      <c r="AB586" s="209"/>
      <c r="AC586" s="209"/>
      <c r="AD586" s="209"/>
      <c r="AE586" s="209"/>
      <c r="AF586" s="209"/>
      <c r="AG586" s="209"/>
      <c r="AH586" s="209"/>
      <c r="AI586" s="209"/>
      <c r="AJ586" s="209"/>
      <c r="AK586" s="209"/>
      <c r="AL586" s="209"/>
      <c r="AM586" s="209"/>
      <c r="AN586" s="210"/>
      <c r="AO586" s="211">
        <f t="shared" si="273"/>
        <v>0</v>
      </c>
      <c r="AP586" s="12"/>
      <c r="AQ586" s="167">
        <f t="shared" ref="AQ586" si="294">+AP586*AO586</f>
        <v>0</v>
      </c>
      <c r="AR586" s="12"/>
      <c r="AS586" s="167">
        <f t="shared" ref="AS586" si="295">+AR586*AO586</f>
        <v>0</v>
      </c>
      <c r="AT586" s="168">
        <f t="shared" ref="AT586" si="296">+AR586+AP586</f>
        <v>0</v>
      </c>
      <c r="AU586" s="167">
        <f t="shared" ref="AU586" si="297">+AT586*AO586</f>
        <v>0</v>
      </c>
    </row>
    <row r="587" spans="1:47" ht="30" customHeight="1" x14ac:dyDescent="0.25">
      <c r="A587" s="76"/>
      <c r="B587" s="158" t="s">
        <v>2111</v>
      </c>
      <c r="C587" s="194" t="s">
        <v>2115</v>
      </c>
      <c r="D587" s="195"/>
      <c r="E587" s="408"/>
      <c r="F587" s="409"/>
      <c r="G587" s="420"/>
      <c r="H587" s="394"/>
      <c r="I587" s="162" t="s">
        <v>532</v>
      </c>
      <c r="J587" s="163"/>
      <c r="K587" s="164"/>
      <c r="L587" s="164"/>
      <c r="M587" s="164"/>
      <c r="N587" s="164"/>
      <c r="O587" s="164"/>
      <c r="P587" s="164"/>
      <c r="Q587" s="164"/>
      <c r="R587" s="164"/>
      <c r="S587" s="164"/>
      <c r="T587" s="164"/>
      <c r="U587" s="164"/>
      <c r="V587" s="164"/>
      <c r="W587" s="164"/>
      <c r="X587" s="164"/>
      <c r="Y587" s="164"/>
      <c r="Z587" s="164"/>
      <c r="AA587" s="164"/>
      <c r="AB587" s="164"/>
      <c r="AC587" s="164"/>
      <c r="AD587" s="164"/>
      <c r="AE587" s="164"/>
      <c r="AF587" s="164"/>
      <c r="AG587" s="164"/>
      <c r="AH587" s="164"/>
      <c r="AI587" s="164"/>
      <c r="AJ587" s="164"/>
      <c r="AK587" s="164"/>
      <c r="AL587" s="164"/>
      <c r="AM587" s="164"/>
      <c r="AN587" s="165"/>
      <c r="AO587" s="166">
        <f t="shared" si="273"/>
        <v>0</v>
      </c>
      <c r="AP587" s="12"/>
      <c r="AQ587" s="167">
        <f t="shared" si="290"/>
        <v>0</v>
      </c>
      <c r="AR587" s="12"/>
      <c r="AS587" s="167">
        <f t="shared" si="291"/>
        <v>0</v>
      </c>
      <c r="AT587" s="168">
        <f t="shared" si="292"/>
        <v>0</v>
      </c>
      <c r="AU587" s="167">
        <f t="shared" si="293"/>
        <v>0</v>
      </c>
    </row>
    <row r="588" spans="1:47" ht="30" customHeight="1" x14ac:dyDescent="0.25">
      <c r="A588" s="76"/>
      <c r="B588" s="169" t="s">
        <v>2112</v>
      </c>
      <c r="C588" s="196" t="s">
        <v>2116</v>
      </c>
      <c r="D588" s="197"/>
      <c r="E588" s="400"/>
      <c r="F588" s="402"/>
      <c r="G588" s="419"/>
      <c r="H588" s="395"/>
      <c r="I588" s="56" t="s">
        <v>532</v>
      </c>
      <c r="J588" s="212"/>
      <c r="K588" s="213"/>
      <c r="L588" s="213"/>
      <c r="M588" s="213"/>
      <c r="N588" s="213"/>
      <c r="O588" s="213"/>
      <c r="P588" s="213"/>
      <c r="Q588" s="213"/>
      <c r="R588" s="213"/>
      <c r="S588" s="213"/>
      <c r="T588" s="213"/>
      <c r="U588" s="213"/>
      <c r="V588" s="213"/>
      <c r="W588" s="213"/>
      <c r="X588" s="213"/>
      <c r="Y588" s="213"/>
      <c r="Z588" s="213"/>
      <c r="AA588" s="213"/>
      <c r="AB588" s="213"/>
      <c r="AC588" s="213"/>
      <c r="AD588" s="213"/>
      <c r="AE588" s="213"/>
      <c r="AF588" s="213"/>
      <c r="AG588" s="213"/>
      <c r="AH588" s="213"/>
      <c r="AI588" s="213"/>
      <c r="AJ588" s="213"/>
      <c r="AK588" s="213"/>
      <c r="AL588" s="213"/>
      <c r="AM588" s="213"/>
      <c r="AN588" s="214"/>
      <c r="AO588" s="57">
        <f t="shared" si="273"/>
        <v>0</v>
      </c>
      <c r="AP588" s="14"/>
      <c r="AQ588" s="178">
        <f t="shared" si="290"/>
        <v>0</v>
      </c>
      <c r="AR588" s="14"/>
      <c r="AS588" s="178">
        <f t="shared" si="291"/>
        <v>0</v>
      </c>
      <c r="AT588" s="179">
        <f t="shared" si="292"/>
        <v>0</v>
      </c>
      <c r="AU588" s="178">
        <f t="shared" si="293"/>
        <v>0</v>
      </c>
    </row>
    <row r="589" spans="1:47" ht="63" customHeight="1" x14ac:dyDescent="0.25">
      <c r="A589" s="140"/>
      <c r="B589" s="37">
        <v>17</v>
      </c>
      <c r="C589" s="270" t="s">
        <v>2122</v>
      </c>
      <c r="D589" s="271"/>
      <c r="E589" s="271"/>
      <c r="F589" s="356"/>
      <c r="G589" s="97"/>
      <c r="H589" s="84"/>
      <c r="I589" s="97"/>
      <c r="J589" s="83"/>
      <c r="K589" s="83"/>
      <c r="L589" s="83"/>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4"/>
      <c r="AP589" s="78"/>
      <c r="AQ589" s="79">
        <f>SUM(AQ590:AQ599)</f>
        <v>0</v>
      </c>
      <c r="AR589" s="78"/>
      <c r="AS589" s="79">
        <f>SUM(AS590:AS599)</f>
        <v>0</v>
      </c>
      <c r="AT589" s="78"/>
      <c r="AU589" s="79">
        <f>SUM(AU590:AU599)</f>
        <v>0</v>
      </c>
    </row>
    <row r="590" spans="1:47" ht="30" customHeight="1" x14ac:dyDescent="0.25">
      <c r="A590" s="76"/>
      <c r="B590" s="148" t="s">
        <v>2118</v>
      </c>
      <c r="C590" s="406" t="s">
        <v>2125</v>
      </c>
      <c r="D590" s="407"/>
      <c r="E590" s="399" t="s">
        <v>2123</v>
      </c>
      <c r="F590" s="401"/>
      <c r="G590" s="418" t="s">
        <v>1079</v>
      </c>
      <c r="H590" s="403" t="s">
        <v>1079</v>
      </c>
      <c r="I590" s="151" t="s">
        <v>1138</v>
      </c>
      <c r="J590" s="152"/>
      <c r="K590" s="153"/>
      <c r="L590" s="153"/>
      <c r="M590" s="153"/>
      <c r="N590" s="153"/>
      <c r="O590" s="153"/>
      <c r="P590" s="153"/>
      <c r="Q590" s="153"/>
      <c r="R590" s="153"/>
      <c r="S590" s="153"/>
      <c r="T590" s="153"/>
      <c r="U590" s="153"/>
      <c r="V590" s="153"/>
      <c r="W590" s="153"/>
      <c r="X590" s="153"/>
      <c r="Y590" s="153"/>
      <c r="Z590" s="153"/>
      <c r="AA590" s="153"/>
      <c r="AB590" s="153"/>
      <c r="AC590" s="153"/>
      <c r="AD590" s="153"/>
      <c r="AE590" s="153"/>
      <c r="AF590" s="153"/>
      <c r="AG590" s="153"/>
      <c r="AH590" s="153"/>
      <c r="AI590" s="153"/>
      <c r="AJ590" s="153"/>
      <c r="AK590" s="153"/>
      <c r="AL590" s="153"/>
      <c r="AM590" s="153"/>
      <c r="AN590" s="154"/>
      <c r="AO590" s="155">
        <f t="shared" ref="AO590:AO599" si="298">SUM(J590:AN590)</f>
        <v>0</v>
      </c>
      <c r="AP590" s="13"/>
      <c r="AQ590" s="156">
        <f t="shared" ref="AQ590:AQ594" si="299">+AP590*AO590</f>
        <v>0</v>
      </c>
      <c r="AR590" s="13"/>
      <c r="AS590" s="156">
        <f t="shared" ref="AS590:AS594" si="300">+AR590*AO590</f>
        <v>0</v>
      </c>
      <c r="AT590" s="157">
        <f t="shared" ref="AT590:AT594" si="301">+AR590+AP590</f>
        <v>0</v>
      </c>
      <c r="AU590" s="156">
        <f t="shared" ref="AU590:AU594" si="302">+AT590*AO590</f>
        <v>0</v>
      </c>
    </row>
    <row r="591" spans="1:47" ht="30" customHeight="1" x14ac:dyDescent="0.25">
      <c r="A591" s="76"/>
      <c r="B591" s="158" t="s">
        <v>2119</v>
      </c>
      <c r="C591" s="411" t="s">
        <v>2126</v>
      </c>
      <c r="D591" s="412"/>
      <c r="E591" s="408"/>
      <c r="F591" s="409"/>
      <c r="G591" s="420"/>
      <c r="H591" s="394"/>
      <c r="I591" s="207" t="s">
        <v>1138</v>
      </c>
      <c r="J591" s="208"/>
      <c r="K591" s="209"/>
      <c r="L591" s="209">
        <v>5</v>
      </c>
      <c r="M591" s="209"/>
      <c r="N591" s="209"/>
      <c r="O591" s="209"/>
      <c r="P591" s="209"/>
      <c r="Q591" s="209"/>
      <c r="R591" s="209"/>
      <c r="S591" s="209"/>
      <c r="T591" s="209"/>
      <c r="U591" s="209"/>
      <c r="V591" s="209"/>
      <c r="W591" s="209"/>
      <c r="X591" s="209"/>
      <c r="Y591" s="209"/>
      <c r="Z591" s="209"/>
      <c r="AA591" s="209"/>
      <c r="AB591" s="209"/>
      <c r="AC591" s="209"/>
      <c r="AD591" s="209"/>
      <c r="AE591" s="209"/>
      <c r="AF591" s="209"/>
      <c r="AG591" s="209"/>
      <c r="AH591" s="209"/>
      <c r="AI591" s="209"/>
      <c r="AJ591" s="209"/>
      <c r="AK591" s="209"/>
      <c r="AL591" s="209"/>
      <c r="AM591" s="209"/>
      <c r="AN591" s="210"/>
      <c r="AO591" s="211">
        <f t="shared" si="298"/>
        <v>5</v>
      </c>
      <c r="AP591" s="12"/>
      <c r="AQ591" s="167">
        <f t="shared" si="299"/>
        <v>0</v>
      </c>
      <c r="AR591" s="12"/>
      <c r="AS591" s="167">
        <f t="shared" si="300"/>
        <v>0</v>
      </c>
      <c r="AT591" s="168">
        <f t="shared" si="301"/>
        <v>0</v>
      </c>
      <c r="AU591" s="167">
        <f t="shared" si="302"/>
        <v>0</v>
      </c>
    </row>
    <row r="592" spans="1:47" ht="30" customHeight="1" x14ac:dyDescent="0.25">
      <c r="A592" s="76"/>
      <c r="B592" s="158" t="s">
        <v>2120</v>
      </c>
      <c r="C592" s="411" t="s">
        <v>2127</v>
      </c>
      <c r="D592" s="412"/>
      <c r="E592" s="408"/>
      <c r="F592" s="409"/>
      <c r="G592" s="420"/>
      <c r="H592" s="394"/>
      <c r="I592" s="162" t="s">
        <v>1138</v>
      </c>
      <c r="J592" s="163"/>
      <c r="K592" s="164"/>
      <c r="L592" s="164"/>
      <c r="M592" s="164"/>
      <c r="N592" s="164"/>
      <c r="O592" s="164"/>
      <c r="P592" s="164"/>
      <c r="Q592" s="164"/>
      <c r="R592" s="164"/>
      <c r="S592" s="164"/>
      <c r="T592" s="164"/>
      <c r="U592" s="164"/>
      <c r="V592" s="164"/>
      <c r="W592" s="164"/>
      <c r="X592" s="164"/>
      <c r="Y592" s="164"/>
      <c r="Z592" s="164"/>
      <c r="AA592" s="164"/>
      <c r="AB592" s="164"/>
      <c r="AC592" s="164"/>
      <c r="AD592" s="164"/>
      <c r="AE592" s="164"/>
      <c r="AF592" s="164"/>
      <c r="AG592" s="164"/>
      <c r="AH592" s="164"/>
      <c r="AI592" s="164"/>
      <c r="AJ592" s="164"/>
      <c r="AK592" s="164"/>
      <c r="AL592" s="164"/>
      <c r="AM592" s="164"/>
      <c r="AN592" s="165"/>
      <c r="AO592" s="166">
        <f t="shared" si="298"/>
        <v>0</v>
      </c>
      <c r="AP592" s="12"/>
      <c r="AQ592" s="167">
        <f t="shared" si="299"/>
        <v>0</v>
      </c>
      <c r="AR592" s="12"/>
      <c r="AS592" s="167">
        <f t="shared" si="300"/>
        <v>0</v>
      </c>
      <c r="AT592" s="168">
        <f t="shared" si="301"/>
        <v>0</v>
      </c>
      <c r="AU592" s="167">
        <f t="shared" si="302"/>
        <v>0</v>
      </c>
    </row>
    <row r="593" spans="1:47" ht="30" customHeight="1" x14ac:dyDescent="0.25">
      <c r="A593" s="76"/>
      <c r="B593" s="158" t="s">
        <v>2121</v>
      </c>
      <c r="C593" s="411" t="s">
        <v>2128</v>
      </c>
      <c r="D593" s="412"/>
      <c r="E593" s="408"/>
      <c r="F593" s="409"/>
      <c r="G593" s="420"/>
      <c r="H593" s="394"/>
      <c r="I593" s="162" t="s">
        <v>1138</v>
      </c>
      <c r="J593" s="163"/>
      <c r="K593" s="164"/>
      <c r="L593" s="164"/>
      <c r="M593" s="164"/>
      <c r="N593" s="164"/>
      <c r="O593" s="164"/>
      <c r="P593" s="164"/>
      <c r="Q593" s="164"/>
      <c r="R593" s="164"/>
      <c r="S593" s="164"/>
      <c r="T593" s="164"/>
      <c r="U593" s="164"/>
      <c r="V593" s="164"/>
      <c r="W593" s="164"/>
      <c r="X593" s="164"/>
      <c r="Y593" s="164"/>
      <c r="Z593" s="164"/>
      <c r="AA593" s="164"/>
      <c r="AB593" s="164"/>
      <c r="AC593" s="164"/>
      <c r="AD593" s="164"/>
      <c r="AE593" s="164"/>
      <c r="AF593" s="164"/>
      <c r="AG593" s="164"/>
      <c r="AH593" s="164"/>
      <c r="AI593" s="164"/>
      <c r="AJ593" s="164"/>
      <c r="AK593" s="164"/>
      <c r="AL593" s="164"/>
      <c r="AM593" s="164"/>
      <c r="AN593" s="165"/>
      <c r="AO593" s="166">
        <f t="shared" si="298"/>
        <v>0</v>
      </c>
      <c r="AP593" s="12"/>
      <c r="AQ593" s="167">
        <f t="shared" ref="AQ593" si="303">+AP593*AO593</f>
        <v>0</v>
      </c>
      <c r="AR593" s="12"/>
      <c r="AS593" s="167">
        <f t="shared" ref="AS593" si="304">+AR593*AO593</f>
        <v>0</v>
      </c>
      <c r="AT593" s="168">
        <f t="shared" ref="AT593" si="305">+AR593+AP593</f>
        <v>0</v>
      </c>
      <c r="AU593" s="167">
        <f t="shared" ref="AU593" si="306">+AT593*AO593</f>
        <v>0</v>
      </c>
    </row>
    <row r="594" spans="1:47" ht="30" customHeight="1" x14ac:dyDescent="0.25">
      <c r="A594" s="76"/>
      <c r="B594" s="169" t="s">
        <v>2124</v>
      </c>
      <c r="C594" s="404" t="s">
        <v>2129</v>
      </c>
      <c r="D594" s="405"/>
      <c r="E594" s="400"/>
      <c r="F594" s="402"/>
      <c r="G594" s="419"/>
      <c r="H594" s="395"/>
      <c r="I594" s="56" t="s">
        <v>1138</v>
      </c>
      <c r="J594" s="212"/>
      <c r="K594" s="213"/>
      <c r="L594" s="213"/>
      <c r="M594" s="213"/>
      <c r="N594" s="213"/>
      <c r="O594" s="213"/>
      <c r="P594" s="213"/>
      <c r="Q594" s="213"/>
      <c r="R594" s="213"/>
      <c r="S594" s="213"/>
      <c r="T594" s="213"/>
      <c r="U594" s="213"/>
      <c r="V594" s="213"/>
      <c r="W594" s="213"/>
      <c r="X594" s="213"/>
      <c r="Y594" s="213"/>
      <c r="Z594" s="213"/>
      <c r="AA594" s="213"/>
      <c r="AB594" s="213"/>
      <c r="AC594" s="213"/>
      <c r="AD594" s="213"/>
      <c r="AE594" s="213"/>
      <c r="AF594" s="213"/>
      <c r="AG594" s="213"/>
      <c r="AH594" s="213"/>
      <c r="AI594" s="213"/>
      <c r="AJ594" s="213"/>
      <c r="AK594" s="213"/>
      <c r="AL594" s="213"/>
      <c r="AM594" s="213"/>
      <c r="AN594" s="214"/>
      <c r="AO594" s="57">
        <f t="shared" si="298"/>
        <v>0</v>
      </c>
      <c r="AP594" s="14"/>
      <c r="AQ594" s="178">
        <f t="shared" si="299"/>
        <v>0</v>
      </c>
      <c r="AR594" s="14"/>
      <c r="AS594" s="178">
        <f t="shared" si="300"/>
        <v>0</v>
      </c>
      <c r="AT594" s="179">
        <f t="shared" si="301"/>
        <v>0</v>
      </c>
      <c r="AU594" s="178">
        <f t="shared" si="302"/>
        <v>0</v>
      </c>
    </row>
    <row r="595" spans="1:47" ht="89.25" customHeight="1" x14ac:dyDescent="0.25">
      <c r="A595" s="76"/>
      <c r="B595" s="148" t="s">
        <v>2130</v>
      </c>
      <c r="C595" s="192" t="s">
        <v>2132</v>
      </c>
      <c r="D595" s="193"/>
      <c r="E595" s="399" t="s">
        <v>2134</v>
      </c>
      <c r="F595" s="401" t="s">
        <v>1329</v>
      </c>
      <c r="G595" s="418" t="s">
        <v>1079</v>
      </c>
      <c r="H595" s="403" t="s">
        <v>1079</v>
      </c>
      <c r="I595" s="151">
        <v>0</v>
      </c>
      <c r="J595" s="152"/>
      <c r="K595" s="153"/>
      <c r="L595" s="153"/>
      <c r="M595" s="153"/>
      <c r="N595" s="153"/>
      <c r="O595" s="153"/>
      <c r="P595" s="153"/>
      <c r="Q595" s="153"/>
      <c r="R595" s="153"/>
      <c r="S595" s="153"/>
      <c r="T595" s="153"/>
      <c r="U595" s="153"/>
      <c r="V595" s="153"/>
      <c r="W595" s="153"/>
      <c r="X595" s="153"/>
      <c r="Y595" s="153"/>
      <c r="Z595" s="153"/>
      <c r="AA595" s="153"/>
      <c r="AB595" s="153"/>
      <c r="AC595" s="153"/>
      <c r="AD595" s="153"/>
      <c r="AE595" s="153"/>
      <c r="AF595" s="153"/>
      <c r="AG595" s="153"/>
      <c r="AH595" s="153"/>
      <c r="AI595" s="153"/>
      <c r="AJ595" s="153"/>
      <c r="AK595" s="153"/>
      <c r="AL595" s="153"/>
      <c r="AM595" s="153"/>
      <c r="AN595" s="154"/>
      <c r="AO595" s="155">
        <f t="shared" si="298"/>
        <v>0</v>
      </c>
      <c r="AP595" s="13"/>
      <c r="AQ595" s="156">
        <f t="shared" ref="AQ595:AQ596" si="307">+AP595*AO595</f>
        <v>0</v>
      </c>
      <c r="AR595" s="13"/>
      <c r="AS595" s="156">
        <f t="shared" ref="AS595:AS596" si="308">+AR595*AO595</f>
        <v>0</v>
      </c>
      <c r="AT595" s="157">
        <f t="shared" ref="AT595:AT596" si="309">+AR595+AP595</f>
        <v>0</v>
      </c>
      <c r="AU595" s="156">
        <f t="shared" ref="AU595:AU596" si="310">+AT595*AO595</f>
        <v>0</v>
      </c>
    </row>
    <row r="596" spans="1:47" ht="89.25" customHeight="1" x14ac:dyDescent="0.25">
      <c r="A596" s="76"/>
      <c r="B596" s="169" t="s">
        <v>2131</v>
      </c>
      <c r="C596" s="196" t="s">
        <v>2133</v>
      </c>
      <c r="D596" s="197"/>
      <c r="E596" s="400"/>
      <c r="F596" s="402"/>
      <c r="G596" s="419"/>
      <c r="H596" s="395"/>
      <c r="I596" s="56">
        <v>0</v>
      </c>
      <c r="J596" s="212"/>
      <c r="K596" s="213"/>
      <c r="L596" s="213">
        <v>230</v>
      </c>
      <c r="M596" s="213"/>
      <c r="N596" s="213"/>
      <c r="O596" s="213"/>
      <c r="P596" s="213"/>
      <c r="Q596" s="213"/>
      <c r="R596" s="213"/>
      <c r="S596" s="213"/>
      <c r="T596" s="213"/>
      <c r="U596" s="213"/>
      <c r="V596" s="213"/>
      <c r="W596" s="213"/>
      <c r="X596" s="213"/>
      <c r="Y596" s="213"/>
      <c r="Z596" s="213"/>
      <c r="AA596" s="213"/>
      <c r="AB596" s="213"/>
      <c r="AC596" s="213"/>
      <c r="AD596" s="213"/>
      <c r="AE596" s="213"/>
      <c r="AF596" s="213"/>
      <c r="AG596" s="213"/>
      <c r="AH596" s="213"/>
      <c r="AI596" s="213"/>
      <c r="AJ596" s="213"/>
      <c r="AK596" s="213"/>
      <c r="AL596" s="213"/>
      <c r="AM596" s="213"/>
      <c r="AN596" s="214"/>
      <c r="AO596" s="57">
        <f t="shared" si="298"/>
        <v>230</v>
      </c>
      <c r="AP596" s="14"/>
      <c r="AQ596" s="178">
        <f t="shared" si="307"/>
        <v>0</v>
      </c>
      <c r="AR596" s="14"/>
      <c r="AS596" s="178">
        <f t="shared" si="308"/>
        <v>0</v>
      </c>
      <c r="AT596" s="179">
        <f t="shared" si="309"/>
        <v>0</v>
      </c>
      <c r="AU596" s="178">
        <f t="shared" si="310"/>
        <v>0</v>
      </c>
    </row>
    <row r="597" spans="1:47" ht="75" customHeight="1" x14ac:dyDescent="0.25">
      <c r="A597" s="76"/>
      <c r="B597" s="148" t="s">
        <v>2135</v>
      </c>
      <c r="C597" s="406" t="s">
        <v>2021</v>
      </c>
      <c r="D597" s="407"/>
      <c r="E597" s="399" t="s">
        <v>2108</v>
      </c>
      <c r="F597" s="401" t="s">
        <v>1406</v>
      </c>
      <c r="G597" s="418" t="s">
        <v>1079</v>
      </c>
      <c r="H597" s="403" t="s">
        <v>1079</v>
      </c>
      <c r="I597" s="151" t="s">
        <v>532</v>
      </c>
      <c r="J597" s="152"/>
      <c r="K597" s="153"/>
      <c r="L597" s="153">
        <v>40</v>
      </c>
      <c r="M597" s="153"/>
      <c r="N597" s="153"/>
      <c r="O597" s="153"/>
      <c r="P597" s="153"/>
      <c r="Q597" s="153"/>
      <c r="R597" s="153"/>
      <c r="S597" s="153"/>
      <c r="T597" s="153"/>
      <c r="U597" s="153"/>
      <c r="V597" s="153"/>
      <c r="W597" s="153"/>
      <c r="X597" s="153"/>
      <c r="Y597" s="153"/>
      <c r="Z597" s="153"/>
      <c r="AA597" s="153"/>
      <c r="AB597" s="153"/>
      <c r="AC597" s="153"/>
      <c r="AD597" s="153"/>
      <c r="AE597" s="153"/>
      <c r="AF597" s="153"/>
      <c r="AG597" s="153"/>
      <c r="AH597" s="153"/>
      <c r="AI597" s="153"/>
      <c r="AJ597" s="153"/>
      <c r="AK597" s="153"/>
      <c r="AL597" s="153"/>
      <c r="AM597" s="153"/>
      <c r="AN597" s="154"/>
      <c r="AO597" s="155">
        <f t="shared" si="298"/>
        <v>40</v>
      </c>
      <c r="AP597" s="13"/>
      <c r="AQ597" s="156">
        <f t="shared" ref="AQ597:AQ599" si="311">+AP597*AO597</f>
        <v>0</v>
      </c>
      <c r="AR597" s="13"/>
      <c r="AS597" s="156">
        <f t="shared" ref="AS597:AS599" si="312">+AR597*AO597</f>
        <v>0</v>
      </c>
      <c r="AT597" s="157">
        <f t="shared" ref="AT597:AT599" si="313">+AR597+AP597</f>
        <v>0</v>
      </c>
      <c r="AU597" s="156">
        <f t="shared" ref="AU597:AU599" si="314">+AT597*AO597</f>
        <v>0</v>
      </c>
    </row>
    <row r="598" spans="1:47" ht="75" customHeight="1" x14ac:dyDescent="0.25">
      <c r="A598" s="76"/>
      <c r="B598" s="169" t="s">
        <v>2136</v>
      </c>
      <c r="C598" s="404" t="s">
        <v>1423</v>
      </c>
      <c r="D598" s="405"/>
      <c r="E598" s="400"/>
      <c r="F598" s="402"/>
      <c r="G598" s="419"/>
      <c r="H598" s="395"/>
      <c r="I598" s="56" t="s">
        <v>532</v>
      </c>
      <c r="J598" s="212"/>
      <c r="K598" s="213"/>
      <c r="L598" s="213">
        <v>20</v>
      </c>
      <c r="M598" s="213"/>
      <c r="N598" s="213"/>
      <c r="O598" s="213"/>
      <c r="P598" s="213"/>
      <c r="Q598" s="213"/>
      <c r="R598" s="213"/>
      <c r="S598" s="213"/>
      <c r="T598" s="213"/>
      <c r="U598" s="213"/>
      <c r="V598" s="213"/>
      <c r="W598" s="213"/>
      <c r="X598" s="213"/>
      <c r="Y598" s="213"/>
      <c r="Z598" s="213"/>
      <c r="AA598" s="213"/>
      <c r="AB598" s="213"/>
      <c r="AC598" s="213"/>
      <c r="AD598" s="213"/>
      <c r="AE598" s="213"/>
      <c r="AF598" s="213"/>
      <c r="AG598" s="213"/>
      <c r="AH598" s="213"/>
      <c r="AI598" s="213"/>
      <c r="AJ598" s="213"/>
      <c r="AK598" s="213"/>
      <c r="AL598" s="213"/>
      <c r="AM598" s="213"/>
      <c r="AN598" s="214"/>
      <c r="AO598" s="57">
        <f t="shared" si="298"/>
        <v>20</v>
      </c>
      <c r="AP598" s="14"/>
      <c r="AQ598" s="178">
        <f t="shared" si="311"/>
        <v>0</v>
      </c>
      <c r="AR598" s="14"/>
      <c r="AS598" s="178">
        <f t="shared" si="312"/>
        <v>0</v>
      </c>
      <c r="AT598" s="179">
        <f t="shared" si="313"/>
        <v>0</v>
      </c>
      <c r="AU598" s="178">
        <f t="shared" si="314"/>
        <v>0</v>
      </c>
    </row>
    <row r="599" spans="1:47" ht="36.75" customHeight="1" x14ac:dyDescent="0.25">
      <c r="A599" s="76"/>
      <c r="B599" s="37" t="s">
        <v>2137</v>
      </c>
      <c r="C599" s="276" t="s">
        <v>2025</v>
      </c>
      <c r="D599" s="278"/>
      <c r="E599" s="188" t="s">
        <v>2024</v>
      </c>
      <c r="F599" s="189"/>
      <c r="G599" s="191" t="s">
        <v>1079</v>
      </c>
      <c r="H599" s="191" t="s">
        <v>1079</v>
      </c>
      <c r="I599" s="41" t="s">
        <v>393</v>
      </c>
      <c r="J599" s="136"/>
      <c r="K599" s="137"/>
      <c r="L599" s="137"/>
      <c r="M599" s="137"/>
      <c r="N599" s="137"/>
      <c r="O599" s="137"/>
      <c r="P599" s="137"/>
      <c r="Q599" s="137"/>
      <c r="R599" s="137"/>
      <c r="S599" s="137"/>
      <c r="T599" s="137"/>
      <c r="U599" s="137"/>
      <c r="V599" s="137"/>
      <c r="W599" s="137"/>
      <c r="X599" s="137"/>
      <c r="Y599" s="137"/>
      <c r="Z599" s="137"/>
      <c r="AA599" s="137"/>
      <c r="AB599" s="137"/>
      <c r="AC599" s="137"/>
      <c r="AD599" s="137"/>
      <c r="AE599" s="137"/>
      <c r="AF599" s="137"/>
      <c r="AG599" s="137"/>
      <c r="AH599" s="137"/>
      <c r="AI599" s="137"/>
      <c r="AJ599" s="137"/>
      <c r="AK599" s="137"/>
      <c r="AL599" s="137"/>
      <c r="AM599" s="137"/>
      <c r="AN599" s="138"/>
      <c r="AO599" s="42">
        <f t="shared" si="298"/>
        <v>0</v>
      </c>
      <c r="AP599" s="1"/>
      <c r="AQ599" s="43">
        <f t="shared" si="311"/>
        <v>0</v>
      </c>
      <c r="AR599" s="1"/>
      <c r="AS599" s="43">
        <f t="shared" si="312"/>
        <v>0</v>
      </c>
      <c r="AT599" s="44">
        <f t="shared" si="313"/>
        <v>0</v>
      </c>
      <c r="AU599" s="43">
        <f t="shared" si="314"/>
        <v>0</v>
      </c>
    </row>
    <row r="600" spans="1:47" ht="63" customHeight="1" x14ac:dyDescent="0.25">
      <c r="A600" s="140"/>
      <c r="B600" s="37">
        <v>18</v>
      </c>
      <c r="C600" s="270" t="s">
        <v>2138</v>
      </c>
      <c r="D600" s="271"/>
      <c r="E600" s="271"/>
      <c r="F600" s="356"/>
      <c r="G600" s="97"/>
      <c r="H600" s="84"/>
      <c r="I600" s="97"/>
      <c r="J600" s="83"/>
      <c r="K600" s="83"/>
      <c r="L600" s="83"/>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4"/>
      <c r="AP600" s="78"/>
      <c r="AQ600" s="79">
        <f>SUM(AQ601:AQ633)</f>
        <v>0</v>
      </c>
      <c r="AR600" s="78"/>
      <c r="AS600" s="79">
        <f>SUM(AS601:AS633)</f>
        <v>0</v>
      </c>
      <c r="AT600" s="78"/>
      <c r="AU600" s="79">
        <f>SUM(AU601:AU633)</f>
        <v>0</v>
      </c>
    </row>
    <row r="601" spans="1:47" ht="135.75" customHeight="1" x14ac:dyDescent="0.25">
      <c r="A601" s="76"/>
      <c r="B601" s="148" t="s">
        <v>2139</v>
      </c>
      <c r="C601" s="406" t="s">
        <v>2146</v>
      </c>
      <c r="D601" s="407"/>
      <c r="E601" s="399" t="s">
        <v>1939</v>
      </c>
      <c r="F601" s="401"/>
      <c r="G601" s="413" t="s">
        <v>1078</v>
      </c>
      <c r="H601" s="413" t="s">
        <v>1078</v>
      </c>
      <c r="I601" s="151" t="s">
        <v>393</v>
      </c>
      <c r="J601" s="152"/>
      <c r="K601" s="153"/>
      <c r="L601" s="153"/>
      <c r="M601" s="153"/>
      <c r="N601" s="153"/>
      <c r="O601" s="153"/>
      <c r="P601" s="153"/>
      <c r="Q601" s="153"/>
      <c r="R601" s="153"/>
      <c r="S601" s="153"/>
      <c r="T601" s="153"/>
      <c r="U601" s="153"/>
      <c r="V601" s="153"/>
      <c r="W601" s="153"/>
      <c r="X601" s="153"/>
      <c r="Y601" s="153"/>
      <c r="Z601" s="153"/>
      <c r="AA601" s="153"/>
      <c r="AB601" s="153"/>
      <c r="AC601" s="153"/>
      <c r="AD601" s="153"/>
      <c r="AE601" s="153"/>
      <c r="AF601" s="153"/>
      <c r="AG601" s="153"/>
      <c r="AH601" s="153"/>
      <c r="AI601" s="153"/>
      <c r="AJ601" s="153"/>
      <c r="AK601" s="153"/>
      <c r="AL601" s="153"/>
      <c r="AM601" s="153"/>
      <c r="AN601" s="154"/>
      <c r="AO601" s="155">
        <f t="shared" ref="AO601:AO633" si="315">SUM(J601:AN601)</f>
        <v>0</v>
      </c>
      <c r="AP601" s="218"/>
      <c r="AQ601" s="156">
        <f t="shared" ref="AQ601:AQ607" si="316">+AP601*AO601</f>
        <v>0</v>
      </c>
      <c r="AR601" s="218"/>
      <c r="AS601" s="156">
        <f t="shared" ref="AS601:AS607" si="317">+AR601*AO601</f>
        <v>0</v>
      </c>
      <c r="AT601" s="157">
        <f t="shared" ref="AT601:AT607" si="318">+AR601+AP601</f>
        <v>0</v>
      </c>
      <c r="AU601" s="156">
        <f t="shared" ref="AU601:AU607" si="319">+AT601*AO601</f>
        <v>0</v>
      </c>
    </row>
    <row r="602" spans="1:47" ht="30" customHeight="1" x14ac:dyDescent="0.25">
      <c r="A602" s="76"/>
      <c r="B602" s="158" t="s">
        <v>2140</v>
      </c>
      <c r="C602" s="411" t="s">
        <v>2147</v>
      </c>
      <c r="D602" s="412"/>
      <c r="E602" s="408"/>
      <c r="F602" s="409"/>
      <c r="G602" s="416"/>
      <c r="H602" s="416"/>
      <c r="I602" s="207" t="s">
        <v>1138</v>
      </c>
      <c r="J602" s="208"/>
      <c r="K602" s="209"/>
      <c r="L602" s="209"/>
      <c r="M602" s="209"/>
      <c r="N602" s="209"/>
      <c r="O602" s="209"/>
      <c r="P602" s="209"/>
      <c r="Q602" s="209"/>
      <c r="R602" s="209"/>
      <c r="S602" s="209"/>
      <c r="T602" s="209"/>
      <c r="U602" s="209"/>
      <c r="V602" s="209"/>
      <c r="W602" s="209"/>
      <c r="X602" s="209"/>
      <c r="Y602" s="209"/>
      <c r="Z602" s="209"/>
      <c r="AA602" s="209"/>
      <c r="AB602" s="209"/>
      <c r="AC602" s="209"/>
      <c r="AD602" s="209"/>
      <c r="AE602" s="209"/>
      <c r="AF602" s="209"/>
      <c r="AG602" s="209"/>
      <c r="AH602" s="209"/>
      <c r="AI602" s="209"/>
      <c r="AJ602" s="209"/>
      <c r="AK602" s="209"/>
      <c r="AL602" s="209"/>
      <c r="AM602" s="209"/>
      <c r="AN602" s="210"/>
      <c r="AO602" s="211">
        <f t="shared" si="315"/>
        <v>0</v>
      </c>
      <c r="AP602" s="223"/>
      <c r="AQ602" s="167">
        <f t="shared" si="316"/>
        <v>0</v>
      </c>
      <c r="AR602" s="223"/>
      <c r="AS602" s="167">
        <f t="shared" si="317"/>
        <v>0</v>
      </c>
      <c r="AT602" s="168">
        <f t="shared" si="318"/>
        <v>0</v>
      </c>
      <c r="AU602" s="167">
        <f t="shared" si="319"/>
        <v>0</v>
      </c>
    </row>
    <row r="603" spans="1:47" ht="30" customHeight="1" x14ac:dyDescent="0.25">
      <c r="A603" s="76"/>
      <c r="B603" s="158" t="s">
        <v>2141</v>
      </c>
      <c r="C603" s="411" t="s">
        <v>2148</v>
      </c>
      <c r="D603" s="412"/>
      <c r="E603" s="408"/>
      <c r="F603" s="409"/>
      <c r="G603" s="416"/>
      <c r="H603" s="416"/>
      <c r="I603" s="162" t="s">
        <v>1138</v>
      </c>
      <c r="J603" s="163"/>
      <c r="K603" s="164"/>
      <c r="L603" s="164"/>
      <c r="M603" s="164"/>
      <c r="N603" s="164"/>
      <c r="O603" s="164"/>
      <c r="P603" s="164"/>
      <c r="Q603" s="164"/>
      <c r="R603" s="164"/>
      <c r="S603" s="164"/>
      <c r="T603" s="164"/>
      <c r="U603" s="164"/>
      <c r="V603" s="164"/>
      <c r="W603" s="164"/>
      <c r="X603" s="164"/>
      <c r="Y603" s="164"/>
      <c r="Z603" s="164"/>
      <c r="AA603" s="164"/>
      <c r="AB603" s="164"/>
      <c r="AC603" s="164"/>
      <c r="AD603" s="164"/>
      <c r="AE603" s="164"/>
      <c r="AF603" s="164"/>
      <c r="AG603" s="164"/>
      <c r="AH603" s="164"/>
      <c r="AI603" s="164"/>
      <c r="AJ603" s="164"/>
      <c r="AK603" s="164"/>
      <c r="AL603" s="164"/>
      <c r="AM603" s="164"/>
      <c r="AN603" s="165"/>
      <c r="AO603" s="166">
        <f t="shared" si="315"/>
        <v>0</v>
      </c>
      <c r="AP603" s="223"/>
      <c r="AQ603" s="167">
        <f t="shared" si="316"/>
        <v>0</v>
      </c>
      <c r="AR603" s="223"/>
      <c r="AS603" s="167">
        <f t="shared" si="317"/>
        <v>0</v>
      </c>
      <c r="AT603" s="168">
        <f t="shared" si="318"/>
        <v>0</v>
      </c>
      <c r="AU603" s="167">
        <f t="shared" si="319"/>
        <v>0</v>
      </c>
    </row>
    <row r="604" spans="1:47" ht="30" customHeight="1" x14ac:dyDescent="0.25">
      <c r="A604" s="76"/>
      <c r="B604" s="158" t="s">
        <v>2142</v>
      </c>
      <c r="C604" s="411" t="s">
        <v>2149</v>
      </c>
      <c r="D604" s="412"/>
      <c r="E604" s="408"/>
      <c r="F604" s="409"/>
      <c r="G604" s="416"/>
      <c r="H604" s="416"/>
      <c r="I604" s="162" t="s">
        <v>1138</v>
      </c>
      <c r="J604" s="163"/>
      <c r="K604" s="164"/>
      <c r="L604" s="164"/>
      <c r="M604" s="164"/>
      <c r="N604" s="164"/>
      <c r="O604" s="164"/>
      <c r="P604" s="164"/>
      <c r="Q604" s="164"/>
      <c r="R604" s="164"/>
      <c r="S604" s="164"/>
      <c r="T604" s="164"/>
      <c r="U604" s="164"/>
      <c r="V604" s="164"/>
      <c r="W604" s="164"/>
      <c r="X604" s="164"/>
      <c r="Y604" s="164"/>
      <c r="Z604" s="164"/>
      <c r="AA604" s="164"/>
      <c r="AB604" s="164"/>
      <c r="AC604" s="164"/>
      <c r="AD604" s="164"/>
      <c r="AE604" s="164"/>
      <c r="AF604" s="164"/>
      <c r="AG604" s="164"/>
      <c r="AH604" s="164"/>
      <c r="AI604" s="164"/>
      <c r="AJ604" s="164"/>
      <c r="AK604" s="164"/>
      <c r="AL604" s="164"/>
      <c r="AM604" s="164"/>
      <c r="AN604" s="165"/>
      <c r="AO604" s="166">
        <f t="shared" si="315"/>
        <v>0</v>
      </c>
      <c r="AP604" s="223"/>
      <c r="AQ604" s="167">
        <f t="shared" ref="AQ604:AQ605" si="320">+AP604*AO604</f>
        <v>0</v>
      </c>
      <c r="AR604" s="223"/>
      <c r="AS604" s="167">
        <f t="shared" ref="AS604:AS605" si="321">+AR604*AO604</f>
        <v>0</v>
      </c>
      <c r="AT604" s="168">
        <f t="shared" ref="AT604:AT605" si="322">+AR604+AP604</f>
        <v>0</v>
      </c>
      <c r="AU604" s="167">
        <f t="shared" ref="AU604:AU605" si="323">+AT604*AO604</f>
        <v>0</v>
      </c>
    </row>
    <row r="605" spans="1:47" ht="59.25" customHeight="1" x14ac:dyDescent="0.25">
      <c r="A605" s="76"/>
      <c r="B605" s="158" t="s">
        <v>2143</v>
      </c>
      <c r="C605" s="411" t="s">
        <v>2150</v>
      </c>
      <c r="D605" s="412"/>
      <c r="E605" s="408"/>
      <c r="F605" s="409"/>
      <c r="G605" s="416"/>
      <c r="H605" s="416"/>
      <c r="I605" s="162" t="s">
        <v>393</v>
      </c>
      <c r="J605" s="163"/>
      <c r="K605" s="164"/>
      <c r="L605" s="164"/>
      <c r="M605" s="164"/>
      <c r="N605" s="164"/>
      <c r="O605" s="164"/>
      <c r="P605" s="164"/>
      <c r="Q605" s="164"/>
      <c r="R605" s="164"/>
      <c r="S605" s="164"/>
      <c r="T605" s="164"/>
      <c r="U605" s="164"/>
      <c r="V605" s="164"/>
      <c r="W605" s="164"/>
      <c r="X605" s="164"/>
      <c r="Y605" s="164"/>
      <c r="Z605" s="164"/>
      <c r="AA605" s="164"/>
      <c r="AB605" s="164"/>
      <c r="AC605" s="164"/>
      <c r="AD605" s="164"/>
      <c r="AE605" s="164"/>
      <c r="AF605" s="164"/>
      <c r="AG605" s="164"/>
      <c r="AH605" s="164"/>
      <c r="AI605" s="164"/>
      <c r="AJ605" s="164"/>
      <c r="AK605" s="164"/>
      <c r="AL605" s="164"/>
      <c r="AM605" s="164"/>
      <c r="AN605" s="165"/>
      <c r="AO605" s="166">
        <f t="shared" si="315"/>
        <v>0</v>
      </c>
      <c r="AP605" s="223"/>
      <c r="AQ605" s="167">
        <f t="shared" si="320"/>
        <v>0</v>
      </c>
      <c r="AR605" s="223"/>
      <c r="AS605" s="167">
        <f t="shared" si="321"/>
        <v>0</v>
      </c>
      <c r="AT605" s="168">
        <f t="shared" si="322"/>
        <v>0</v>
      </c>
      <c r="AU605" s="167">
        <f t="shared" si="323"/>
        <v>0</v>
      </c>
    </row>
    <row r="606" spans="1:47" ht="30" customHeight="1" x14ac:dyDescent="0.25">
      <c r="A606" s="76"/>
      <c r="B606" s="158" t="s">
        <v>2144</v>
      </c>
      <c r="C606" s="411" t="s">
        <v>2151</v>
      </c>
      <c r="D606" s="412"/>
      <c r="E606" s="408"/>
      <c r="F606" s="409"/>
      <c r="G606" s="416"/>
      <c r="H606" s="416"/>
      <c r="I606" s="162" t="s">
        <v>393</v>
      </c>
      <c r="J606" s="163"/>
      <c r="K606" s="164"/>
      <c r="L606" s="164"/>
      <c r="M606" s="164"/>
      <c r="N606" s="164"/>
      <c r="O606" s="164"/>
      <c r="P606" s="164"/>
      <c r="Q606" s="164"/>
      <c r="R606" s="164"/>
      <c r="S606" s="164"/>
      <c r="T606" s="164"/>
      <c r="U606" s="164"/>
      <c r="V606" s="164"/>
      <c r="W606" s="164"/>
      <c r="X606" s="164"/>
      <c r="Y606" s="164"/>
      <c r="Z606" s="164"/>
      <c r="AA606" s="164"/>
      <c r="AB606" s="164"/>
      <c r="AC606" s="164"/>
      <c r="AD606" s="164"/>
      <c r="AE606" s="164"/>
      <c r="AF606" s="164"/>
      <c r="AG606" s="164"/>
      <c r="AH606" s="164"/>
      <c r="AI606" s="164"/>
      <c r="AJ606" s="164"/>
      <c r="AK606" s="164"/>
      <c r="AL606" s="164"/>
      <c r="AM606" s="164"/>
      <c r="AN606" s="165"/>
      <c r="AO606" s="166">
        <f t="shared" si="315"/>
        <v>0</v>
      </c>
      <c r="AP606" s="223"/>
      <c r="AQ606" s="167">
        <f t="shared" si="316"/>
        <v>0</v>
      </c>
      <c r="AR606" s="223"/>
      <c r="AS606" s="167">
        <f t="shared" si="317"/>
        <v>0</v>
      </c>
      <c r="AT606" s="168">
        <f t="shared" si="318"/>
        <v>0</v>
      </c>
      <c r="AU606" s="167">
        <f t="shared" si="319"/>
        <v>0</v>
      </c>
    </row>
    <row r="607" spans="1:47" ht="30" customHeight="1" x14ac:dyDescent="0.25">
      <c r="A607" s="76"/>
      <c r="B607" s="169" t="s">
        <v>2145</v>
      </c>
      <c r="C607" s="404" t="s">
        <v>2152</v>
      </c>
      <c r="D607" s="405"/>
      <c r="E607" s="400"/>
      <c r="F607" s="402"/>
      <c r="G607" s="417"/>
      <c r="H607" s="417"/>
      <c r="I607" s="56" t="s">
        <v>393</v>
      </c>
      <c r="J607" s="212"/>
      <c r="K607" s="213"/>
      <c r="L607" s="213"/>
      <c r="M607" s="213"/>
      <c r="N607" s="213"/>
      <c r="O607" s="213"/>
      <c r="P607" s="213"/>
      <c r="Q607" s="213"/>
      <c r="R607" s="213"/>
      <c r="S607" s="213"/>
      <c r="T607" s="213"/>
      <c r="U607" s="213"/>
      <c r="V607" s="213"/>
      <c r="W607" s="213"/>
      <c r="X607" s="213"/>
      <c r="Y607" s="213"/>
      <c r="Z607" s="213"/>
      <c r="AA607" s="213"/>
      <c r="AB607" s="213"/>
      <c r="AC607" s="213"/>
      <c r="AD607" s="213"/>
      <c r="AE607" s="213"/>
      <c r="AF607" s="213"/>
      <c r="AG607" s="213"/>
      <c r="AH607" s="213"/>
      <c r="AI607" s="213"/>
      <c r="AJ607" s="213"/>
      <c r="AK607" s="213"/>
      <c r="AL607" s="213"/>
      <c r="AM607" s="213"/>
      <c r="AN607" s="214"/>
      <c r="AO607" s="57">
        <f t="shared" si="315"/>
        <v>0</v>
      </c>
      <c r="AP607" s="219"/>
      <c r="AQ607" s="178">
        <f t="shared" si="316"/>
        <v>0</v>
      </c>
      <c r="AR607" s="219"/>
      <c r="AS607" s="178">
        <f t="shared" si="317"/>
        <v>0</v>
      </c>
      <c r="AT607" s="179">
        <f t="shared" si="318"/>
        <v>0</v>
      </c>
      <c r="AU607" s="178">
        <f t="shared" si="319"/>
        <v>0</v>
      </c>
    </row>
    <row r="608" spans="1:47" ht="30" customHeight="1" x14ac:dyDescent="0.25">
      <c r="A608" s="76"/>
      <c r="B608" s="148" t="s">
        <v>2153</v>
      </c>
      <c r="C608" s="406" t="s">
        <v>2167</v>
      </c>
      <c r="D608" s="407"/>
      <c r="E608" s="399" t="s">
        <v>2047</v>
      </c>
      <c r="F608" s="401"/>
      <c r="G608" s="413" t="s">
        <v>1078</v>
      </c>
      <c r="H608" s="413" t="s">
        <v>1078</v>
      </c>
      <c r="I608" s="151" t="s">
        <v>1138</v>
      </c>
      <c r="J608" s="152"/>
      <c r="K608" s="153"/>
      <c r="L608" s="153"/>
      <c r="M608" s="153"/>
      <c r="N608" s="153"/>
      <c r="O608" s="153"/>
      <c r="P608" s="153"/>
      <c r="Q608" s="153"/>
      <c r="R608" s="153"/>
      <c r="S608" s="153"/>
      <c r="T608" s="153"/>
      <c r="U608" s="153"/>
      <c r="V608" s="153"/>
      <c r="W608" s="153"/>
      <c r="X608" s="153"/>
      <c r="Y608" s="153"/>
      <c r="Z608" s="153"/>
      <c r="AA608" s="153"/>
      <c r="AB608" s="153"/>
      <c r="AC608" s="153"/>
      <c r="AD608" s="153"/>
      <c r="AE608" s="153"/>
      <c r="AF608" s="153"/>
      <c r="AG608" s="153"/>
      <c r="AH608" s="153"/>
      <c r="AI608" s="153"/>
      <c r="AJ608" s="153"/>
      <c r="AK608" s="153"/>
      <c r="AL608" s="153"/>
      <c r="AM608" s="153"/>
      <c r="AN608" s="154"/>
      <c r="AO608" s="155">
        <f t="shared" si="315"/>
        <v>0</v>
      </c>
      <c r="AP608" s="218"/>
      <c r="AQ608" s="156">
        <f t="shared" ref="AQ608:AQ621" si="324">+AP608*AO608</f>
        <v>0</v>
      </c>
      <c r="AR608" s="218"/>
      <c r="AS608" s="156">
        <f t="shared" ref="AS608:AS621" si="325">+AR608*AO608</f>
        <v>0</v>
      </c>
      <c r="AT608" s="157">
        <f t="shared" ref="AT608:AT621" si="326">+AR608+AP608</f>
        <v>0</v>
      </c>
      <c r="AU608" s="156">
        <f t="shared" ref="AU608:AU621" si="327">+AT608*AO608</f>
        <v>0</v>
      </c>
    </row>
    <row r="609" spans="1:47" ht="30" customHeight="1" x14ac:dyDescent="0.25">
      <c r="A609" s="76"/>
      <c r="B609" s="158" t="s">
        <v>2154</v>
      </c>
      <c r="C609" s="411" t="s">
        <v>2168</v>
      </c>
      <c r="D609" s="412"/>
      <c r="E609" s="408"/>
      <c r="F609" s="409"/>
      <c r="G609" s="416"/>
      <c r="H609" s="416"/>
      <c r="I609" s="207" t="s">
        <v>1138</v>
      </c>
      <c r="J609" s="208"/>
      <c r="K609" s="209"/>
      <c r="L609" s="209"/>
      <c r="M609" s="209"/>
      <c r="N609" s="209"/>
      <c r="O609" s="209"/>
      <c r="P609" s="209"/>
      <c r="Q609" s="209"/>
      <c r="R609" s="209"/>
      <c r="S609" s="209"/>
      <c r="T609" s="209"/>
      <c r="U609" s="209"/>
      <c r="V609" s="209"/>
      <c r="W609" s="209"/>
      <c r="X609" s="209"/>
      <c r="Y609" s="209"/>
      <c r="Z609" s="209"/>
      <c r="AA609" s="209"/>
      <c r="AB609" s="209"/>
      <c r="AC609" s="209"/>
      <c r="AD609" s="209"/>
      <c r="AE609" s="209"/>
      <c r="AF609" s="209"/>
      <c r="AG609" s="209"/>
      <c r="AH609" s="209"/>
      <c r="AI609" s="209"/>
      <c r="AJ609" s="209"/>
      <c r="AK609" s="209"/>
      <c r="AL609" s="209"/>
      <c r="AM609" s="209"/>
      <c r="AN609" s="210"/>
      <c r="AO609" s="211">
        <f t="shared" si="315"/>
        <v>0</v>
      </c>
      <c r="AP609" s="223"/>
      <c r="AQ609" s="167">
        <f t="shared" ref="AQ609:AQ615" si="328">+AP609*AO609</f>
        <v>0</v>
      </c>
      <c r="AR609" s="223"/>
      <c r="AS609" s="167">
        <f t="shared" ref="AS609:AS615" si="329">+AR609*AO609</f>
        <v>0</v>
      </c>
      <c r="AT609" s="168">
        <f t="shared" ref="AT609:AT615" si="330">+AR609+AP609</f>
        <v>0</v>
      </c>
      <c r="AU609" s="167">
        <f t="shared" ref="AU609:AU615" si="331">+AT609*AO609</f>
        <v>0</v>
      </c>
    </row>
    <row r="610" spans="1:47" ht="30" customHeight="1" x14ac:dyDescent="0.25">
      <c r="A610" s="76"/>
      <c r="B610" s="158" t="s">
        <v>2155</v>
      </c>
      <c r="C610" s="411" t="s">
        <v>2169</v>
      </c>
      <c r="D610" s="412"/>
      <c r="E610" s="408"/>
      <c r="F610" s="409"/>
      <c r="G610" s="416"/>
      <c r="H610" s="416"/>
      <c r="I610" s="207" t="s">
        <v>1138</v>
      </c>
      <c r="J610" s="208"/>
      <c r="K610" s="209"/>
      <c r="L610" s="209"/>
      <c r="M610" s="209"/>
      <c r="N610" s="209"/>
      <c r="O610" s="209"/>
      <c r="P610" s="209"/>
      <c r="Q610" s="209"/>
      <c r="R610" s="209"/>
      <c r="S610" s="209"/>
      <c r="T610" s="209"/>
      <c r="U610" s="209"/>
      <c r="V610" s="209"/>
      <c r="W610" s="209"/>
      <c r="X610" s="209"/>
      <c r="Y610" s="209"/>
      <c r="Z610" s="209"/>
      <c r="AA610" s="209"/>
      <c r="AB610" s="209"/>
      <c r="AC610" s="209"/>
      <c r="AD610" s="209"/>
      <c r="AE610" s="209"/>
      <c r="AF610" s="209"/>
      <c r="AG610" s="209"/>
      <c r="AH610" s="209"/>
      <c r="AI610" s="209"/>
      <c r="AJ610" s="209"/>
      <c r="AK610" s="209"/>
      <c r="AL610" s="209"/>
      <c r="AM610" s="209"/>
      <c r="AN610" s="210"/>
      <c r="AO610" s="211">
        <f t="shared" si="315"/>
        <v>0</v>
      </c>
      <c r="AP610" s="223"/>
      <c r="AQ610" s="167">
        <f t="shared" si="328"/>
        <v>0</v>
      </c>
      <c r="AR610" s="223"/>
      <c r="AS610" s="167">
        <f t="shared" si="329"/>
        <v>0</v>
      </c>
      <c r="AT610" s="168">
        <f t="shared" si="330"/>
        <v>0</v>
      </c>
      <c r="AU610" s="167">
        <f t="shared" si="331"/>
        <v>0</v>
      </c>
    </row>
    <row r="611" spans="1:47" ht="30" customHeight="1" x14ac:dyDescent="0.25">
      <c r="A611" s="76"/>
      <c r="B611" s="158" t="s">
        <v>2156</v>
      </c>
      <c r="C611" s="411" t="s">
        <v>2170</v>
      </c>
      <c r="D611" s="412"/>
      <c r="E611" s="408"/>
      <c r="F611" s="409"/>
      <c r="G611" s="416"/>
      <c r="H611" s="416"/>
      <c r="I611" s="207" t="s">
        <v>1138</v>
      </c>
      <c r="J611" s="208"/>
      <c r="K611" s="209"/>
      <c r="L611" s="209"/>
      <c r="M611" s="209"/>
      <c r="N611" s="209"/>
      <c r="O611" s="209"/>
      <c r="P611" s="209"/>
      <c r="Q611" s="209"/>
      <c r="R611" s="209"/>
      <c r="S611" s="209"/>
      <c r="T611" s="209"/>
      <c r="U611" s="209"/>
      <c r="V611" s="209"/>
      <c r="W611" s="209"/>
      <c r="X611" s="209"/>
      <c r="Y611" s="209"/>
      <c r="Z611" s="209"/>
      <c r="AA611" s="209"/>
      <c r="AB611" s="209"/>
      <c r="AC611" s="209"/>
      <c r="AD611" s="209"/>
      <c r="AE611" s="209"/>
      <c r="AF611" s="209"/>
      <c r="AG611" s="209"/>
      <c r="AH611" s="209"/>
      <c r="AI611" s="209"/>
      <c r="AJ611" s="209"/>
      <c r="AK611" s="209"/>
      <c r="AL611" s="209"/>
      <c r="AM611" s="209"/>
      <c r="AN611" s="210"/>
      <c r="AO611" s="211">
        <f t="shared" si="315"/>
        <v>0</v>
      </c>
      <c r="AP611" s="223"/>
      <c r="AQ611" s="167">
        <f t="shared" si="328"/>
        <v>0</v>
      </c>
      <c r="AR611" s="223"/>
      <c r="AS611" s="167">
        <f t="shared" si="329"/>
        <v>0</v>
      </c>
      <c r="AT611" s="168">
        <f t="shared" si="330"/>
        <v>0</v>
      </c>
      <c r="AU611" s="167">
        <f t="shared" si="331"/>
        <v>0</v>
      </c>
    </row>
    <row r="612" spans="1:47" ht="30" customHeight="1" x14ac:dyDescent="0.25">
      <c r="A612" s="76"/>
      <c r="B612" s="158" t="s">
        <v>2157</v>
      </c>
      <c r="C612" s="411" t="s">
        <v>2171</v>
      </c>
      <c r="D612" s="412"/>
      <c r="E612" s="408"/>
      <c r="F612" s="409"/>
      <c r="G612" s="416"/>
      <c r="H612" s="416"/>
      <c r="I612" s="207" t="s">
        <v>1138</v>
      </c>
      <c r="J612" s="208"/>
      <c r="K612" s="209"/>
      <c r="L612" s="209"/>
      <c r="M612" s="209"/>
      <c r="N612" s="209"/>
      <c r="O612" s="209"/>
      <c r="P612" s="209"/>
      <c r="Q612" s="209"/>
      <c r="R612" s="209"/>
      <c r="S612" s="209"/>
      <c r="T612" s="209"/>
      <c r="U612" s="209"/>
      <c r="V612" s="209"/>
      <c r="W612" s="209"/>
      <c r="X612" s="209"/>
      <c r="Y612" s="209"/>
      <c r="Z612" s="209"/>
      <c r="AA612" s="209"/>
      <c r="AB612" s="209"/>
      <c r="AC612" s="209"/>
      <c r="AD612" s="209"/>
      <c r="AE612" s="209"/>
      <c r="AF612" s="209"/>
      <c r="AG612" s="209"/>
      <c r="AH612" s="209"/>
      <c r="AI612" s="209"/>
      <c r="AJ612" s="209"/>
      <c r="AK612" s="209"/>
      <c r="AL612" s="209"/>
      <c r="AM612" s="209"/>
      <c r="AN612" s="210"/>
      <c r="AO612" s="211">
        <f t="shared" si="315"/>
        <v>0</v>
      </c>
      <c r="AP612" s="223"/>
      <c r="AQ612" s="167">
        <f t="shared" si="328"/>
        <v>0</v>
      </c>
      <c r="AR612" s="223"/>
      <c r="AS612" s="167">
        <f t="shared" si="329"/>
        <v>0</v>
      </c>
      <c r="AT612" s="168">
        <f t="shared" si="330"/>
        <v>0</v>
      </c>
      <c r="AU612" s="167">
        <f t="shared" si="331"/>
        <v>0</v>
      </c>
    </row>
    <row r="613" spans="1:47" ht="30" customHeight="1" x14ac:dyDescent="0.25">
      <c r="A613" s="76"/>
      <c r="B613" s="158" t="s">
        <v>2158</v>
      </c>
      <c r="C613" s="411" t="s">
        <v>2172</v>
      </c>
      <c r="D613" s="412"/>
      <c r="E613" s="408"/>
      <c r="F613" s="409"/>
      <c r="G613" s="416"/>
      <c r="H613" s="416"/>
      <c r="I613" s="207" t="s">
        <v>1138</v>
      </c>
      <c r="J613" s="208"/>
      <c r="K613" s="209"/>
      <c r="L613" s="209"/>
      <c r="M613" s="209"/>
      <c r="N613" s="209"/>
      <c r="O613" s="209"/>
      <c r="P613" s="209"/>
      <c r="Q613" s="209"/>
      <c r="R613" s="209"/>
      <c r="S613" s="209"/>
      <c r="T613" s="209"/>
      <c r="U613" s="209"/>
      <c r="V613" s="209"/>
      <c r="W613" s="209"/>
      <c r="X613" s="209"/>
      <c r="Y613" s="209"/>
      <c r="Z613" s="209"/>
      <c r="AA613" s="209"/>
      <c r="AB613" s="209"/>
      <c r="AC613" s="209"/>
      <c r="AD613" s="209"/>
      <c r="AE613" s="209"/>
      <c r="AF613" s="209"/>
      <c r="AG613" s="209"/>
      <c r="AH613" s="209"/>
      <c r="AI613" s="209"/>
      <c r="AJ613" s="209"/>
      <c r="AK613" s="209"/>
      <c r="AL613" s="209"/>
      <c r="AM613" s="209"/>
      <c r="AN613" s="210"/>
      <c r="AO613" s="211">
        <f t="shared" si="315"/>
        <v>0</v>
      </c>
      <c r="AP613" s="223"/>
      <c r="AQ613" s="167">
        <f t="shared" si="328"/>
        <v>0</v>
      </c>
      <c r="AR613" s="223"/>
      <c r="AS613" s="167">
        <f t="shared" si="329"/>
        <v>0</v>
      </c>
      <c r="AT613" s="168">
        <f t="shared" si="330"/>
        <v>0</v>
      </c>
      <c r="AU613" s="167">
        <f t="shared" si="331"/>
        <v>0</v>
      </c>
    </row>
    <row r="614" spans="1:47" ht="30" customHeight="1" x14ac:dyDescent="0.25">
      <c r="A614" s="76"/>
      <c r="B614" s="158" t="s">
        <v>2159</v>
      </c>
      <c r="C614" s="411" t="s">
        <v>2173</v>
      </c>
      <c r="D614" s="412"/>
      <c r="E614" s="408"/>
      <c r="F614" s="409"/>
      <c r="G614" s="416"/>
      <c r="H614" s="416"/>
      <c r="I614" s="207" t="s">
        <v>1138</v>
      </c>
      <c r="J614" s="208"/>
      <c r="K614" s="209"/>
      <c r="L614" s="209"/>
      <c r="M614" s="209"/>
      <c r="N614" s="209"/>
      <c r="O614" s="209"/>
      <c r="P614" s="209"/>
      <c r="Q614" s="209"/>
      <c r="R614" s="209"/>
      <c r="S614" s="209"/>
      <c r="T614" s="209"/>
      <c r="U614" s="209"/>
      <c r="V614" s="209"/>
      <c r="W614" s="209"/>
      <c r="X614" s="209"/>
      <c r="Y614" s="209"/>
      <c r="Z614" s="209"/>
      <c r="AA614" s="209"/>
      <c r="AB614" s="209"/>
      <c r="AC614" s="209"/>
      <c r="AD614" s="209"/>
      <c r="AE614" s="209"/>
      <c r="AF614" s="209"/>
      <c r="AG614" s="209"/>
      <c r="AH614" s="209"/>
      <c r="AI614" s="209"/>
      <c r="AJ614" s="209"/>
      <c r="AK614" s="209"/>
      <c r="AL614" s="209"/>
      <c r="AM614" s="209"/>
      <c r="AN614" s="210"/>
      <c r="AO614" s="211">
        <f t="shared" si="315"/>
        <v>0</v>
      </c>
      <c r="AP614" s="223"/>
      <c r="AQ614" s="167">
        <f t="shared" si="328"/>
        <v>0</v>
      </c>
      <c r="AR614" s="223"/>
      <c r="AS614" s="167">
        <f t="shared" si="329"/>
        <v>0</v>
      </c>
      <c r="AT614" s="168">
        <f t="shared" si="330"/>
        <v>0</v>
      </c>
      <c r="AU614" s="167">
        <f t="shared" si="331"/>
        <v>0</v>
      </c>
    </row>
    <row r="615" spans="1:47" ht="30" customHeight="1" x14ac:dyDescent="0.25">
      <c r="A615" s="76"/>
      <c r="B615" s="158" t="s">
        <v>2160</v>
      </c>
      <c r="C615" s="411" t="s">
        <v>2174</v>
      </c>
      <c r="D615" s="412"/>
      <c r="E615" s="408"/>
      <c r="F615" s="409"/>
      <c r="G615" s="416"/>
      <c r="H615" s="416"/>
      <c r="I615" s="207" t="s">
        <v>1138</v>
      </c>
      <c r="J615" s="208"/>
      <c r="K615" s="209"/>
      <c r="L615" s="209"/>
      <c r="M615" s="209"/>
      <c r="N615" s="209"/>
      <c r="O615" s="209"/>
      <c r="P615" s="209"/>
      <c r="Q615" s="209"/>
      <c r="R615" s="209"/>
      <c r="S615" s="209"/>
      <c r="T615" s="209"/>
      <c r="U615" s="209"/>
      <c r="V615" s="209"/>
      <c r="W615" s="209"/>
      <c r="X615" s="209"/>
      <c r="Y615" s="209"/>
      <c r="Z615" s="209"/>
      <c r="AA615" s="209"/>
      <c r="AB615" s="209"/>
      <c r="AC615" s="209"/>
      <c r="AD615" s="209"/>
      <c r="AE615" s="209"/>
      <c r="AF615" s="209"/>
      <c r="AG615" s="209"/>
      <c r="AH615" s="209"/>
      <c r="AI615" s="209"/>
      <c r="AJ615" s="209"/>
      <c r="AK615" s="209"/>
      <c r="AL615" s="209"/>
      <c r="AM615" s="209"/>
      <c r="AN615" s="210"/>
      <c r="AO615" s="211">
        <f t="shared" si="315"/>
        <v>0</v>
      </c>
      <c r="AP615" s="223"/>
      <c r="AQ615" s="167">
        <f t="shared" si="328"/>
        <v>0</v>
      </c>
      <c r="AR615" s="223"/>
      <c r="AS615" s="167">
        <f t="shared" si="329"/>
        <v>0</v>
      </c>
      <c r="AT615" s="168">
        <f t="shared" si="330"/>
        <v>0</v>
      </c>
      <c r="AU615" s="167">
        <f t="shared" si="331"/>
        <v>0</v>
      </c>
    </row>
    <row r="616" spans="1:47" ht="30" customHeight="1" x14ac:dyDescent="0.25">
      <c r="A616" s="76"/>
      <c r="B616" s="158" t="s">
        <v>2161</v>
      </c>
      <c r="C616" s="411" t="s">
        <v>2175</v>
      </c>
      <c r="D616" s="412"/>
      <c r="E616" s="408"/>
      <c r="F616" s="409"/>
      <c r="G616" s="416"/>
      <c r="H616" s="416"/>
      <c r="I616" s="207" t="s">
        <v>1138</v>
      </c>
      <c r="J616" s="208"/>
      <c r="K616" s="209"/>
      <c r="L616" s="209"/>
      <c r="M616" s="209"/>
      <c r="N616" s="209"/>
      <c r="O616" s="209"/>
      <c r="P616" s="209"/>
      <c r="Q616" s="209"/>
      <c r="R616" s="209"/>
      <c r="S616" s="209"/>
      <c r="T616" s="209"/>
      <c r="U616" s="209"/>
      <c r="V616" s="209"/>
      <c r="W616" s="209"/>
      <c r="X616" s="209"/>
      <c r="Y616" s="209"/>
      <c r="Z616" s="209"/>
      <c r="AA616" s="209"/>
      <c r="AB616" s="209"/>
      <c r="AC616" s="209"/>
      <c r="AD616" s="209"/>
      <c r="AE616" s="209"/>
      <c r="AF616" s="209"/>
      <c r="AG616" s="209"/>
      <c r="AH616" s="209"/>
      <c r="AI616" s="209"/>
      <c r="AJ616" s="209"/>
      <c r="AK616" s="209"/>
      <c r="AL616" s="209"/>
      <c r="AM616" s="209"/>
      <c r="AN616" s="210"/>
      <c r="AO616" s="211">
        <f t="shared" si="315"/>
        <v>0</v>
      </c>
      <c r="AP616" s="223"/>
      <c r="AQ616" s="167">
        <f t="shared" si="324"/>
        <v>0</v>
      </c>
      <c r="AR616" s="223"/>
      <c r="AS616" s="167">
        <f t="shared" si="325"/>
        <v>0</v>
      </c>
      <c r="AT616" s="168">
        <f t="shared" si="326"/>
        <v>0</v>
      </c>
      <c r="AU616" s="167">
        <f t="shared" si="327"/>
        <v>0</v>
      </c>
    </row>
    <row r="617" spans="1:47" ht="30" customHeight="1" x14ac:dyDescent="0.25">
      <c r="A617" s="76"/>
      <c r="B617" s="158" t="s">
        <v>2162</v>
      </c>
      <c r="C617" s="411" t="s">
        <v>2176</v>
      </c>
      <c r="D617" s="412"/>
      <c r="E617" s="408"/>
      <c r="F617" s="409"/>
      <c r="G617" s="416"/>
      <c r="H617" s="416"/>
      <c r="I617" s="162" t="s">
        <v>1138</v>
      </c>
      <c r="J617" s="163"/>
      <c r="K617" s="164"/>
      <c r="L617" s="164"/>
      <c r="M617" s="164"/>
      <c r="N617" s="164"/>
      <c r="O617" s="164"/>
      <c r="P617" s="164"/>
      <c r="Q617" s="164"/>
      <c r="R617" s="164"/>
      <c r="S617" s="164"/>
      <c r="T617" s="164"/>
      <c r="U617" s="164"/>
      <c r="V617" s="164"/>
      <c r="W617" s="164"/>
      <c r="X617" s="164"/>
      <c r="Y617" s="164"/>
      <c r="Z617" s="164"/>
      <c r="AA617" s="164"/>
      <c r="AB617" s="164"/>
      <c r="AC617" s="164"/>
      <c r="AD617" s="164"/>
      <c r="AE617" s="164"/>
      <c r="AF617" s="164"/>
      <c r="AG617" s="164"/>
      <c r="AH617" s="164"/>
      <c r="AI617" s="164"/>
      <c r="AJ617" s="164"/>
      <c r="AK617" s="164"/>
      <c r="AL617" s="164"/>
      <c r="AM617" s="164"/>
      <c r="AN617" s="165"/>
      <c r="AO617" s="166">
        <f t="shared" si="315"/>
        <v>0</v>
      </c>
      <c r="AP617" s="223"/>
      <c r="AQ617" s="167">
        <f t="shared" si="324"/>
        <v>0</v>
      </c>
      <c r="AR617" s="223"/>
      <c r="AS617" s="167">
        <f t="shared" si="325"/>
        <v>0</v>
      </c>
      <c r="AT617" s="168">
        <f t="shared" si="326"/>
        <v>0</v>
      </c>
      <c r="AU617" s="167">
        <f t="shared" si="327"/>
        <v>0</v>
      </c>
    </row>
    <row r="618" spans="1:47" ht="30" customHeight="1" x14ac:dyDescent="0.25">
      <c r="A618" s="76"/>
      <c r="B618" s="158" t="s">
        <v>2163</v>
      </c>
      <c r="C618" s="411" t="s">
        <v>2177</v>
      </c>
      <c r="D618" s="412"/>
      <c r="E618" s="408"/>
      <c r="F618" s="409"/>
      <c r="G618" s="416"/>
      <c r="H618" s="416"/>
      <c r="I618" s="162" t="s">
        <v>1138</v>
      </c>
      <c r="J618" s="163"/>
      <c r="K618" s="164"/>
      <c r="L618" s="164"/>
      <c r="M618" s="164"/>
      <c r="N618" s="164"/>
      <c r="O618" s="164"/>
      <c r="P618" s="164"/>
      <c r="Q618" s="164"/>
      <c r="R618" s="164"/>
      <c r="S618" s="164"/>
      <c r="T618" s="164"/>
      <c r="U618" s="164"/>
      <c r="V618" s="164"/>
      <c r="W618" s="164"/>
      <c r="X618" s="164"/>
      <c r="Y618" s="164"/>
      <c r="Z618" s="164"/>
      <c r="AA618" s="164"/>
      <c r="AB618" s="164"/>
      <c r="AC618" s="164"/>
      <c r="AD618" s="164"/>
      <c r="AE618" s="164"/>
      <c r="AF618" s="164"/>
      <c r="AG618" s="164"/>
      <c r="AH618" s="164"/>
      <c r="AI618" s="164"/>
      <c r="AJ618" s="164"/>
      <c r="AK618" s="164"/>
      <c r="AL618" s="164"/>
      <c r="AM618" s="164"/>
      <c r="AN618" s="165"/>
      <c r="AO618" s="166">
        <f t="shared" si="315"/>
        <v>0</v>
      </c>
      <c r="AP618" s="223"/>
      <c r="AQ618" s="167">
        <f t="shared" si="324"/>
        <v>0</v>
      </c>
      <c r="AR618" s="223"/>
      <c r="AS618" s="167">
        <f t="shared" si="325"/>
        <v>0</v>
      </c>
      <c r="AT618" s="168">
        <f t="shared" si="326"/>
        <v>0</v>
      </c>
      <c r="AU618" s="167">
        <f t="shared" si="327"/>
        <v>0</v>
      </c>
    </row>
    <row r="619" spans="1:47" ht="30" customHeight="1" x14ac:dyDescent="0.25">
      <c r="A619" s="76"/>
      <c r="B619" s="158" t="s">
        <v>2164</v>
      </c>
      <c r="C619" s="411" t="s">
        <v>2178</v>
      </c>
      <c r="D619" s="412"/>
      <c r="E619" s="408"/>
      <c r="F619" s="409"/>
      <c r="G619" s="416"/>
      <c r="H619" s="416"/>
      <c r="I619" s="162" t="s">
        <v>1138</v>
      </c>
      <c r="J619" s="163"/>
      <c r="K619" s="164"/>
      <c r="L619" s="164"/>
      <c r="M619" s="164"/>
      <c r="N619" s="164"/>
      <c r="O619" s="164"/>
      <c r="P619" s="164"/>
      <c r="Q619" s="164"/>
      <c r="R619" s="164"/>
      <c r="S619" s="164"/>
      <c r="T619" s="164"/>
      <c r="U619" s="164"/>
      <c r="V619" s="164"/>
      <c r="W619" s="164"/>
      <c r="X619" s="164"/>
      <c r="Y619" s="164"/>
      <c r="Z619" s="164"/>
      <c r="AA619" s="164"/>
      <c r="AB619" s="164"/>
      <c r="AC619" s="164"/>
      <c r="AD619" s="164"/>
      <c r="AE619" s="164"/>
      <c r="AF619" s="164"/>
      <c r="AG619" s="164"/>
      <c r="AH619" s="164"/>
      <c r="AI619" s="164"/>
      <c r="AJ619" s="164"/>
      <c r="AK619" s="164"/>
      <c r="AL619" s="164"/>
      <c r="AM619" s="164"/>
      <c r="AN619" s="165"/>
      <c r="AO619" s="166">
        <f t="shared" si="315"/>
        <v>0</v>
      </c>
      <c r="AP619" s="223"/>
      <c r="AQ619" s="167">
        <f t="shared" si="324"/>
        <v>0</v>
      </c>
      <c r="AR619" s="223"/>
      <c r="AS619" s="167">
        <f t="shared" si="325"/>
        <v>0</v>
      </c>
      <c r="AT619" s="168">
        <f t="shared" si="326"/>
        <v>0</v>
      </c>
      <c r="AU619" s="167">
        <f t="shared" si="327"/>
        <v>0</v>
      </c>
    </row>
    <row r="620" spans="1:47" ht="30" customHeight="1" x14ac:dyDescent="0.25">
      <c r="A620" s="76"/>
      <c r="B620" s="158" t="s">
        <v>2165</v>
      </c>
      <c r="C620" s="411" t="s">
        <v>2179</v>
      </c>
      <c r="D620" s="412"/>
      <c r="E620" s="408"/>
      <c r="F620" s="409"/>
      <c r="G620" s="416"/>
      <c r="H620" s="416"/>
      <c r="I620" s="162" t="s">
        <v>1138</v>
      </c>
      <c r="J620" s="163"/>
      <c r="K620" s="164"/>
      <c r="L620" s="164"/>
      <c r="M620" s="164"/>
      <c r="N620" s="164"/>
      <c r="O620" s="164"/>
      <c r="P620" s="164"/>
      <c r="Q620" s="164"/>
      <c r="R620" s="164"/>
      <c r="S620" s="164"/>
      <c r="T620" s="164"/>
      <c r="U620" s="164"/>
      <c r="V620" s="164"/>
      <c r="W620" s="164"/>
      <c r="X620" s="164"/>
      <c r="Y620" s="164"/>
      <c r="Z620" s="164"/>
      <c r="AA620" s="164"/>
      <c r="AB620" s="164"/>
      <c r="AC620" s="164"/>
      <c r="AD620" s="164"/>
      <c r="AE620" s="164"/>
      <c r="AF620" s="164"/>
      <c r="AG620" s="164"/>
      <c r="AH620" s="164"/>
      <c r="AI620" s="164"/>
      <c r="AJ620" s="164"/>
      <c r="AK620" s="164"/>
      <c r="AL620" s="164"/>
      <c r="AM620" s="164"/>
      <c r="AN620" s="165"/>
      <c r="AO620" s="166">
        <f t="shared" si="315"/>
        <v>0</v>
      </c>
      <c r="AP620" s="223"/>
      <c r="AQ620" s="167">
        <f t="shared" si="324"/>
        <v>0</v>
      </c>
      <c r="AR620" s="223"/>
      <c r="AS620" s="167">
        <f t="shared" si="325"/>
        <v>0</v>
      </c>
      <c r="AT620" s="168">
        <f t="shared" si="326"/>
        <v>0</v>
      </c>
      <c r="AU620" s="167">
        <f t="shared" si="327"/>
        <v>0</v>
      </c>
    </row>
    <row r="621" spans="1:47" ht="30" customHeight="1" x14ac:dyDescent="0.25">
      <c r="A621" s="76"/>
      <c r="B621" s="169" t="s">
        <v>2166</v>
      </c>
      <c r="C621" s="404" t="s">
        <v>2180</v>
      </c>
      <c r="D621" s="405"/>
      <c r="E621" s="400"/>
      <c r="F621" s="402"/>
      <c r="G621" s="417"/>
      <c r="H621" s="417"/>
      <c r="I621" s="56" t="s">
        <v>1138</v>
      </c>
      <c r="J621" s="212"/>
      <c r="K621" s="213"/>
      <c r="L621" s="213"/>
      <c r="M621" s="213"/>
      <c r="N621" s="213"/>
      <c r="O621" s="213"/>
      <c r="P621" s="213"/>
      <c r="Q621" s="213"/>
      <c r="R621" s="213"/>
      <c r="S621" s="213"/>
      <c r="T621" s="213"/>
      <c r="U621" s="213"/>
      <c r="V621" s="213"/>
      <c r="W621" s="213"/>
      <c r="X621" s="213"/>
      <c r="Y621" s="213"/>
      <c r="Z621" s="213"/>
      <c r="AA621" s="213"/>
      <c r="AB621" s="213"/>
      <c r="AC621" s="213"/>
      <c r="AD621" s="213"/>
      <c r="AE621" s="213"/>
      <c r="AF621" s="213"/>
      <c r="AG621" s="213"/>
      <c r="AH621" s="213"/>
      <c r="AI621" s="213"/>
      <c r="AJ621" s="213"/>
      <c r="AK621" s="213"/>
      <c r="AL621" s="213"/>
      <c r="AM621" s="213"/>
      <c r="AN621" s="214"/>
      <c r="AO621" s="57">
        <f t="shared" si="315"/>
        <v>0</v>
      </c>
      <c r="AP621" s="219"/>
      <c r="AQ621" s="178">
        <f t="shared" si="324"/>
        <v>0</v>
      </c>
      <c r="AR621" s="219"/>
      <c r="AS621" s="178">
        <f t="shared" si="325"/>
        <v>0</v>
      </c>
      <c r="AT621" s="179">
        <f t="shared" si="326"/>
        <v>0</v>
      </c>
      <c r="AU621" s="178">
        <f t="shared" si="327"/>
        <v>0</v>
      </c>
    </row>
    <row r="622" spans="1:47" ht="30" customHeight="1" x14ac:dyDescent="0.25">
      <c r="A622" s="76"/>
      <c r="B622" s="148" t="s">
        <v>2181</v>
      </c>
      <c r="C622" s="192" t="s">
        <v>2189</v>
      </c>
      <c r="D622" s="193"/>
      <c r="E622" s="399" t="s">
        <v>2134</v>
      </c>
      <c r="F622" s="161" t="s">
        <v>2097</v>
      </c>
      <c r="G622" s="403" t="s">
        <v>1079</v>
      </c>
      <c r="H622" s="403" t="s">
        <v>1079</v>
      </c>
      <c r="I622" s="151" t="s">
        <v>532</v>
      </c>
      <c r="J622" s="152"/>
      <c r="K622" s="153"/>
      <c r="L622" s="153"/>
      <c r="M622" s="153"/>
      <c r="N622" s="153"/>
      <c r="O622" s="153"/>
      <c r="P622" s="153"/>
      <c r="Q622" s="153"/>
      <c r="R622" s="153"/>
      <c r="S622" s="153"/>
      <c r="T622" s="153"/>
      <c r="U622" s="153"/>
      <c r="V622" s="153"/>
      <c r="W622" s="153"/>
      <c r="X622" s="153"/>
      <c r="Y622" s="153"/>
      <c r="Z622" s="153"/>
      <c r="AA622" s="153"/>
      <c r="AB622" s="153"/>
      <c r="AC622" s="153"/>
      <c r="AD622" s="153"/>
      <c r="AE622" s="153"/>
      <c r="AF622" s="153"/>
      <c r="AG622" s="153"/>
      <c r="AH622" s="153"/>
      <c r="AI622" s="153"/>
      <c r="AJ622" s="153"/>
      <c r="AK622" s="153"/>
      <c r="AL622" s="153"/>
      <c r="AM622" s="153"/>
      <c r="AN622" s="154"/>
      <c r="AO622" s="155">
        <f t="shared" si="315"/>
        <v>0</v>
      </c>
      <c r="AP622" s="13"/>
      <c r="AQ622" s="156">
        <f t="shared" ref="AQ622:AQ629" si="332">+AP622*AO622</f>
        <v>0</v>
      </c>
      <c r="AR622" s="13"/>
      <c r="AS622" s="156">
        <f t="shared" ref="AS622:AS629" si="333">+AR622*AO622</f>
        <v>0</v>
      </c>
      <c r="AT622" s="157">
        <f t="shared" ref="AT622:AT629" si="334">+AR622+AP622</f>
        <v>0</v>
      </c>
      <c r="AU622" s="156">
        <f t="shared" ref="AU622:AU629" si="335">+AT622*AO622</f>
        <v>0</v>
      </c>
    </row>
    <row r="623" spans="1:47" ht="30" customHeight="1" x14ac:dyDescent="0.25">
      <c r="A623" s="76"/>
      <c r="B623" s="158" t="s">
        <v>2182</v>
      </c>
      <c r="C623" s="194" t="s">
        <v>2190</v>
      </c>
      <c r="D623" s="195"/>
      <c r="E623" s="408"/>
      <c r="F623" s="415" t="s">
        <v>1329</v>
      </c>
      <c r="G623" s="394"/>
      <c r="H623" s="394"/>
      <c r="I623" s="207" t="s">
        <v>532</v>
      </c>
      <c r="J623" s="208"/>
      <c r="K623" s="209"/>
      <c r="L623" s="209"/>
      <c r="M623" s="209"/>
      <c r="N623" s="209"/>
      <c r="O623" s="209"/>
      <c r="P623" s="209"/>
      <c r="Q623" s="209"/>
      <c r="R623" s="209"/>
      <c r="S623" s="209"/>
      <c r="T623" s="209"/>
      <c r="U623" s="209"/>
      <c r="V623" s="209"/>
      <c r="W623" s="209"/>
      <c r="X623" s="209"/>
      <c r="Y623" s="209"/>
      <c r="Z623" s="209"/>
      <c r="AA623" s="209"/>
      <c r="AB623" s="209"/>
      <c r="AC623" s="209"/>
      <c r="AD623" s="209"/>
      <c r="AE623" s="209"/>
      <c r="AF623" s="209"/>
      <c r="AG623" s="209"/>
      <c r="AH623" s="209"/>
      <c r="AI623" s="209"/>
      <c r="AJ623" s="209"/>
      <c r="AK623" s="209"/>
      <c r="AL623" s="209"/>
      <c r="AM623" s="209"/>
      <c r="AN623" s="210"/>
      <c r="AO623" s="211">
        <f t="shared" si="315"/>
        <v>0</v>
      </c>
      <c r="AP623" s="12"/>
      <c r="AQ623" s="167">
        <f t="shared" si="332"/>
        <v>0</v>
      </c>
      <c r="AR623" s="12"/>
      <c r="AS623" s="167">
        <f t="shared" si="333"/>
        <v>0</v>
      </c>
      <c r="AT623" s="168">
        <f t="shared" si="334"/>
        <v>0</v>
      </c>
      <c r="AU623" s="167">
        <f t="shared" si="335"/>
        <v>0</v>
      </c>
    </row>
    <row r="624" spans="1:47" ht="30" customHeight="1" x14ac:dyDescent="0.25">
      <c r="A624" s="76"/>
      <c r="B624" s="158" t="s">
        <v>2183</v>
      </c>
      <c r="C624" s="194" t="s">
        <v>2191</v>
      </c>
      <c r="D624" s="195"/>
      <c r="E624" s="408"/>
      <c r="F624" s="409"/>
      <c r="G624" s="394"/>
      <c r="H624" s="394"/>
      <c r="I624" s="207" t="s">
        <v>532</v>
      </c>
      <c r="J624" s="208"/>
      <c r="K624" s="209"/>
      <c r="L624" s="209"/>
      <c r="M624" s="209"/>
      <c r="N624" s="209"/>
      <c r="O624" s="209"/>
      <c r="P624" s="209"/>
      <c r="Q624" s="209"/>
      <c r="R624" s="209"/>
      <c r="S624" s="209"/>
      <c r="T624" s="209"/>
      <c r="U624" s="209"/>
      <c r="V624" s="209"/>
      <c r="W624" s="209"/>
      <c r="X624" s="209"/>
      <c r="Y624" s="209"/>
      <c r="Z624" s="209"/>
      <c r="AA624" s="209"/>
      <c r="AB624" s="209"/>
      <c r="AC624" s="209"/>
      <c r="AD624" s="209"/>
      <c r="AE624" s="209"/>
      <c r="AF624" s="209"/>
      <c r="AG624" s="209"/>
      <c r="AH624" s="209"/>
      <c r="AI624" s="209"/>
      <c r="AJ624" s="209"/>
      <c r="AK624" s="209"/>
      <c r="AL624" s="209"/>
      <c r="AM624" s="209"/>
      <c r="AN624" s="210"/>
      <c r="AO624" s="211">
        <f t="shared" si="315"/>
        <v>0</v>
      </c>
      <c r="AP624" s="12"/>
      <c r="AQ624" s="167">
        <f t="shared" si="332"/>
        <v>0</v>
      </c>
      <c r="AR624" s="12"/>
      <c r="AS624" s="167">
        <f t="shared" si="333"/>
        <v>0</v>
      </c>
      <c r="AT624" s="168">
        <f t="shared" si="334"/>
        <v>0</v>
      </c>
      <c r="AU624" s="167">
        <f t="shared" si="335"/>
        <v>0</v>
      </c>
    </row>
    <row r="625" spans="1:47" ht="30" customHeight="1" x14ac:dyDescent="0.25">
      <c r="A625" s="76"/>
      <c r="B625" s="158" t="s">
        <v>2184</v>
      </c>
      <c r="C625" s="194" t="s">
        <v>2192</v>
      </c>
      <c r="D625" s="195"/>
      <c r="E625" s="408"/>
      <c r="F625" s="409"/>
      <c r="G625" s="394"/>
      <c r="H625" s="394"/>
      <c r="I625" s="207" t="s">
        <v>532</v>
      </c>
      <c r="J625" s="208"/>
      <c r="K625" s="209"/>
      <c r="L625" s="209"/>
      <c r="M625" s="209"/>
      <c r="N625" s="209"/>
      <c r="O625" s="209"/>
      <c r="P625" s="209"/>
      <c r="Q625" s="209"/>
      <c r="R625" s="209"/>
      <c r="S625" s="209"/>
      <c r="T625" s="209"/>
      <c r="U625" s="209"/>
      <c r="V625" s="209"/>
      <c r="W625" s="209"/>
      <c r="X625" s="209"/>
      <c r="Y625" s="209"/>
      <c r="Z625" s="209"/>
      <c r="AA625" s="209"/>
      <c r="AB625" s="209"/>
      <c r="AC625" s="209"/>
      <c r="AD625" s="209"/>
      <c r="AE625" s="209"/>
      <c r="AF625" s="209"/>
      <c r="AG625" s="209"/>
      <c r="AH625" s="209"/>
      <c r="AI625" s="209"/>
      <c r="AJ625" s="209"/>
      <c r="AK625" s="209"/>
      <c r="AL625" s="209"/>
      <c r="AM625" s="209"/>
      <c r="AN625" s="210"/>
      <c r="AO625" s="211">
        <f t="shared" si="315"/>
        <v>0</v>
      </c>
      <c r="AP625" s="12"/>
      <c r="AQ625" s="167">
        <f t="shared" si="332"/>
        <v>0</v>
      </c>
      <c r="AR625" s="12"/>
      <c r="AS625" s="167">
        <f t="shared" si="333"/>
        <v>0</v>
      </c>
      <c r="AT625" s="168">
        <f t="shared" si="334"/>
        <v>0</v>
      </c>
      <c r="AU625" s="167">
        <f t="shared" si="335"/>
        <v>0</v>
      </c>
    </row>
    <row r="626" spans="1:47" ht="30" customHeight="1" x14ac:dyDescent="0.25">
      <c r="A626" s="76"/>
      <c r="B626" s="158" t="s">
        <v>2185</v>
      </c>
      <c r="C626" s="194" t="s">
        <v>2193</v>
      </c>
      <c r="D626" s="195"/>
      <c r="E626" s="408"/>
      <c r="F626" s="409"/>
      <c r="G626" s="394"/>
      <c r="H626" s="394"/>
      <c r="I626" s="207" t="s">
        <v>532</v>
      </c>
      <c r="J626" s="208"/>
      <c r="K626" s="209"/>
      <c r="L626" s="209"/>
      <c r="M626" s="209"/>
      <c r="N626" s="209"/>
      <c r="O626" s="209"/>
      <c r="P626" s="209"/>
      <c r="Q626" s="209"/>
      <c r="R626" s="209"/>
      <c r="S626" s="209"/>
      <c r="T626" s="209"/>
      <c r="U626" s="209"/>
      <c r="V626" s="209"/>
      <c r="W626" s="209"/>
      <c r="X626" s="209"/>
      <c r="Y626" s="209"/>
      <c r="Z626" s="209"/>
      <c r="AA626" s="209"/>
      <c r="AB626" s="209"/>
      <c r="AC626" s="209"/>
      <c r="AD626" s="209"/>
      <c r="AE626" s="209"/>
      <c r="AF626" s="209"/>
      <c r="AG626" s="209"/>
      <c r="AH626" s="209"/>
      <c r="AI626" s="209"/>
      <c r="AJ626" s="209"/>
      <c r="AK626" s="209"/>
      <c r="AL626" s="209"/>
      <c r="AM626" s="209"/>
      <c r="AN626" s="210"/>
      <c r="AO626" s="211">
        <f t="shared" si="315"/>
        <v>0</v>
      </c>
      <c r="AP626" s="12"/>
      <c r="AQ626" s="167">
        <f t="shared" si="332"/>
        <v>0</v>
      </c>
      <c r="AR626" s="12"/>
      <c r="AS626" s="167">
        <f t="shared" si="333"/>
        <v>0</v>
      </c>
      <c r="AT626" s="168">
        <f t="shared" si="334"/>
        <v>0</v>
      </c>
      <c r="AU626" s="167">
        <f t="shared" si="335"/>
        <v>0</v>
      </c>
    </row>
    <row r="627" spans="1:47" ht="30" customHeight="1" x14ac:dyDescent="0.25">
      <c r="A627" s="76"/>
      <c r="B627" s="158" t="s">
        <v>2186</v>
      </c>
      <c r="C627" s="194" t="s">
        <v>2194</v>
      </c>
      <c r="D627" s="195"/>
      <c r="E627" s="408"/>
      <c r="F627" s="409"/>
      <c r="G627" s="394"/>
      <c r="H627" s="394"/>
      <c r="I627" s="207" t="s">
        <v>532</v>
      </c>
      <c r="J627" s="208"/>
      <c r="K627" s="209"/>
      <c r="L627" s="209"/>
      <c r="M627" s="209"/>
      <c r="N627" s="209"/>
      <c r="O627" s="209"/>
      <c r="P627" s="209"/>
      <c r="Q627" s="209"/>
      <c r="R627" s="209"/>
      <c r="S627" s="209"/>
      <c r="T627" s="209"/>
      <c r="U627" s="209"/>
      <c r="V627" s="209"/>
      <c r="W627" s="209"/>
      <c r="X627" s="209"/>
      <c r="Y627" s="209"/>
      <c r="Z627" s="209"/>
      <c r="AA627" s="209"/>
      <c r="AB627" s="209"/>
      <c r="AC627" s="209"/>
      <c r="AD627" s="209"/>
      <c r="AE627" s="209"/>
      <c r="AF627" s="209"/>
      <c r="AG627" s="209"/>
      <c r="AH627" s="209"/>
      <c r="AI627" s="209"/>
      <c r="AJ627" s="209"/>
      <c r="AK627" s="209"/>
      <c r="AL627" s="209"/>
      <c r="AM627" s="209"/>
      <c r="AN627" s="210"/>
      <c r="AO627" s="211">
        <f t="shared" si="315"/>
        <v>0</v>
      </c>
      <c r="AP627" s="12"/>
      <c r="AQ627" s="167">
        <f t="shared" si="332"/>
        <v>0</v>
      </c>
      <c r="AR627" s="12"/>
      <c r="AS627" s="167">
        <f t="shared" si="333"/>
        <v>0</v>
      </c>
      <c r="AT627" s="168">
        <f t="shared" si="334"/>
        <v>0</v>
      </c>
      <c r="AU627" s="167">
        <f t="shared" si="335"/>
        <v>0</v>
      </c>
    </row>
    <row r="628" spans="1:47" ht="30" customHeight="1" x14ac:dyDescent="0.25">
      <c r="A628" s="76"/>
      <c r="B628" s="158" t="s">
        <v>2187</v>
      </c>
      <c r="C628" s="194" t="s">
        <v>2195</v>
      </c>
      <c r="D628" s="195"/>
      <c r="E628" s="408"/>
      <c r="F628" s="410"/>
      <c r="G628" s="394"/>
      <c r="H628" s="394"/>
      <c r="I628" s="207" t="s">
        <v>532</v>
      </c>
      <c r="J628" s="208"/>
      <c r="K628" s="209"/>
      <c r="L628" s="209"/>
      <c r="M628" s="209"/>
      <c r="N628" s="209"/>
      <c r="O628" s="209"/>
      <c r="P628" s="209"/>
      <c r="Q628" s="209"/>
      <c r="R628" s="209"/>
      <c r="S628" s="209"/>
      <c r="T628" s="209"/>
      <c r="U628" s="209"/>
      <c r="V628" s="209"/>
      <c r="W628" s="209"/>
      <c r="X628" s="209"/>
      <c r="Y628" s="209"/>
      <c r="Z628" s="209"/>
      <c r="AA628" s="209"/>
      <c r="AB628" s="209"/>
      <c r="AC628" s="209"/>
      <c r="AD628" s="209"/>
      <c r="AE628" s="209"/>
      <c r="AF628" s="209"/>
      <c r="AG628" s="209"/>
      <c r="AH628" s="209"/>
      <c r="AI628" s="209"/>
      <c r="AJ628" s="209"/>
      <c r="AK628" s="209"/>
      <c r="AL628" s="209"/>
      <c r="AM628" s="209"/>
      <c r="AN628" s="210"/>
      <c r="AO628" s="211">
        <f t="shared" si="315"/>
        <v>0</v>
      </c>
      <c r="AP628" s="12"/>
      <c r="AQ628" s="167">
        <f t="shared" si="332"/>
        <v>0</v>
      </c>
      <c r="AR628" s="12"/>
      <c r="AS628" s="167">
        <f t="shared" si="333"/>
        <v>0</v>
      </c>
      <c r="AT628" s="168">
        <f t="shared" si="334"/>
        <v>0</v>
      </c>
      <c r="AU628" s="167">
        <f t="shared" si="335"/>
        <v>0</v>
      </c>
    </row>
    <row r="629" spans="1:47" ht="30" customHeight="1" x14ac:dyDescent="0.25">
      <c r="A629" s="76"/>
      <c r="B629" s="169" t="s">
        <v>2188</v>
      </c>
      <c r="C629" s="196" t="s">
        <v>2196</v>
      </c>
      <c r="D629" s="197"/>
      <c r="E629" s="400"/>
      <c r="F629" s="172"/>
      <c r="G629" s="395"/>
      <c r="H629" s="395"/>
      <c r="I629" s="56" t="s">
        <v>532</v>
      </c>
      <c r="J629" s="212"/>
      <c r="K629" s="213"/>
      <c r="L629" s="213"/>
      <c r="M629" s="213"/>
      <c r="N629" s="213"/>
      <c r="O629" s="213"/>
      <c r="P629" s="213"/>
      <c r="Q629" s="213"/>
      <c r="R629" s="213"/>
      <c r="S629" s="213"/>
      <c r="T629" s="213"/>
      <c r="U629" s="213"/>
      <c r="V629" s="213"/>
      <c r="W629" s="213"/>
      <c r="X629" s="213"/>
      <c r="Y629" s="213"/>
      <c r="Z629" s="213"/>
      <c r="AA629" s="213"/>
      <c r="AB629" s="213"/>
      <c r="AC629" s="213"/>
      <c r="AD629" s="213"/>
      <c r="AE629" s="213"/>
      <c r="AF629" s="213"/>
      <c r="AG629" s="213"/>
      <c r="AH629" s="213"/>
      <c r="AI629" s="213"/>
      <c r="AJ629" s="213"/>
      <c r="AK629" s="213"/>
      <c r="AL629" s="213"/>
      <c r="AM629" s="213"/>
      <c r="AN629" s="214"/>
      <c r="AO629" s="57">
        <f t="shared" si="315"/>
        <v>0</v>
      </c>
      <c r="AP629" s="14"/>
      <c r="AQ629" s="178">
        <f t="shared" si="332"/>
        <v>0</v>
      </c>
      <c r="AR629" s="14"/>
      <c r="AS629" s="178">
        <f t="shared" si="333"/>
        <v>0</v>
      </c>
      <c r="AT629" s="179">
        <f t="shared" si="334"/>
        <v>0</v>
      </c>
      <c r="AU629" s="178">
        <f t="shared" si="335"/>
        <v>0</v>
      </c>
    </row>
    <row r="630" spans="1:47" ht="47.25" customHeight="1" x14ac:dyDescent="0.25">
      <c r="A630" s="76"/>
      <c r="B630" s="148" t="s">
        <v>2197</v>
      </c>
      <c r="C630" s="406" t="s">
        <v>2200</v>
      </c>
      <c r="D630" s="407"/>
      <c r="E630" s="399" t="s">
        <v>2108</v>
      </c>
      <c r="F630" s="401"/>
      <c r="G630" s="403" t="s">
        <v>1079</v>
      </c>
      <c r="H630" s="403" t="s">
        <v>1079</v>
      </c>
      <c r="I630" s="151" t="s">
        <v>532</v>
      </c>
      <c r="J630" s="152"/>
      <c r="K630" s="153"/>
      <c r="L630" s="153"/>
      <c r="M630" s="153"/>
      <c r="N630" s="153"/>
      <c r="O630" s="153"/>
      <c r="P630" s="153"/>
      <c r="Q630" s="153"/>
      <c r="R630" s="153"/>
      <c r="S630" s="153"/>
      <c r="T630" s="153"/>
      <c r="U630" s="153"/>
      <c r="V630" s="153"/>
      <c r="W630" s="153"/>
      <c r="X630" s="153"/>
      <c r="Y630" s="153"/>
      <c r="Z630" s="153"/>
      <c r="AA630" s="153"/>
      <c r="AB630" s="153"/>
      <c r="AC630" s="153"/>
      <c r="AD630" s="153"/>
      <c r="AE630" s="153"/>
      <c r="AF630" s="153"/>
      <c r="AG630" s="153"/>
      <c r="AH630" s="153"/>
      <c r="AI630" s="153"/>
      <c r="AJ630" s="153"/>
      <c r="AK630" s="153"/>
      <c r="AL630" s="153"/>
      <c r="AM630" s="153"/>
      <c r="AN630" s="154"/>
      <c r="AO630" s="155">
        <f t="shared" si="315"/>
        <v>0</v>
      </c>
      <c r="AP630" s="13"/>
      <c r="AQ630" s="156">
        <f t="shared" ref="AQ630:AQ633" si="336">+AP630*AO630</f>
        <v>0</v>
      </c>
      <c r="AR630" s="13"/>
      <c r="AS630" s="156">
        <f t="shared" ref="AS630:AS633" si="337">+AR630*AO630</f>
        <v>0</v>
      </c>
      <c r="AT630" s="157">
        <f t="shared" ref="AT630:AT633" si="338">+AR630+AP630</f>
        <v>0</v>
      </c>
      <c r="AU630" s="156">
        <f t="shared" ref="AU630:AU633" si="339">+AT630*AO630</f>
        <v>0</v>
      </c>
    </row>
    <row r="631" spans="1:47" ht="47.25" customHeight="1" x14ac:dyDescent="0.25">
      <c r="A631" s="76"/>
      <c r="B631" s="158" t="s">
        <v>2198</v>
      </c>
      <c r="C631" s="194" t="s">
        <v>1423</v>
      </c>
      <c r="D631" s="195"/>
      <c r="E631" s="408"/>
      <c r="F631" s="409"/>
      <c r="G631" s="394"/>
      <c r="H631" s="394"/>
      <c r="I631" s="207" t="s">
        <v>532</v>
      </c>
      <c r="J631" s="208"/>
      <c r="K631" s="209"/>
      <c r="L631" s="209"/>
      <c r="M631" s="209"/>
      <c r="N631" s="209"/>
      <c r="O631" s="209"/>
      <c r="P631" s="209"/>
      <c r="Q631" s="209"/>
      <c r="R631" s="209"/>
      <c r="S631" s="209"/>
      <c r="T631" s="209"/>
      <c r="U631" s="209"/>
      <c r="V631" s="209"/>
      <c r="W631" s="209"/>
      <c r="X631" s="209"/>
      <c r="Y631" s="209"/>
      <c r="Z631" s="209"/>
      <c r="AA631" s="209"/>
      <c r="AB631" s="209"/>
      <c r="AC631" s="209"/>
      <c r="AD631" s="209"/>
      <c r="AE631" s="209"/>
      <c r="AF631" s="209"/>
      <c r="AG631" s="209"/>
      <c r="AH631" s="209"/>
      <c r="AI631" s="209"/>
      <c r="AJ631" s="209"/>
      <c r="AK631" s="209"/>
      <c r="AL631" s="209"/>
      <c r="AM631" s="209"/>
      <c r="AN631" s="210"/>
      <c r="AO631" s="211">
        <f t="shared" si="315"/>
        <v>0</v>
      </c>
      <c r="AP631" s="12"/>
      <c r="AQ631" s="167">
        <f t="shared" si="336"/>
        <v>0</v>
      </c>
      <c r="AR631" s="12"/>
      <c r="AS631" s="167">
        <f t="shared" si="337"/>
        <v>0</v>
      </c>
      <c r="AT631" s="168">
        <f t="shared" si="338"/>
        <v>0</v>
      </c>
      <c r="AU631" s="167">
        <f t="shared" si="339"/>
        <v>0</v>
      </c>
    </row>
    <row r="632" spans="1:47" ht="47.25" customHeight="1" x14ac:dyDescent="0.25">
      <c r="A632" s="76"/>
      <c r="B632" s="169" t="s">
        <v>2199</v>
      </c>
      <c r="C632" s="196" t="s">
        <v>1424</v>
      </c>
      <c r="D632" s="197"/>
      <c r="E632" s="400"/>
      <c r="F632" s="402"/>
      <c r="G632" s="395"/>
      <c r="H632" s="395"/>
      <c r="I632" s="56" t="s">
        <v>532</v>
      </c>
      <c r="J632" s="212"/>
      <c r="K632" s="213"/>
      <c r="L632" s="213"/>
      <c r="M632" s="213"/>
      <c r="N632" s="213"/>
      <c r="O632" s="213"/>
      <c r="P632" s="213"/>
      <c r="Q632" s="213"/>
      <c r="R632" s="213"/>
      <c r="S632" s="213"/>
      <c r="T632" s="213"/>
      <c r="U632" s="213"/>
      <c r="V632" s="213"/>
      <c r="W632" s="213"/>
      <c r="X632" s="213"/>
      <c r="Y632" s="213"/>
      <c r="Z632" s="213"/>
      <c r="AA632" s="213"/>
      <c r="AB632" s="213"/>
      <c r="AC632" s="213"/>
      <c r="AD632" s="213"/>
      <c r="AE632" s="213"/>
      <c r="AF632" s="213"/>
      <c r="AG632" s="213"/>
      <c r="AH632" s="213"/>
      <c r="AI632" s="213"/>
      <c r="AJ632" s="213"/>
      <c r="AK632" s="213"/>
      <c r="AL632" s="213"/>
      <c r="AM632" s="213"/>
      <c r="AN632" s="214"/>
      <c r="AO632" s="57">
        <f t="shared" si="315"/>
        <v>0</v>
      </c>
      <c r="AP632" s="14"/>
      <c r="AQ632" s="178">
        <f t="shared" si="336"/>
        <v>0</v>
      </c>
      <c r="AR632" s="14"/>
      <c r="AS632" s="178">
        <f t="shared" si="337"/>
        <v>0</v>
      </c>
      <c r="AT632" s="179">
        <f t="shared" si="338"/>
        <v>0</v>
      </c>
      <c r="AU632" s="178">
        <f t="shared" si="339"/>
        <v>0</v>
      </c>
    </row>
    <row r="633" spans="1:47" ht="36.75" customHeight="1" x14ac:dyDescent="0.25">
      <c r="A633" s="76"/>
      <c r="B633" s="37" t="s">
        <v>2201</v>
      </c>
      <c r="C633" s="276" t="s">
        <v>2025</v>
      </c>
      <c r="D633" s="278"/>
      <c r="E633" s="188" t="s">
        <v>2024</v>
      </c>
      <c r="F633" s="189"/>
      <c r="G633" s="224" t="s">
        <v>1078</v>
      </c>
      <c r="H633" s="191" t="s">
        <v>1079</v>
      </c>
      <c r="I633" s="41" t="s">
        <v>393</v>
      </c>
      <c r="J633" s="136"/>
      <c r="K633" s="137"/>
      <c r="L633" s="137"/>
      <c r="M633" s="137"/>
      <c r="N633" s="137"/>
      <c r="O633" s="137"/>
      <c r="P633" s="137"/>
      <c r="Q633" s="137"/>
      <c r="R633" s="137"/>
      <c r="S633" s="137"/>
      <c r="T633" s="137"/>
      <c r="U633" s="137"/>
      <c r="V633" s="137"/>
      <c r="W633" s="137"/>
      <c r="X633" s="137"/>
      <c r="Y633" s="137"/>
      <c r="Z633" s="137"/>
      <c r="AA633" s="137"/>
      <c r="AB633" s="137"/>
      <c r="AC633" s="137"/>
      <c r="AD633" s="137"/>
      <c r="AE633" s="137"/>
      <c r="AF633" s="137"/>
      <c r="AG633" s="137"/>
      <c r="AH633" s="137"/>
      <c r="AI633" s="137"/>
      <c r="AJ633" s="137"/>
      <c r="AK633" s="137"/>
      <c r="AL633" s="137"/>
      <c r="AM633" s="137"/>
      <c r="AN633" s="138"/>
      <c r="AO633" s="42">
        <f t="shared" si="315"/>
        <v>0</v>
      </c>
      <c r="AP633" s="118"/>
      <c r="AQ633" s="43">
        <f t="shared" si="336"/>
        <v>0</v>
      </c>
      <c r="AR633" s="1"/>
      <c r="AS633" s="43">
        <f t="shared" si="337"/>
        <v>0</v>
      </c>
      <c r="AT633" s="44">
        <f t="shared" si="338"/>
        <v>0</v>
      </c>
      <c r="AU633" s="43">
        <f t="shared" si="339"/>
        <v>0</v>
      </c>
    </row>
    <row r="634" spans="1:47" ht="63" customHeight="1" x14ac:dyDescent="0.25">
      <c r="A634" s="140"/>
      <c r="B634" s="37">
        <v>19</v>
      </c>
      <c r="C634" s="270" t="s">
        <v>2202</v>
      </c>
      <c r="D634" s="271"/>
      <c r="E634" s="271"/>
      <c r="F634" s="356"/>
      <c r="G634" s="97"/>
      <c r="H634" s="84"/>
      <c r="I634" s="97"/>
      <c r="J634" s="83"/>
      <c r="K634" s="83"/>
      <c r="L634" s="83"/>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4"/>
      <c r="AP634" s="78"/>
      <c r="AQ634" s="79">
        <f>SUM(AQ635:AQ644)</f>
        <v>0</v>
      </c>
      <c r="AR634" s="78"/>
      <c r="AS634" s="79">
        <f>SUM(AS635:AS644)</f>
        <v>0</v>
      </c>
      <c r="AT634" s="78"/>
      <c r="AU634" s="79">
        <f>SUM(AU635:AU644)</f>
        <v>0</v>
      </c>
    </row>
    <row r="635" spans="1:47" ht="30" customHeight="1" x14ac:dyDescent="0.25">
      <c r="A635" s="76"/>
      <c r="B635" s="148" t="s">
        <v>2203</v>
      </c>
      <c r="C635" s="192" t="s">
        <v>2206</v>
      </c>
      <c r="D635" s="193"/>
      <c r="E635" s="399" t="s">
        <v>2047</v>
      </c>
      <c r="F635" s="401"/>
      <c r="G635" s="413" t="s">
        <v>1078</v>
      </c>
      <c r="H635" s="403" t="s">
        <v>1079</v>
      </c>
      <c r="I635" s="151" t="s">
        <v>1138</v>
      </c>
      <c r="J635" s="152">
        <v>4</v>
      </c>
      <c r="K635" s="153">
        <v>5</v>
      </c>
      <c r="L635" s="153">
        <v>29</v>
      </c>
      <c r="M635" s="153"/>
      <c r="N635" s="153"/>
      <c r="O635" s="153"/>
      <c r="P635" s="153"/>
      <c r="Q635" s="153"/>
      <c r="R635" s="153"/>
      <c r="S635" s="153"/>
      <c r="T635" s="153"/>
      <c r="U635" s="153"/>
      <c r="V635" s="153"/>
      <c r="W635" s="153"/>
      <c r="X635" s="153"/>
      <c r="Y635" s="153"/>
      <c r="Z635" s="153"/>
      <c r="AA635" s="153"/>
      <c r="AB635" s="153"/>
      <c r="AC635" s="153"/>
      <c r="AD635" s="153"/>
      <c r="AE635" s="153"/>
      <c r="AF635" s="153"/>
      <c r="AG635" s="153"/>
      <c r="AH635" s="153"/>
      <c r="AI635" s="153"/>
      <c r="AJ635" s="153"/>
      <c r="AK635" s="153"/>
      <c r="AL635" s="153"/>
      <c r="AM635" s="153"/>
      <c r="AN635" s="154"/>
      <c r="AO635" s="155">
        <f t="shared" ref="AO635:AO644" si="340">SUM(J635:AN635)</f>
        <v>38</v>
      </c>
      <c r="AP635" s="218"/>
      <c r="AQ635" s="156">
        <f t="shared" ref="AQ635:AQ637" si="341">+AP635*AO635</f>
        <v>0</v>
      </c>
      <c r="AR635" s="13"/>
      <c r="AS635" s="156">
        <f t="shared" ref="AS635:AS637" si="342">+AR635*AO635</f>
        <v>0</v>
      </c>
      <c r="AT635" s="157">
        <f t="shared" ref="AT635:AT637" si="343">+AR635+AP635</f>
        <v>0</v>
      </c>
      <c r="AU635" s="156">
        <f t="shared" ref="AU635:AU637" si="344">+AT635*AO635</f>
        <v>0</v>
      </c>
    </row>
    <row r="636" spans="1:47" ht="30" customHeight="1" x14ac:dyDescent="0.25">
      <c r="A636" s="76"/>
      <c r="B636" s="158" t="s">
        <v>2204</v>
      </c>
      <c r="C636" s="194" t="s">
        <v>2207</v>
      </c>
      <c r="D636" s="195"/>
      <c r="E636" s="408"/>
      <c r="F636" s="409"/>
      <c r="G636" s="414"/>
      <c r="H636" s="394"/>
      <c r="I636" s="207" t="s">
        <v>1138</v>
      </c>
      <c r="J636" s="208"/>
      <c r="K636" s="209"/>
      <c r="L636" s="209"/>
      <c r="M636" s="209"/>
      <c r="N636" s="209"/>
      <c r="O636" s="209"/>
      <c r="P636" s="209"/>
      <c r="Q636" s="209"/>
      <c r="R636" s="209"/>
      <c r="S636" s="209"/>
      <c r="T636" s="209"/>
      <c r="U636" s="209"/>
      <c r="V636" s="209"/>
      <c r="W636" s="209"/>
      <c r="X636" s="209"/>
      <c r="Y636" s="209"/>
      <c r="Z636" s="209"/>
      <c r="AA636" s="209"/>
      <c r="AB636" s="209"/>
      <c r="AC636" s="209"/>
      <c r="AD636" s="209"/>
      <c r="AE636" s="209"/>
      <c r="AF636" s="209"/>
      <c r="AG636" s="209"/>
      <c r="AH636" s="209"/>
      <c r="AI636" s="209"/>
      <c r="AJ636" s="209"/>
      <c r="AK636" s="209"/>
      <c r="AL636" s="209"/>
      <c r="AM636" s="209"/>
      <c r="AN636" s="210"/>
      <c r="AO636" s="211">
        <f t="shared" si="340"/>
        <v>0</v>
      </c>
      <c r="AP636" s="223"/>
      <c r="AQ636" s="167">
        <f t="shared" si="341"/>
        <v>0</v>
      </c>
      <c r="AR636" s="12"/>
      <c r="AS636" s="167">
        <f t="shared" si="342"/>
        <v>0</v>
      </c>
      <c r="AT636" s="168">
        <f t="shared" si="343"/>
        <v>0</v>
      </c>
      <c r="AU636" s="167">
        <f t="shared" si="344"/>
        <v>0</v>
      </c>
    </row>
    <row r="637" spans="1:47" ht="30" customHeight="1" x14ac:dyDescent="0.25">
      <c r="A637" s="76"/>
      <c r="B637" s="169" t="s">
        <v>2205</v>
      </c>
      <c r="C637" s="196" t="s">
        <v>2208</v>
      </c>
      <c r="D637" s="197"/>
      <c r="E637" s="400"/>
      <c r="F637" s="402"/>
      <c r="G637" s="181" t="s">
        <v>1079</v>
      </c>
      <c r="H637" s="395"/>
      <c r="I637" s="173" t="s">
        <v>1138</v>
      </c>
      <c r="J637" s="174"/>
      <c r="K637" s="175"/>
      <c r="L637" s="175">
        <v>9</v>
      </c>
      <c r="M637" s="175"/>
      <c r="N637" s="175"/>
      <c r="O637" s="175"/>
      <c r="P637" s="175"/>
      <c r="Q637" s="175"/>
      <c r="R637" s="175"/>
      <c r="S637" s="175"/>
      <c r="T637" s="175"/>
      <c r="U637" s="175"/>
      <c r="V637" s="175"/>
      <c r="W637" s="175"/>
      <c r="X637" s="175"/>
      <c r="Y637" s="175"/>
      <c r="Z637" s="175"/>
      <c r="AA637" s="175"/>
      <c r="AB637" s="175"/>
      <c r="AC637" s="175"/>
      <c r="AD637" s="175"/>
      <c r="AE637" s="175"/>
      <c r="AF637" s="175"/>
      <c r="AG637" s="175"/>
      <c r="AH637" s="175"/>
      <c r="AI637" s="175"/>
      <c r="AJ637" s="175"/>
      <c r="AK637" s="175"/>
      <c r="AL637" s="175"/>
      <c r="AM637" s="175"/>
      <c r="AN637" s="176"/>
      <c r="AO637" s="177">
        <f t="shared" si="340"/>
        <v>9</v>
      </c>
      <c r="AP637" s="14"/>
      <c r="AQ637" s="178">
        <f t="shared" si="341"/>
        <v>0</v>
      </c>
      <c r="AR637" s="14"/>
      <c r="AS637" s="178">
        <f t="shared" si="342"/>
        <v>0</v>
      </c>
      <c r="AT637" s="179">
        <f t="shared" si="343"/>
        <v>0</v>
      </c>
      <c r="AU637" s="178">
        <f t="shared" si="344"/>
        <v>0</v>
      </c>
    </row>
    <row r="638" spans="1:47" ht="30" customHeight="1" x14ac:dyDescent="0.25">
      <c r="A638" s="76"/>
      <c r="B638" s="148" t="s">
        <v>2209</v>
      </c>
      <c r="C638" s="192" t="s">
        <v>2094</v>
      </c>
      <c r="D638" s="193"/>
      <c r="E638" s="399" t="s">
        <v>2096</v>
      </c>
      <c r="F638" s="401"/>
      <c r="G638" s="403" t="s">
        <v>1079</v>
      </c>
      <c r="H638" s="403" t="s">
        <v>1079</v>
      </c>
      <c r="I638" s="151" t="s">
        <v>1138</v>
      </c>
      <c r="J638" s="152"/>
      <c r="K638" s="153"/>
      <c r="L638" s="153"/>
      <c r="M638" s="153"/>
      <c r="N638" s="153"/>
      <c r="O638" s="153"/>
      <c r="P638" s="153"/>
      <c r="Q638" s="153"/>
      <c r="R638" s="153"/>
      <c r="S638" s="153"/>
      <c r="T638" s="153"/>
      <c r="U638" s="153"/>
      <c r="V638" s="153"/>
      <c r="W638" s="153"/>
      <c r="X638" s="153"/>
      <c r="Y638" s="153"/>
      <c r="Z638" s="153"/>
      <c r="AA638" s="153"/>
      <c r="AB638" s="153"/>
      <c r="AC638" s="153"/>
      <c r="AD638" s="153"/>
      <c r="AE638" s="153"/>
      <c r="AF638" s="153"/>
      <c r="AG638" s="153"/>
      <c r="AH638" s="153"/>
      <c r="AI638" s="153"/>
      <c r="AJ638" s="153"/>
      <c r="AK638" s="153"/>
      <c r="AL638" s="153"/>
      <c r="AM638" s="153"/>
      <c r="AN638" s="154"/>
      <c r="AO638" s="155">
        <f t="shared" si="340"/>
        <v>0</v>
      </c>
      <c r="AP638" s="13"/>
      <c r="AQ638" s="156">
        <f t="shared" ref="AQ638:AQ639" si="345">+AP638*AO638</f>
        <v>0</v>
      </c>
      <c r="AR638" s="13"/>
      <c r="AS638" s="156">
        <f t="shared" ref="AS638:AS639" si="346">+AR638*AO638</f>
        <v>0</v>
      </c>
      <c r="AT638" s="157">
        <f t="shared" ref="AT638:AT639" si="347">+AR638+AP638</f>
        <v>0</v>
      </c>
      <c r="AU638" s="156">
        <f t="shared" ref="AU638:AU639" si="348">+AT638*AO638</f>
        <v>0</v>
      </c>
    </row>
    <row r="639" spans="1:47" ht="30" customHeight="1" x14ac:dyDescent="0.25">
      <c r="A639" s="76"/>
      <c r="B639" s="169" t="s">
        <v>2210</v>
      </c>
      <c r="C639" s="196" t="s">
        <v>2095</v>
      </c>
      <c r="D639" s="197"/>
      <c r="E639" s="400"/>
      <c r="F639" s="402"/>
      <c r="G639" s="395"/>
      <c r="H639" s="395"/>
      <c r="I639" s="56" t="s">
        <v>1138</v>
      </c>
      <c r="J639" s="212">
        <v>4</v>
      </c>
      <c r="K639" s="213">
        <v>5</v>
      </c>
      <c r="L639" s="213">
        <v>29</v>
      </c>
      <c r="M639" s="213"/>
      <c r="N639" s="213"/>
      <c r="O639" s="213"/>
      <c r="P639" s="213"/>
      <c r="Q639" s="213"/>
      <c r="R639" s="213"/>
      <c r="S639" s="213"/>
      <c r="T639" s="213"/>
      <c r="U639" s="213"/>
      <c r="V639" s="213"/>
      <c r="W639" s="213"/>
      <c r="X639" s="213"/>
      <c r="Y639" s="213"/>
      <c r="Z639" s="213"/>
      <c r="AA639" s="213"/>
      <c r="AB639" s="213"/>
      <c r="AC639" s="213"/>
      <c r="AD639" s="213"/>
      <c r="AE639" s="213"/>
      <c r="AF639" s="213"/>
      <c r="AG639" s="213"/>
      <c r="AH639" s="213"/>
      <c r="AI639" s="213"/>
      <c r="AJ639" s="213"/>
      <c r="AK639" s="213"/>
      <c r="AL639" s="213"/>
      <c r="AM639" s="213"/>
      <c r="AN639" s="214"/>
      <c r="AO639" s="57">
        <f t="shared" si="340"/>
        <v>38</v>
      </c>
      <c r="AP639" s="14"/>
      <c r="AQ639" s="178">
        <f t="shared" si="345"/>
        <v>0</v>
      </c>
      <c r="AR639" s="14"/>
      <c r="AS639" s="178">
        <f t="shared" si="346"/>
        <v>0</v>
      </c>
      <c r="AT639" s="179">
        <f t="shared" si="347"/>
        <v>0</v>
      </c>
      <c r="AU639" s="178">
        <f t="shared" si="348"/>
        <v>0</v>
      </c>
    </row>
    <row r="640" spans="1:47" ht="92.25" customHeight="1" x14ac:dyDescent="0.25">
      <c r="A640" s="76"/>
      <c r="B640" s="148" t="s">
        <v>2211</v>
      </c>
      <c r="C640" s="192" t="s">
        <v>2189</v>
      </c>
      <c r="D640" s="193"/>
      <c r="E640" s="399" t="s">
        <v>2134</v>
      </c>
      <c r="F640" s="225" t="s">
        <v>2097</v>
      </c>
      <c r="G640" s="403" t="s">
        <v>1079</v>
      </c>
      <c r="H640" s="403" t="s">
        <v>1079</v>
      </c>
      <c r="I640" s="151" t="s">
        <v>532</v>
      </c>
      <c r="J640" s="152">
        <v>280</v>
      </c>
      <c r="K640" s="153">
        <v>355</v>
      </c>
      <c r="L640" s="153">
        <v>1410</v>
      </c>
      <c r="M640" s="153"/>
      <c r="N640" s="153"/>
      <c r="O640" s="153"/>
      <c r="P640" s="153"/>
      <c r="Q640" s="153"/>
      <c r="R640" s="153"/>
      <c r="S640" s="153"/>
      <c r="T640" s="153"/>
      <c r="U640" s="153"/>
      <c r="V640" s="153"/>
      <c r="W640" s="153"/>
      <c r="X640" s="153"/>
      <c r="Y640" s="153"/>
      <c r="Z640" s="153"/>
      <c r="AA640" s="153"/>
      <c r="AB640" s="153"/>
      <c r="AC640" s="153"/>
      <c r="AD640" s="153"/>
      <c r="AE640" s="153"/>
      <c r="AF640" s="153"/>
      <c r="AG640" s="153"/>
      <c r="AH640" s="153"/>
      <c r="AI640" s="153"/>
      <c r="AJ640" s="153"/>
      <c r="AK640" s="153"/>
      <c r="AL640" s="153"/>
      <c r="AM640" s="153"/>
      <c r="AN640" s="154"/>
      <c r="AO640" s="155">
        <f t="shared" si="340"/>
        <v>2045</v>
      </c>
      <c r="AP640" s="13"/>
      <c r="AQ640" s="156">
        <f t="shared" ref="AQ640:AQ644" si="349">+AP640*AO640</f>
        <v>0</v>
      </c>
      <c r="AR640" s="13"/>
      <c r="AS640" s="156">
        <f t="shared" ref="AS640:AS644" si="350">+AR640*AO640</f>
        <v>0</v>
      </c>
      <c r="AT640" s="157">
        <f t="shared" ref="AT640:AT644" si="351">+AR640+AP640</f>
        <v>0</v>
      </c>
      <c r="AU640" s="156">
        <f t="shared" ref="AU640:AU644" si="352">+AT640*AO640</f>
        <v>0</v>
      </c>
    </row>
    <row r="641" spans="1:47" ht="92.25" customHeight="1" x14ac:dyDescent="0.25">
      <c r="A641" s="76"/>
      <c r="B641" s="169" t="s">
        <v>2213</v>
      </c>
      <c r="C641" s="196" t="s">
        <v>2214</v>
      </c>
      <c r="D641" s="197"/>
      <c r="E641" s="400"/>
      <c r="F641" s="226" t="s">
        <v>1214</v>
      </c>
      <c r="G641" s="395"/>
      <c r="H641" s="395"/>
      <c r="I641" s="56" t="s">
        <v>532</v>
      </c>
      <c r="J641" s="212"/>
      <c r="K641" s="213"/>
      <c r="L641" s="213"/>
      <c r="M641" s="213"/>
      <c r="N641" s="213"/>
      <c r="O641" s="213"/>
      <c r="P641" s="213"/>
      <c r="Q641" s="213"/>
      <c r="R641" s="213"/>
      <c r="S641" s="213"/>
      <c r="T641" s="213"/>
      <c r="U641" s="213"/>
      <c r="V641" s="213"/>
      <c r="W641" s="213"/>
      <c r="X641" s="213"/>
      <c r="Y641" s="213"/>
      <c r="Z641" s="213"/>
      <c r="AA641" s="213"/>
      <c r="AB641" s="213"/>
      <c r="AC641" s="213"/>
      <c r="AD641" s="213"/>
      <c r="AE641" s="213"/>
      <c r="AF641" s="213"/>
      <c r="AG641" s="213"/>
      <c r="AH641" s="213"/>
      <c r="AI641" s="213"/>
      <c r="AJ641" s="213"/>
      <c r="AK641" s="213"/>
      <c r="AL641" s="213"/>
      <c r="AM641" s="213"/>
      <c r="AN641" s="214"/>
      <c r="AO641" s="57">
        <f t="shared" si="340"/>
        <v>0</v>
      </c>
      <c r="AP641" s="14"/>
      <c r="AQ641" s="178">
        <f t="shared" si="349"/>
        <v>0</v>
      </c>
      <c r="AR641" s="14"/>
      <c r="AS641" s="178">
        <f t="shared" si="350"/>
        <v>0</v>
      </c>
      <c r="AT641" s="179">
        <f t="shared" si="351"/>
        <v>0</v>
      </c>
      <c r="AU641" s="178">
        <f t="shared" si="352"/>
        <v>0</v>
      </c>
    </row>
    <row r="642" spans="1:47" ht="52.5" customHeight="1" x14ac:dyDescent="0.25">
      <c r="A642" s="76"/>
      <c r="B642" s="148" t="s">
        <v>2215</v>
      </c>
      <c r="C642" s="406" t="s">
        <v>2200</v>
      </c>
      <c r="D642" s="407"/>
      <c r="E642" s="399" t="s">
        <v>2108</v>
      </c>
      <c r="F642" s="401"/>
      <c r="G642" s="403" t="s">
        <v>1079</v>
      </c>
      <c r="H642" s="403" t="s">
        <v>1079</v>
      </c>
      <c r="I642" s="151" t="s">
        <v>532</v>
      </c>
      <c r="J642" s="152">
        <v>10</v>
      </c>
      <c r="K642" s="153">
        <v>15</v>
      </c>
      <c r="L642" s="153">
        <v>120</v>
      </c>
      <c r="M642" s="153"/>
      <c r="N642" s="153"/>
      <c r="O642" s="153"/>
      <c r="P642" s="153"/>
      <c r="Q642" s="153"/>
      <c r="R642" s="153"/>
      <c r="S642" s="153"/>
      <c r="T642" s="153"/>
      <c r="U642" s="153"/>
      <c r="V642" s="153"/>
      <c r="W642" s="153"/>
      <c r="X642" s="153"/>
      <c r="Y642" s="153"/>
      <c r="Z642" s="153"/>
      <c r="AA642" s="153"/>
      <c r="AB642" s="153"/>
      <c r="AC642" s="153"/>
      <c r="AD642" s="153"/>
      <c r="AE642" s="153"/>
      <c r="AF642" s="153"/>
      <c r="AG642" s="153"/>
      <c r="AH642" s="153"/>
      <c r="AI642" s="153"/>
      <c r="AJ642" s="153"/>
      <c r="AK642" s="153"/>
      <c r="AL642" s="153"/>
      <c r="AM642" s="153"/>
      <c r="AN642" s="154"/>
      <c r="AO642" s="155">
        <f t="shared" si="340"/>
        <v>145</v>
      </c>
      <c r="AP642" s="13"/>
      <c r="AQ642" s="156">
        <f t="shared" si="349"/>
        <v>0</v>
      </c>
      <c r="AR642" s="13"/>
      <c r="AS642" s="156">
        <f t="shared" si="350"/>
        <v>0</v>
      </c>
      <c r="AT642" s="157">
        <f t="shared" si="351"/>
        <v>0</v>
      </c>
      <c r="AU642" s="156">
        <f t="shared" si="352"/>
        <v>0</v>
      </c>
    </row>
    <row r="643" spans="1:47" ht="39.75" customHeight="1" x14ac:dyDescent="0.25">
      <c r="A643" s="76"/>
      <c r="B643" s="158" t="s">
        <v>2212</v>
      </c>
      <c r="C643" s="194" t="s">
        <v>1423</v>
      </c>
      <c r="D643" s="195"/>
      <c r="E643" s="408"/>
      <c r="F643" s="409"/>
      <c r="G643" s="394"/>
      <c r="H643" s="394"/>
      <c r="I643" s="207" t="s">
        <v>532</v>
      </c>
      <c r="J643" s="208"/>
      <c r="K643" s="209">
        <v>5</v>
      </c>
      <c r="L643" s="209">
        <v>150</v>
      </c>
      <c r="M643" s="209"/>
      <c r="N643" s="209"/>
      <c r="O643" s="209"/>
      <c r="P643" s="209"/>
      <c r="Q643" s="209"/>
      <c r="R643" s="209"/>
      <c r="S643" s="209"/>
      <c r="T643" s="209"/>
      <c r="U643" s="209"/>
      <c r="V643" s="209"/>
      <c r="W643" s="209"/>
      <c r="X643" s="209"/>
      <c r="Y643" s="209"/>
      <c r="Z643" s="209"/>
      <c r="AA643" s="209"/>
      <c r="AB643" s="209"/>
      <c r="AC643" s="209"/>
      <c r="AD643" s="209"/>
      <c r="AE643" s="209"/>
      <c r="AF643" s="209"/>
      <c r="AG643" s="209"/>
      <c r="AH643" s="209"/>
      <c r="AI643" s="209"/>
      <c r="AJ643" s="209"/>
      <c r="AK643" s="209"/>
      <c r="AL643" s="209"/>
      <c r="AM643" s="209"/>
      <c r="AN643" s="210"/>
      <c r="AO643" s="211">
        <f t="shared" si="340"/>
        <v>155</v>
      </c>
      <c r="AP643" s="12"/>
      <c r="AQ643" s="167">
        <f t="shared" si="349"/>
        <v>0</v>
      </c>
      <c r="AR643" s="12"/>
      <c r="AS643" s="167">
        <f t="shared" si="350"/>
        <v>0</v>
      </c>
      <c r="AT643" s="168">
        <f t="shared" si="351"/>
        <v>0</v>
      </c>
      <c r="AU643" s="167">
        <f t="shared" si="352"/>
        <v>0</v>
      </c>
    </row>
    <row r="644" spans="1:47" ht="39.75" customHeight="1" thickBot="1" x14ac:dyDescent="0.3">
      <c r="A644" s="76"/>
      <c r="B644" s="169" t="s">
        <v>2216</v>
      </c>
      <c r="C644" s="196" t="s">
        <v>1424</v>
      </c>
      <c r="D644" s="197"/>
      <c r="E644" s="400"/>
      <c r="F644" s="402"/>
      <c r="G644" s="395"/>
      <c r="H644" s="395"/>
      <c r="I644" s="173" t="s">
        <v>532</v>
      </c>
      <c r="J644" s="174"/>
      <c r="K644" s="175"/>
      <c r="L644" s="175"/>
      <c r="M644" s="175"/>
      <c r="N644" s="175"/>
      <c r="O644" s="175"/>
      <c r="P644" s="175"/>
      <c r="Q644" s="175"/>
      <c r="R644" s="175"/>
      <c r="S644" s="175"/>
      <c r="T644" s="175"/>
      <c r="U644" s="175"/>
      <c r="V644" s="175"/>
      <c r="W644" s="175"/>
      <c r="X644" s="175"/>
      <c r="Y644" s="175"/>
      <c r="Z644" s="175"/>
      <c r="AA644" s="175"/>
      <c r="AB644" s="175"/>
      <c r="AC644" s="175"/>
      <c r="AD644" s="175"/>
      <c r="AE644" s="175"/>
      <c r="AF644" s="175"/>
      <c r="AG644" s="175"/>
      <c r="AH644" s="175"/>
      <c r="AI644" s="175"/>
      <c r="AJ644" s="175"/>
      <c r="AK644" s="175"/>
      <c r="AL644" s="175"/>
      <c r="AM644" s="175"/>
      <c r="AN644" s="176"/>
      <c r="AO644" s="177">
        <f t="shared" si="340"/>
        <v>0</v>
      </c>
      <c r="AP644" s="14"/>
      <c r="AQ644" s="178">
        <f t="shared" si="349"/>
        <v>0</v>
      </c>
      <c r="AR644" s="14"/>
      <c r="AS644" s="178">
        <f t="shared" si="350"/>
        <v>0</v>
      </c>
      <c r="AT644" s="179">
        <f t="shared" si="351"/>
        <v>0</v>
      </c>
      <c r="AU644" s="178">
        <f t="shared" si="352"/>
        <v>0</v>
      </c>
    </row>
    <row r="645" spans="1:47" ht="37.5" customHeight="1" thickTop="1" thickBot="1" x14ac:dyDescent="0.3">
      <c r="A645" s="53"/>
      <c r="B645" s="54"/>
      <c r="C645" s="272" t="s">
        <v>2217</v>
      </c>
      <c r="D645" s="273"/>
      <c r="E645" s="273"/>
      <c r="F645" s="273"/>
      <c r="G645" s="31"/>
      <c r="H645" s="32"/>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2"/>
      <c r="AP645" s="33"/>
      <c r="AQ645" s="34">
        <f>+AQ646+AQ668+AQ670</f>
        <v>0</v>
      </c>
      <c r="AR645" s="33"/>
      <c r="AS645" s="34">
        <f>+AS646+AS668+AS670</f>
        <v>0</v>
      </c>
      <c r="AT645" s="35"/>
      <c r="AU645" s="34">
        <f>+AU646+AU668+AU670</f>
        <v>0</v>
      </c>
    </row>
    <row r="646" spans="1:47" ht="63" customHeight="1" thickTop="1" x14ac:dyDescent="0.25">
      <c r="A646" s="140"/>
      <c r="B646" s="37">
        <v>20</v>
      </c>
      <c r="C646" s="270" t="s">
        <v>2218</v>
      </c>
      <c r="D646" s="271"/>
      <c r="E646" s="271"/>
      <c r="F646" s="356"/>
      <c r="G646" s="97"/>
      <c r="H646" s="84"/>
      <c r="I646" s="97"/>
      <c r="J646" s="83"/>
      <c r="K646" s="83"/>
      <c r="L646" s="83"/>
      <c r="M646" s="83"/>
      <c r="N646" s="83"/>
      <c r="O646" s="83"/>
      <c r="P646" s="83"/>
      <c r="Q646" s="83"/>
      <c r="R646" s="83"/>
      <c r="S646" s="83"/>
      <c r="T646" s="83"/>
      <c r="U646" s="83"/>
      <c r="V646" s="83"/>
      <c r="W646" s="83"/>
      <c r="X646" s="83"/>
      <c r="Y646" s="83"/>
      <c r="Z646" s="83"/>
      <c r="AA646" s="83"/>
      <c r="AB646" s="83"/>
      <c r="AC646" s="83"/>
      <c r="AD646" s="83"/>
      <c r="AE646" s="83"/>
      <c r="AF646" s="83"/>
      <c r="AG646" s="83"/>
      <c r="AH646" s="83"/>
      <c r="AI646" s="83"/>
      <c r="AJ646" s="83"/>
      <c r="AK646" s="83"/>
      <c r="AL646" s="83"/>
      <c r="AM646" s="83"/>
      <c r="AN646" s="83"/>
      <c r="AO646" s="84"/>
      <c r="AP646" s="78"/>
      <c r="AQ646" s="79">
        <f>SUM(AQ647:AQ667)</f>
        <v>0</v>
      </c>
      <c r="AR646" s="78"/>
      <c r="AS646" s="79">
        <f>SUM(AS647:AS667)</f>
        <v>0</v>
      </c>
      <c r="AT646" s="78"/>
      <c r="AU646" s="79">
        <f>SUM(AU647:AU667)</f>
        <v>0</v>
      </c>
    </row>
    <row r="647" spans="1:47" ht="30" customHeight="1" x14ac:dyDescent="0.25">
      <c r="A647" s="76"/>
      <c r="B647" s="148" t="s">
        <v>2219</v>
      </c>
      <c r="C647" s="192" t="s">
        <v>2226</v>
      </c>
      <c r="D647" s="193"/>
      <c r="E647" s="399" t="s">
        <v>2236</v>
      </c>
      <c r="F647" s="401" t="s">
        <v>1406</v>
      </c>
      <c r="G647" s="403" t="s">
        <v>1079</v>
      </c>
      <c r="H647" s="403" t="s">
        <v>1079</v>
      </c>
      <c r="I647" s="151" t="s">
        <v>532</v>
      </c>
      <c r="J647" s="152"/>
      <c r="K647" s="153"/>
      <c r="L647" s="153"/>
      <c r="M647" s="153"/>
      <c r="N647" s="153">
        <v>110</v>
      </c>
      <c r="O647" s="153"/>
      <c r="P647" s="153"/>
      <c r="Q647" s="153"/>
      <c r="R647" s="153"/>
      <c r="S647" s="153"/>
      <c r="T647" s="153"/>
      <c r="U647" s="153"/>
      <c r="V647" s="153"/>
      <c r="W647" s="153"/>
      <c r="X647" s="153"/>
      <c r="Y647" s="153"/>
      <c r="Z647" s="153"/>
      <c r="AA647" s="153"/>
      <c r="AB647" s="153"/>
      <c r="AC647" s="153"/>
      <c r="AD647" s="153"/>
      <c r="AE647" s="153"/>
      <c r="AF647" s="153"/>
      <c r="AG647" s="153"/>
      <c r="AH647" s="153"/>
      <c r="AI647" s="153"/>
      <c r="AJ647" s="153"/>
      <c r="AK647" s="153"/>
      <c r="AL647" s="153"/>
      <c r="AM647" s="153"/>
      <c r="AN647" s="154"/>
      <c r="AO647" s="155">
        <f t="shared" ref="AO647:AO667" si="353">SUM(J647:AN647)</f>
        <v>110</v>
      </c>
      <c r="AP647" s="13"/>
      <c r="AQ647" s="156">
        <f t="shared" ref="AQ647:AQ655" si="354">+AP647*AO647</f>
        <v>0</v>
      </c>
      <c r="AR647" s="13"/>
      <c r="AS647" s="156">
        <f t="shared" ref="AS647:AS655" si="355">+AR647*AO647</f>
        <v>0</v>
      </c>
      <c r="AT647" s="157">
        <f t="shared" ref="AT647:AT655" si="356">+AR647+AP647</f>
        <v>0</v>
      </c>
      <c r="AU647" s="156">
        <f t="shared" ref="AU647:AU655" si="357">+AT647*AO647</f>
        <v>0</v>
      </c>
    </row>
    <row r="648" spans="1:47" ht="30" customHeight="1" x14ac:dyDescent="0.25">
      <c r="A648" s="76"/>
      <c r="B648" s="158" t="s">
        <v>2220</v>
      </c>
      <c r="C648" s="227" t="s">
        <v>2227</v>
      </c>
      <c r="D648" s="228"/>
      <c r="E648" s="408"/>
      <c r="F648" s="409"/>
      <c r="G648" s="394"/>
      <c r="H648" s="394"/>
      <c r="I648" s="207" t="s">
        <v>532</v>
      </c>
      <c r="J648" s="208"/>
      <c r="K648" s="209"/>
      <c r="L648" s="209"/>
      <c r="M648" s="209"/>
      <c r="N648" s="209"/>
      <c r="O648" s="209"/>
      <c r="P648" s="209"/>
      <c r="Q648" s="209"/>
      <c r="R648" s="209"/>
      <c r="S648" s="209"/>
      <c r="T648" s="209"/>
      <c r="U648" s="209"/>
      <c r="V648" s="209"/>
      <c r="W648" s="209"/>
      <c r="X648" s="209"/>
      <c r="Y648" s="209"/>
      <c r="Z648" s="209"/>
      <c r="AA648" s="209"/>
      <c r="AB648" s="209"/>
      <c r="AC648" s="209"/>
      <c r="AD648" s="209"/>
      <c r="AE648" s="209"/>
      <c r="AF648" s="209"/>
      <c r="AG648" s="209"/>
      <c r="AH648" s="209"/>
      <c r="AI648" s="209"/>
      <c r="AJ648" s="209"/>
      <c r="AK648" s="209"/>
      <c r="AL648" s="209"/>
      <c r="AM648" s="209"/>
      <c r="AN648" s="210"/>
      <c r="AO648" s="211">
        <f t="shared" si="353"/>
        <v>0</v>
      </c>
      <c r="AP648" s="12"/>
      <c r="AQ648" s="167">
        <f t="shared" ref="AQ648:AQ651" si="358">+AP648*AO648</f>
        <v>0</v>
      </c>
      <c r="AR648" s="12"/>
      <c r="AS648" s="167">
        <f t="shared" ref="AS648:AS651" si="359">+AR648*AO648</f>
        <v>0</v>
      </c>
      <c r="AT648" s="168">
        <f t="shared" ref="AT648:AT651" si="360">+AR648+AP648</f>
        <v>0</v>
      </c>
      <c r="AU648" s="167">
        <f t="shared" ref="AU648:AU651" si="361">+AT648*AO648</f>
        <v>0</v>
      </c>
    </row>
    <row r="649" spans="1:47" ht="30" customHeight="1" x14ac:dyDescent="0.25">
      <c r="A649" s="76"/>
      <c r="B649" s="158" t="s">
        <v>2221</v>
      </c>
      <c r="C649" s="227" t="s">
        <v>2228</v>
      </c>
      <c r="D649" s="228"/>
      <c r="E649" s="408"/>
      <c r="F649" s="409"/>
      <c r="G649" s="394"/>
      <c r="H649" s="394"/>
      <c r="I649" s="207" t="s">
        <v>532</v>
      </c>
      <c r="J649" s="208"/>
      <c r="K649" s="209"/>
      <c r="L649" s="209"/>
      <c r="M649" s="209"/>
      <c r="N649" s="209">
        <v>1160</v>
      </c>
      <c r="O649" s="209"/>
      <c r="P649" s="209"/>
      <c r="Q649" s="209"/>
      <c r="R649" s="209"/>
      <c r="S649" s="209"/>
      <c r="T649" s="209"/>
      <c r="U649" s="209"/>
      <c r="V649" s="209"/>
      <c r="W649" s="209"/>
      <c r="X649" s="209"/>
      <c r="Y649" s="209"/>
      <c r="Z649" s="209"/>
      <c r="AA649" s="209"/>
      <c r="AB649" s="209"/>
      <c r="AC649" s="209"/>
      <c r="AD649" s="209"/>
      <c r="AE649" s="209"/>
      <c r="AF649" s="209"/>
      <c r="AG649" s="209"/>
      <c r="AH649" s="209"/>
      <c r="AI649" s="209"/>
      <c r="AJ649" s="209"/>
      <c r="AK649" s="209"/>
      <c r="AL649" s="209"/>
      <c r="AM649" s="209"/>
      <c r="AN649" s="210"/>
      <c r="AO649" s="211">
        <f t="shared" si="353"/>
        <v>1160</v>
      </c>
      <c r="AP649" s="12"/>
      <c r="AQ649" s="167">
        <f t="shared" si="358"/>
        <v>0</v>
      </c>
      <c r="AR649" s="12"/>
      <c r="AS649" s="167">
        <f t="shared" si="359"/>
        <v>0</v>
      </c>
      <c r="AT649" s="168">
        <f t="shared" si="360"/>
        <v>0</v>
      </c>
      <c r="AU649" s="167">
        <f t="shared" si="361"/>
        <v>0</v>
      </c>
    </row>
    <row r="650" spans="1:47" ht="30" customHeight="1" x14ac:dyDescent="0.25">
      <c r="A650" s="76"/>
      <c r="B650" s="158" t="s">
        <v>2222</v>
      </c>
      <c r="C650" s="227" t="s">
        <v>1922</v>
      </c>
      <c r="D650" s="228"/>
      <c r="E650" s="408"/>
      <c r="F650" s="409"/>
      <c r="G650" s="394"/>
      <c r="H650" s="394"/>
      <c r="I650" s="207" t="s">
        <v>532</v>
      </c>
      <c r="J650" s="208"/>
      <c r="K650" s="209"/>
      <c r="L650" s="209"/>
      <c r="M650" s="209"/>
      <c r="N650" s="209"/>
      <c r="O650" s="209"/>
      <c r="P650" s="209"/>
      <c r="Q650" s="209"/>
      <c r="R650" s="209"/>
      <c r="S650" s="209"/>
      <c r="T650" s="209"/>
      <c r="U650" s="209"/>
      <c r="V650" s="209"/>
      <c r="W650" s="209"/>
      <c r="X650" s="209"/>
      <c r="Y650" s="209"/>
      <c r="Z650" s="209"/>
      <c r="AA650" s="209"/>
      <c r="AB650" s="209"/>
      <c r="AC650" s="209"/>
      <c r="AD650" s="209"/>
      <c r="AE650" s="209"/>
      <c r="AF650" s="209"/>
      <c r="AG650" s="209"/>
      <c r="AH650" s="209"/>
      <c r="AI650" s="209"/>
      <c r="AJ650" s="209"/>
      <c r="AK650" s="209"/>
      <c r="AL650" s="209"/>
      <c r="AM650" s="209"/>
      <c r="AN650" s="210"/>
      <c r="AO650" s="211">
        <f t="shared" si="353"/>
        <v>0</v>
      </c>
      <c r="AP650" s="12"/>
      <c r="AQ650" s="167">
        <f t="shared" si="358"/>
        <v>0</v>
      </c>
      <c r="AR650" s="12"/>
      <c r="AS650" s="167">
        <f t="shared" si="359"/>
        <v>0</v>
      </c>
      <c r="AT650" s="168">
        <f t="shared" si="360"/>
        <v>0</v>
      </c>
      <c r="AU650" s="167">
        <f t="shared" si="361"/>
        <v>0</v>
      </c>
    </row>
    <row r="651" spans="1:47" ht="30" customHeight="1" x14ac:dyDescent="0.25">
      <c r="A651" s="76"/>
      <c r="B651" s="158" t="s">
        <v>2223</v>
      </c>
      <c r="C651" s="227" t="s">
        <v>2229</v>
      </c>
      <c r="D651" s="228"/>
      <c r="E651" s="408"/>
      <c r="F651" s="409"/>
      <c r="G651" s="394"/>
      <c r="H651" s="394"/>
      <c r="I651" s="207" t="s">
        <v>532</v>
      </c>
      <c r="J651" s="208"/>
      <c r="K651" s="209"/>
      <c r="L651" s="209"/>
      <c r="M651" s="209"/>
      <c r="N651" s="209"/>
      <c r="O651" s="209"/>
      <c r="P651" s="209"/>
      <c r="Q651" s="209"/>
      <c r="R651" s="209"/>
      <c r="S651" s="209"/>
      <c r="T651" s="209"/>
      <c r="U651" s="209"/>
      <c r="V651" s="209"/>
      <c r="W651" s="209"/>
      <c r="X651" s="209"/>
      <c r="Y651" s="209"/>
      <c r="Z651" s="209"/>
      <c r="AA651" s="209"/>
      <c r="AB651" s="209"/>
      <c r="AC651" s="209"/>
      <c r="AD651" s="209"/>
      <c r="AE651" s="209"/>
      <c r="AF651" s="209"/>
      <c r="AG651" s="209"/>
      <c r="AH651" s="209"/>
      <c r="AI651" s="209"/>
      <c r="AJ651" s="209"/>
      <c r="AK651" s="209"/>
      <c r="AL651" s="209"/>
      <c r="AM651" s="209"/>
      <c r="AN651" s="210"/>
      <c r="AO651" s="211">
        <f t="shared" si="353"/>
        <v>0</v>
      </c>
      <c r="AP651" s="12"/>
      <c r="AQ651" s="167">
        <f t="shared" si="358"/>
        <v>0</v>
      </c>
      <c r="AR651" s="12"/>
      <c r="AS651" s="167">
        <f t="shared" si="359"/>
        <v>0</v>
      </c>
      <c r="AT651" s="168">
        <f t="shared" si="360"/>
        <v>0</v>
      </c>
      <c r="AU651" s="167">
        <f t="shared" si="361"/>
        <v>0</v>
      </c>
    </row>
    <row r="652" spans="1:47" ht="30" customHeight="1" x14ac:dyDescent="0.25">
      <c r="A652" s="76"/>
      <c r="B652" s="158" t="s">
        <v>2224</v>
      </c>
      <c r="C652" s="194" t="s">
        <v>2230</v>
      </c>
      <c r="D652" s="195"/>
      <c r="E652" s="408"/>
      <c r="F652" s="409"/>
      <c r="G652" s="394"/>
      <c r="H652" s="394"/>
      <c r="I652" s="207" t="s">
        <v>532</v>
      </c>
      <c r="J652" s="208"/>
      <c r="K652" s="209"/>
      <c r="L652" s="209"/>
      <c r="M652" s="209"/>
      <c r="N652" s="209">
        <v>1210</v>
      </c>
      <c r="O652" s="209"/>
      <c r="P652" s="209"/>
      <c r="Q652" s="209"/>
      <c r="R652" s="209"/>
      <c r="S652" s="209"/>
      <c r="T652" s="209"/>
      <c r="U652" s="209"/>
      <c r="V652" s="209"/>
      <c r="W652" s="209"/>
      <c r="X652" s="209"/>
      <c r="Y652" s="209"/>
      <c r="Z652" s="209"/>
      <c r="AA652" s="209"/>
      <c r="AB652" s="209"/>
      <c r="AC652" s="209"/>
      <c r="AD652" s="209"/>
      <c r="AE652" s="209"/>
      <c r="AF652" s="209"/>
      <c r="AG652" s="209"/>
      <c r="AH652" s="209"/>
      <c r="AI652" s="209"/>
      <c r="AJ652" s="209"/>
      <c r="AK652" s="209"/>
      <c r="AL652" s="209"/>
      <c r="AM652" s="209"/>
      <c r="AN652" s="210"/>
      <c r="AO652" s="211">
        <f t="shared" si="353"/>
        <v>1210</v>
      </c>
      <c r="AP652" s="12"/>
      <c r="AQ652" s="167">
        <f t="shared" si="354"/>
        <v>0</v>
      </c>
      <c r="AR652" s="12"/>
      <c r="AS652" s="167">
        <f t="shared" si="355"/>
        <v>0</v>
      </c>
      <c r="AT652" s="168">
        <f t="shared" si="356"/>
        <v>0</v>
      </c>
      <c r="AU652" s="167">
        <f t="shared" si="357"/>
        <v>0</v>
      </c>
    </row>
    <row r="653" spans="1:47" ht="30" customHeight="1" x14ac:dyDescent="0.25">
      <c r="A653" s="76"/>
      <c r="B653" s="169" t="s">
        <v>2225</v>
      </c>
      <c r="C653" s="196" t="s">
        <v>2231</v>
      </c>
      <c r="D653" s="197"/>
      <c r="E653" s="400"/>
      <c r="F653" s="402"/>
      <c r="G653" s="395"/>
      <c r="H653" s="395"/>
      <c r="I653" s="173" t="s">
        <v>532</v>
      </c>
      <c r="J653" s="174"/>
      <c r="K653" s="175"/>
      <c r="L653" s="175"/>
      <c r="M653" s="175"/>
      <c r="N653" s="175"/>
      <c r="O653" s="175"/>
      <c r="P653" s="175"/>
      <c r="Q653" s="175"/>
      <c r="R653" s="175"/>
      <c r="S653" s="175"/>
      <c r="T653" s="175"/>
      <c r="U653" s="175"/>
      <c r="V653" s="175"/>
      <c r="W653" s="175"/>
      <c r="X653" s="175"/>
      <c r="Y653" s="175"/>
      <c r="Z653" s="175"/>
      <c r="AA653" s="175"/>
      <c r="AB653" s="175"/>
      <c r="AC653" s="175"/>
      <c r="AD653" s="175"/>
      <c r="AE653" s="175"/>
      <c r="AF653" s="175"/>
      <c r="AG653" s="175"/>
      <c r="AH653" s="175"/>
      <c r="AI653" s="175"/>
      <c r="AJ653" s="175"/>
      <c r="AK653" s="175"/>
      <c r="AL653" s="175"/>
      <c r="AM653" s="175"/>
      <c r="AN653" s="176"/>
      <c r="AO653" s="177">
        <f t="shared" si="353"/>
        <v>0</v>
      </c>
      <c r="AP653" s="14"/>
      <c r="AQ653" s="178">
        <f t="shared" si="354"/>
        <v>0</v>
      </c>
      <c r="AR653" s="14"/>
      <c r="AS653" s="178">
        <f t="shared" si="355"/>
        <v>0</v>
      </c>
      <c r="AT653" s="179">
        <f t="shared" si="356"/>
        <v>0</v>
      </c>
      <c r="AU653" s="178">
        <f t="shared" si="357"/>
        <v>0</v>
      </c>
    </row>
    <row r="654" spans="1:47" ht="30" customHeight="1" x14ac:dyDescent="0.25">
      <c r="A654" s="76"/>
      <c r="B654" s="148" t="s">
        <v>2232</v>
      </c>
      <c r="C654" s="192" t="s">
        <v>2233</v>
      </c>
      <c r="D654" s="193"/>
      <c r="E654" s="399" t="s">
        <v>2235</v>
      </c>
      <c r="F654" s="401"/>
      <c r="G654" s="403" t="s">
        <v>1079</v>
      </c>
      <c r="H654" s="403" t="s">
        <v>1079</v>
      </c>
      <c r="I654" s="151" t="s">
        <v>1138</v>
      </c>
      <c r="J654" s="152"/>
      <c r="K654" s="153"/>
      <c r="L654" s="153"/>
      <c r="M654" s="153"/>
      <c r="N654" s="153"/>
      <c r="O654" s="153"/>
      <c r="P654" s="153"/>
      <c r="Q654" s="153"/>
      <c r="R654" s="153"/>
      <c r="S654" s="153"/>
      <c r="T654" s="153"/>
      <c r="U654" s="153"/>
      <c r="V654" s="153"/>
      <c r="W654" s="153"/>
      <c r="X654" s="153"/>
      <c r="Y654" s="153"/>
      <c r="Z654" s="153"/>
      <c r="AA654" s="153"/>
      <c r="AB654" s="153"/>
      <c r="AC654" s="153"/>
      <c r="AD654" s="153"/>
      <c r="AE654" s="153"/>
      <c r="AF654" s="153"/>
      <c r="AG654" s="153"/>
      <c r="AH654" s="153"/>
      <c r="AI654" s="153"/>
      <c r="AJ654" s="153"/>
      <c r="AK654" s="153"/>
      <c r="AL654" s="153"/>
      <c r="AM654" s="153"/>
      <c r="AN654" s="154"/>
      <c r="AO654" s="155">
        <f t="shared" si="353"/>
        <v>0</v>
      </c>
      <c r="AP654" s="13"/>
      <c r="AQ654" s="156">
        <f t="shared" si="354"/>
        <v>0</v>
      </c>
      <c r="AR654" s="13"/>
      <c r="AS654" s="156">
        <f t="shared" si="355"/>
        <v>0</v>
      </c>
      <c r="AT654" s="157">
        <f t="shared" si="356"/>
        <v>0</v>
      </c>
      <c r="AU654" s="156">
        <f t="shared" si="357"/>
        <v>0</v>
      </c>
    </row>
    <row r="655" spans="1:47" ht="30" customHeight="1" x14ac:dyDescent="0.25">
      <c r="A655" s="76"/>
      <c r="B655" s="169" t="s">
        <v>2237</v>
      </c>
      <c r="C655" s="196" t="s">
        <v>2234</v>
      </c>
      <c r="D655" s="197"/>
      <c r="E655" s="400"/>
      <c r="F655" s="402"/>
      <c r="G655" s="395"/>
      <c r="H655" s="395"/>
      <c r="I655" s="56" t="s">
        <v>1138</v>
      </c>
      <c r="J655" s="212"/>
      <c r="K655" s="213"/>
      <c r="L655" s="213"/>
      <c r="M655" s="213"/>
      <c r="N655" s="213"/>
      <c r="O655" s="213"/>
      <c r="P655" s="213"/>
      <c r="Q655" s="213"/>
      <c r="R655" s="213"/>
      <c r="S655" s="213"/>
      <c r="T655" s="213"/>
      <c r="U655" s="213"/>
      <c r="V655" s="213"/>
      <c r="W655" s="213"/>
      <c r="X655" s="213"/>
      <c r="Y655" s="213"/>
      <c r="Z655" s="213"/>
      <c r="AA655" s="213"/>
      <c r="AB655" s="213"/>
      <c r="AC655" s="213"/>
      <c r="AD655" s="213"/>
      <c r="AE655" s="213"/>
      <c r="AF655" s="213"/>
      <c r="AG655" s="213"/>
      <c r="AH655" s="213"/>
      <c r="AI655" s="213"/>
      <c r="AJ655" s="213"/>
      <c r="AK655" s="213"/>
      <c r="AL655" s="213"/>
      <c r="AM655" s="213"/>
      <c r="AN655" s="214"/>
      <c r="AO655" s="57">
        <f t="shared" si="353"/>
        <v>0</v>
      </c>
      <c r="AP655" s="14"/>
      <c r="AQ655" s="178">
        <f t="shared" si="354"/>
        <v>0</v>
      </c>
      <c r="AR655" s="14"/>
      <c r="AS655" s="178">
        <f t="shared" si="355"/>
        <v>0</v>
      </c>
      <c r="AT655" s="179">
        <f t="shared" si="356"/>
        <v>0</v>
      </c>
      <c r="AU655" s="178">
        <f t="shared" si="357"/>
        <v>0</v>
      </c>
    </row>
    <row r="656" spans="1:47" ht="30" customHeight="1" x14ac:dyDescent="0.25">
      <c r="A656" s="76"/>
      <c r="B656" s="148" t="s">
        <v>2238</v>
      </c>
      <c r="C656" s="406" t="s">
        <v>2242</v>
      </c>
      <c r="D656" s="407"/>
      <c r="E656" s="399" t="s">
        <v>2246</v>
      </c>
      <c r="F656" s="401"/>
      <c r="G656" s="403" t="s">
        <v>1079</v>
      </c>
      <c r="H656" s="403" t="s">
        <v>1079</v>
      </c>
      <c r="I656" s="151" t="s">
        <v>393</v>
      </c>
      <c r="J656" s="152"/>
      <c r="K656" s="153"/>
      <c r="L656" s="153"/>
      <c r="M656" s="153"/>
      <c r="N656" s="153"/>
      <c r="O656" s="153"/>
      <c r="P656" s="153"/>
      <c r="Q656" s="153"/>
      <c r="R656" s="153"/>
      <c r="S656" s="153"/>
      <c r="T656" s="153"/>
      <c r="U656" s="153"/>
      <c r="V656" s="153"/>
      <c r="W656" s="153"/>
      <c r="X656" s="153"/>
      <c r="Y656" s="153"/>
      <c r="Z656" s="153"/>
      <c r="AA656" s="153"/>
      <c r="AB656" s="153"/>
      <c r="AC656" s="153"/>
      <c r="AD656" s="153"/>
      <c r="AE656" s="153"/>
      <c r="AF656" s="153"/>
      <c r="AG656" s="153"/>
      <c r="AH656" s="153"/>
      <c r="AI656" s="153"/>
      <c r="AJ656" s="153"/>
      <c r="AK656" s="153"/>
      <c r="AL656" s="153"/>
      <c r="AM656" s="153"/>
      <c r="AN656" s="154"/>
      <c r="AO656" s="155">
        <f t="shared" si="353"/>
        <v>0</v>
      </c>
      <c r="AP656" s="13"/>
      <c r="AQ656" s="156">
        <f t="shared" ref="AQ656:AQ659" si="362">+AP656*AO656</f>
        <v>0</v>
      </c>
      <c r="AR656" s="13"/>
      <c r="AS656" s="156">
        <f t="shared" ref="AS656:AS659" si="363">+AR656*AO656</f>
        <v>0</v>
      </c>
      <c r="AT656" s="157">
        <f t="shared" ref="AT656:AT659" si="364">+AR656+AP656</f>
        <v>0</v>
      </c>
      <c r="AU656" s="156">
        <f t="shared" ref="AU656:AU659" si="365">+AT656*AO656</f>
        <v>0</v>
      </c>
    </row>
    <row r="657" spans="1:47" ht="30" customHeight="1" x14ac:dyDescent="0.25">
      <c r="A657" s="76"/>
      <c r="B657" s="158" t="s">
        <v>2239</v>
      </c>
      <c r="C657" s="411" t="s">
        <v>2243</v>
      </c>
      <c r="D657" s="412"/>
      <c r="E657" s="408"/>
      <c r="F657" s="409"/>
      <c r="G657" s="394"/>
      <c r="H657" s="394"/>
      <c r="I657" s="207" t="s">
        <v>393</v>
      </c>
      <c r="J657" s="208"/>
      <c r="K657" s="209"/>
      <c r="L657" s="209"/>
      <c r="M657" s="209"/>
      <c r="N657" s="209">
        <v>16</v>
      </c>
      <c r="O657" s="209"/>
      <c r="P657" s="209"/>
      <c r="Q657" s="209"/>
      <c r="R657" s="209"/>
      <c r="S657" s="209"/>
      <c r="T657" s="209"/>
      <c r="U657" s="209"/>
      <c r="V657" s="209"/>
      <c r="W657" s="209"/>
      <c r="X657" s="209"/>
      <c r="Y657" s="209"/>
      <c r="Z657" s="209"/>
      <c r="AA657" s="209"/>
      <c r="AB657" s="209"/>
      <c r="AC657" s="209"/>
      <c r="AD657" s="209"/>
      <c r="AE657" s="209"/>
      <c r="AF657" s="209"/>
      <c r="AG657" s="209"/>
      <c r="AH657" s="209"/>
      <c r="AI657" s="209"/>
      <c r="AJ657" s="209"/>
      <c r="AK657" s="209"/>
      <c r="AL657" s="209"/>
      <c r="AM657" s="209"/>
      <c r="AN657" s="210"/>
      <c r="AO657" s="211">
        <f t="shared" si="353"/>
        <v>16</v>
      </c>
      <c r="AP657" s="12"/>
      <c r="AQ657" s="167">
        <f t="shared" si="362"/>
        <v>0</v>
      </c>
      <c r="AR657" s="12"/>
      <c r="AS657" s="167">
        <f t="shared" si="363"/>
        <v>0</v>
      </c>
      <c r="AT657" s="168">
        <f t="shared" si="364"/>
        <v>0</v>
      </c>
      <c r="AU657" s="167">
        <f t="shared" si="365"/>
        <v>0</v>
      </c>
    </row>
    <row r="658" spans="1:47" ht="30" customHeight="1" x14ac:dyDescent="0.25">
      <c r="A658" s="76"/>
      <c r="B658" s="158" t="s">
        <v>2240</v>
      </c>
      <c r="C658" s="411" t="s">
        <v>2244</v>
      </c>
      <c r="D658" s="412"/>
      <c r="E658" s="408"/>
      <c r="F658" s="409"/>
      <c r="G658" s="394"/>
      <c r="H658" s="394"/>
      <c r="I658" s="207" t="s">
        <v>393</v>
      </c>
      <c r="J658" s="208"/>
      <c r="K658" s="209"/>
      <c r="L658" s="209"/>
      <c r="M658" s="209"/>
      <c r="N658" s="209">
        <v>22</v>
      </c>
      <c r="O658" s="209"/>
      <c r="P658" s="209"/>
      <c r="Q658" s="209"/>
      <c r="R658" s="209"/>
      <c r="S658" s="209"/>
      <c r="T658" s="209"/>
      <c r="U658" s="209"/>
      <c r="V658" s="209"/>
      <c r="W658" s="209"/>
      <c r="X658" s="209"/>
      <c r="Y658" s="209"/>
      <c r="Z658" s="209"/>
      <c r="AA658" s="209"/>
      <c r="AB658" s="209"/>
      <c r="AC658" s="209"/>
      <c r="AD658" s="209"/>
      <c r="AE658" s="209"/>
      <c r="AF658" s="209"/>
      <c r="AG658" s="209"/>
      <c r="AH658" s="209"/>
      <c r="AI658" s="209"/>
      <c r="AJ658" s="209"/>
      <c r="AK658" s="209"/>
      <c r="AL658" s="209"/>
      <c r="AM658" s="209"/>
      <c r="AN658" s="210"/>
      <c r="AO658" s="211">
        <f t="shared" si="353"/>
        <v>22</v>
      </c>
      <c r="AP658" s="12"/>
      <c r="AQ658" s="167">
        <f t="shared" si="362"/>
        <v>0</v>
      </c>
      <c r="AR658" s="12"/>
      <c r="AS658" s="167">
        <f t="shared" si="363"/>
        <v>0</v>
      </c>
      <c r="AT658" s="168">
        <f t="shared" si="364"/>
        <v>0</v>
      </c>
      <c r="AU658" s="167">
        <f t="shared" si="365"/>
        <v>0</v>
      </c>
    </row>
    <row r="659" spans="1:47" ht="30" customHeight="1" x14ac:dyDescent="0.25">
      <c r="A659" s="76"/>
      <c r="B659" s="169" t="s">
        <v>2241</v>
      </c>
      <c r="C659" s="404" t="s">
        <v>2245</v>
      </c>
      <c r="D659" s="405"/>
      <c r="E659" s="400"/>
      <c r="F659" s="402"/>
      <c r="G659" s="395"/>
      <c r="H659" s="395"/>
      <c r="I659" s="56" t="s">
        <v>393</v>
      </c>
      <c r="J659" s="212"/>
      <c r="K659" s="213"/>
      <c r="L659" s="213"/>
      <c r="M659" s="213"/>
      <c r="N659" s="213"/>
      <c r="O659" s="213"/>
      <c r="P659" s="213"/>
      <c r="Q659" s="213"/>
      <c r="R659" s="213"/>
      <c r="S659" s="213"/>
      <c r="T659" s="213"/>
      <c r="U659" s="213"/>
      <c r="V659" s="213"/>
      <c r="W659" s="213"/>
      <c r="X659" s="213"/>
      <c r="Y659" s="213"/>
      <c r="Z659" s="213"/>
      <c r="AA659" s="213"/>
      <c r="AB659" s="213"/>
      <c r="AC659" s="213"/>
      <c r="AD659" s="213"/>
      <c r="AE659" s="213"/>
      <c r="AF659" s="213"/>
      <c r="AG659" s="213"/>
      <c r="AH659" s="213"/>
      <c r="AI659" s="213"/>
      <c r="AJ659" s="213"/>
      <c r="AK659" s="213"/>
      <c r="AL659" s="213"/>
      <c r="AM659" s="213"/>
      <c r="AN659" s="214"/>
      <c r="AO659" s="57">
        <f t="shared" si="353"/>
        <v>0</v>
      </c>
      <c r="AP659" s="14"/>
      <c r="AQ659" s="178">
        <f t="shared" si="362"/>
        <v>0</v>
      </c>
      <c r="AR659" s="14"/>
      <c r="AS659" s="178">
        <f t="shared" si="363"/>
        <v>0</v>
      </c>
      <c r="AT659" s="179">
        <f t="shared" si="364"/>
        <v>0</v>
      </c>
      <c r="AU659" s="178">
        <f t="shared" si="365"/>
        <v>0</v>
      </c>
    </row>
    <row r="660" spans="1:47" ht="57" customHeight="1" x14ac:dyDescent="0.25">
      <c r="A660" s="76"/>
      <c r="B660" s="148" t="s">
        <v>2247</v>
      </c>
      <c r="C660" s="406" t="s">
        <v>2251</v>
      </c>
      <c r="D660" s="407"/>
      <c r="E660" s="399" t="s">
        <v>2255</v>
      </c>
      <c r="F660" s="401"/>
      <c r="G660" s="403" t="s">
        <v>1079</v>
      </c>
      <c r="H660" s="403" t="s">
        <v>1079</v>
      </c>
      <c r="I660" s="151" t="s">
        <v>393</v>
      </c>
      <c r="J660" s="152"/>
      <c r="K660" s="153"/>
      <c r="L660" s="153"/>
      <c r="M660" s="153"/>
      <c r="N660" s="153">
        <v>20</v>
      </c>
      <c r="O660" s="153"/>
      <c r="P660" s="153"/>
      <c r="Q660" s="153"/>
      <c r="R660" s="153"/>
      <c r="S660" s="153"/>
      <c r="T660" s="153"/>
      <c r="U660" s="153"/>
      <c r="V660" s="153"/>
      <c r="W660" s="153"/>
      <c r="X660" s="153"/>
      <c r="Y660" s="153"/>
      <c r="Z660" s="153"/>
      <c r="AA660" s="153"/>
      <c r="AB660" s="153"/>
      <c r="AC660" s="153"/>
      <c r="AD660" s="153"/>
      <c r="AE660" s="153"/>
      <c r="AF660" s="153"/>
      <c r="AG660" s="153"/>
      <c r="AH660" s="153"/>
      <c r="AI660" s="153"/>
      <c r="AJ660" s="153"/>
      <c r="AK660" s="153"/>
      <c r="AL660" s="153"/>
      <c r="AM660" s="153"/>
      <c r="AN660" s="154"/>
      <c r="AO660" s="155">
        <f t="shared" si="353"/>
        <v>20</v>
      </c>
      <c r="AP660" s="13"/>
      <c r="AQ660" s="156">
        <f t="shared" ref="AQ660:AQ663" si="366">+AP660*AO660</f>
        <v>0</v>
      </c>
      <c r="AR660" s="13"/>
      <c r="AS660" s="156">
        <f t="shared" ref="AS660:AS663" si="367">+AR660*AO660</f>
        <v>0</v>
      </c>
      <c r="AT660" s="157">
        <f t="shared" ref="AT660:AT663" si="368">+AR660+AP660</f>
        <v>0</v>
      </c>
      <c r="AU660" s="156">
        <f t="shared" ref="AU660:AU663" si="369">+AT660*AO660</f>
        <v>0</v>
      </c>
    </row>
    <row r="661" spans="1:47" ht="57" customHeight="1" x14ac:dyDescent="0.25">
      <c r="A661" s="76"/>
      <c r="B661" s="158" t="s">
        <v>2248</v>
      </c>
      <c r="C661" s="411" t="s">
        <v>2252</v>
      </c>
      <c r="D661" s="412"/>
      <c r="E661" s="408"/>
      <c r="F661" s="409"/>
      <c r="G661" s="394"/>
      <c r="H661" s="394"/>
      <c r="I661" s="207" t="s">
        <v>393</v>
      </c>
      <c r="J661" s="208"/>
      <c r="K661" s="209"/>
      <c r="L661" s="209"/>
      <c r="M661" s="209"/>
      <c r="N661" s="209">
        <v>9</v>
      </c>
      <c r="O661" s="209"/>
      <c r="P661" s="209"/>
      <c r="Q661" s="209"/>
      <c r="R661" s="209"/>
      <c r="S661" s="209"/>
      <c r="T661" s="209"/>
      <c r="U661" s="209"/>
      <c r="V661" s="209"/>
      <c r="W661" s="209"/>
      <c r="X661" s="209"/>
      <c r="Y661" s="209"/>
      <c r="Z661" s="209"/>
      <c r="AA661" s="209"/>
      <c r="AB661" s="209"/>
      <c r="AC661" s="209"/>
      <c r="AD661" s="209"/>
      <c r="AE661" s="209"/>
      <c r="AF661" s="209"/>
      <c r="AG661" s="209"/>
      <c r="AH661" s="209"/>
      <c r="AI661" s="209"/>
      <c r="AJ661" s="209"/>
      <c r="AK661" s="209"/>
      <c r="AL661" s="209"/>
      <c r="AM661" s="209"/>
      <c r="AN661" s="210"/>
      <c r="AO661" s="211">
        <f t="shared" si="353"/>
        <v>9</v>
      </c>
      <c r="AP661" s="12"/>
      <c r="AQ661" s="167">
        <f t="shared" si="366"/>
        <v>0</v>
      </c>
      <c r="AR661" s="12"/>
      <c r="AS661" s="167">
        <f t="shared" si="367"/>
        <v>0</v>
      </c>
      <c r="AT661" s="168">
        <f t="shared" si="368"/>
        <v>0</v>
      </c>
      <c r="AU661" s="167">
        <f t="shared" si="369"/>
        <v>0</v>
      </c>
    </row>
    <row r="662" spans="1:47" ht="57" customHeight="1" x14ac:dyDescent="0.25">
      <c r="A662" s="76"/>
      <c r="B662" s="158" t="s">
        <v>2249</v>
      </c>
      <c r="C662" s="411" t="s">
        <v>2253</v>
      </c>
      <c r="D662" s="412"/>
      <c r="E662" s="408"/>
      <c r="F662" s="409"/>
      <c r="G662" s="394"/>
      <c r="H662" s="394"/>
      <c r="I662" s="207" t="s">
        <v>393</v>
      </c>
      <c r="J662" s="208"/>
      <c r="K662" s="209"/>
      <c r="L662" s="209"/>
      <c r="M662" s="209"/>
      <c r="N662" s="209">
        <v>5</v>
      </c>
      <c r="O662" s="209"/>
      <c r="P662" s="209"/>
      <c r="Q662" s="209"/>
      <c r="R662" s="209"/>
      <c r="S662" s="209"/>
      <c r="T662" s="209"/>
      <c r="U662" s="209"/>
      <c r="V662" s="209"/>
      <c r="W662" s="209"/>
      <c r="X662" s="209"/>
      <c r="Y662" s="209"/>
      <c r="Z662" s="209"/>
      <c r="AA662" s="209"/>
      <c r="AB662" s="209"/>
      <c r="AC662" s="209"/>
      <c r="AD662" s="209"/>
      <c r="AE662" s="209"/>
      <c r="AF662" s="209"/>
      <c r="AG662" s="209"/>
      <c r="AH662" s="209"/>
      <c r="AI662" s="209"/>
      <c r="AJ662" s="209"/>
      <c r="AK662" s="209"/>
      <c r="AL662" s="209"/>
      <c r="AM662" s="209"/>
      <c r="AN662" s="210"/>
      <c r="AO662" s="211">
        <f t="shared" si="353"/>
        <v>5</v>
      </c>
      <c r="AP662" s="12"/>
      <c r="AQ662" s="167">
        <f t="shared" si="366"/>
        <v>0</v>
      </c>
      <c r="AR662" s="12"/>
      <c r="AS662" s="167">
        <f t="shared" si="367"/>
        <v>0</v>
      </c>
      <c r="AT662" s="168">
        <f t="shared" si="368"/>
        <v>0</v>
      </c>
      <c r="AU662" s="167">
        <f t="shared" si="369"/>
        <v>0</v>
      </c>
    </row>
    <row r="663" spans="1:47" ht="57" customHeight="1" x14ac:dyDescent="0.25">
      <c r="A663" s="76"/>
      <c r="B663" s="169" t="s">
        <v>2250</v>
      </c>
      <c r="C663" s="404" t="s">
        <v>2254</v>
      </c>
      <c r="D663" s="405"/>
      <c r="E663" s="400"/>
      <c r="F663" s="402"/>
      <c r="G663" s="395"/>
      <c r="H663" s="395"/>
      <c r="I663" s="56" t="s">
        <v>393</v>
      </c>
      <c r="J663" s="212"/>
      <c r="K663" s="213"/>
      <c r="L663" s="213"/>
      <c r="M663" s="213"/>
      <c r="N663" s="213"/>
      <c r="O663" s="213"/>
      <c r="P663" s="213"/>
      <c r="Q663" s="213"/>
      <c r="R663" s="213"/>
      <c r="S663" s="213"/>
      <c r="T663" s="213"/>
      <c r="U663" s="213"/>
      <c r="V663" s="213"/>
      <c r="W663" s="213"/>
      <c r="X663" s="213"/>
      <c r="Y663" s="213"/>
      <c r="Z663" s="213"/>
      <c r="AA663" s="213"/>
      <c r="AB663" s="213"/>
      <c r="AC663" s="213"/>
      <c r="AD663" s="213"/>
      <c r="AE663" s="213"/>
      <c r="AF663" s="213"/>
      <c r="AG663" s="213"/>
      <c r="AH663" s="213"/>
      <c r="AI663" s="213"/>
      <c r="AJ663" s="213"/>
      <c r="AK663" s="213"/>
      <c r="AL663" s="213"/>
      <c r="AM663" s="213"/>
      <c r="AN663" s="214"/>
      <c r="AO663" s="57">
        <f t="shared" si="353"/>
        <v>0</v>
      </c>
      <c r="AP663" s="14"/>
      <c r="AQ663" s="178">
        <f t="shared" si="366"/>
        <v>0</v>
      </c>
      <c r="AR663" s="14"/>
      <c r="AS663" s="178">
        <f t="shared" si="367"/>
        <v>0</v>
      </c>
      <c r="AT663" s="179">
        <f t="shared" si="368"/>
        <v>0</v>
      </c>
      <c r="AU663" s="178">
        <f t="shared" si="369"/>
        <v>0</v>
      </c>
    </row>
    <row r="664" spans="1:47" ht="30" customHeight="1" x14ac:dyDescent="0.25">
      <c r="A664" s="76"/>
      <c r="B664" s="148" t="s">
        <v>2256</v>
      </c>
      <c r="C664" s="192" t="s">
        <v>2261</v>
      </c>
      <c r="D664" s="193"/>
      <c r="E664" s="399" t="s">
        <v>2260</v>
      </c>
      <c r="F664" s="401"/>
      <c r="G664" s="403" t="s">
        <v>1079</v>
      </c>
      <c r="H664" s="403" t="s">
        <v>1079</v>
      </c>
      <c r="I664" s="151" t="s">
        <v>532</v>
      </c>
      <c r="J664" s="152"/>
      <c r="K664" s="153"/>
      <c r="L664" s="153"/>
      <c r="M664" s="153"/>
      <c r="N664" s="153">
        <v>435</v>
      </c>
      <c r="O664" s="153"/>
      <c r="P664" s="153"/>
      <c r="Q664" s="153"/>
      <c r="R664" s="153"/>
      <c r="S664" s="153"/>
      <c r="T664" s="153"/>
      <c r="U664" s="153"/>
      <c r="V664" s="153"/>
      <c r="W664" s="153"/>
      <c r="X664" s="153"/>
      <c r="Y664" s="153"/>
      <c r="Z664" s="153"/>
      <c r="AA664" s="153"/>
      <c r="AB664" s="153"/>
      <c r="AC664" s="153"/>
      <c r="AD664" s="153"/>
      <c r="AE664" s="153"/>
      <c r="AF664" s="153"/>
      <c r="AG664" s="153"/>
      <c r="AH664" s="153"/>
      <c r="AI664" s="153"/>
      <c r="AJ664" s="153"/>
      <c r="AK664" s="153"/>
      <c r="AL664" s="153"/>
      <c r="AM664" s="153"/>
      <c r="AN664" s="154"/>
      <c r="AO664" s="155">
        <f t="shared" si="353"/>
        <v>435</v>
      </c>
      <c r="AP664" s="13"/>
      <c r="AQ664" s="156">
        <f t="shared" ref="AQ664:AQ667" si="370">+AP664*AO664</f>
        <v>0</v>
      </c>
      <c r="AR664" s="13"/>
      <c r="AS664" s="156">
        <f t="shared" ref="AS664:AS667" si="371">+AR664*AO664</f>
        <v>0</v>
      </c>
      <c r="AT664" s="157">
        <f t="shared" ref="AT664:AT667" si="372">+AR664+AP664</f>
        <v>0</v>
      </c>
      <c r="AU664" s="156">
        <f t="shared" ref="AU664:AU667" si="373">+AT664*AO664</f>
        <v>0</v>
      </c>
    </row>
    <row r="665" spans="1:47" ht="30" customHeight="1" x14ac:dyDescent="0.25">
      <c r="A665" s="76"/>
      <c r="B665" s="158" t="s">
        <v>2257</v>
      </c>
      <c r="C665" s="194" t="s">
        <v>2262</v>
      </c>
      <c r="D665" s="195"/>
      <c r="E665" s="408"/>
      <c r="F665" s="409"/>
      <c r="G665" s="394"/>
      <c r="H665" s="394"/>
      <c r="I665" s="207" t="s">
        <v>532</v>
      </c>
      <c r="J665" s="208"/>
      <c r="K665" s="209"/>
      <c r="L665" s="209"/>
      <c r="M665" s="209"/>
      <c r="N665" s="209"/>
      <c r="O665" s="209"/>
      <c r="P665" s="209"/>
      <c r="Q665" s="209"/>
      <c r="R665" s="209"/>
      <c r="S665" s="209"/>
      <c r="T665" s="209"/>
      <c r="U665" s="209"/>
      <c r="V665" s="209"/>
      <c r="W665" s="209"/>
      <c r="X665" s="209"/>
      <c r="Y665" s="209"/>
      <c r="Z665" s="209"/>
      <c r="AA665" s="209"/>
      <c r="AB665" s="209"/>
      <c r="AC665" s="209"/>
      <c r="AD665" s="209"/>
      <c r="AE665" s="209"/>
      <c r="AF665" s="209"/>
      <c r="AG665" s="209"/>
      <c r="AH665" s="209"/>
      <c r="AI665" s="209"/>
      <c r="AJ665" s="209"/>
      <c r="AK665" s="209"/>
      <c r="AL665" s="209"/>
      <c r="AM665" s="209"/>
      <c r="AN665" s="210"/>
      <c r="AO665" s="211">
        <f t="shared" si="353"/>
        <v>0</v>
      </c>
      <c r="AP665" s="12"/>
      <c r="AQ665" s="167">
        <f t="shared" si="370"/>
        <v>0</v>
      </c>
      <c r="AR665" s="12"/>
      <c r="AS665" s="167">
        <f t="shared" si="371"/>
        <v>0</v>
      </c>
      <c r="AT665" s="168">
        <f t="shared" si="372"/>
        <v>0</v>
      </c>
      <c r="AU665" s="167">
        <f t="shared" si="373"/>
        <v>0</v>
      </c>
    </row>
    <row r="666" spans="1:47" ht="30" customHeight="1" x14ac:dyDescent="0.25">
      <c r="A666" s="76"/>
      <c r="B666" s="158" t="s">
        <v>2258</v>
      </c>
      <c r="C666" s="194" t="s">
        <v>2263</v>
      </c>
      <c r="D666" s="195"/>
      <c r="E666" s="408"/>
      <c r="F666" s="409"/>
      <c r="G666" s="394"/>
      <c r="H666" s="394"/>
      <c r="I666" s="207" t="s">
        <v>532</v>
      </c>
      <c r="J666" s="208"/>
      <c r="K666" s="209"/>
      <c r="L666" s="209"/>
      <c r="M666" s="209"/>
      <c r="N666" s="209">
        <v>430</v>
      </c>
      <c r="O666" s="209"/>
      <c r="P666" s="209"/>
      <c r="Q666" s="209"/>
      <c r="R666" s="209"/>
      <c r="S666" s="209"/>
      <c r="T666" s="209"/>
      <c r="U666" s="209"/>
      <c r="V666" s="209"/>
      <c r="W666" s="209"/>
      <c r="X666" s="209"/>
      <c r="Y666" s="209"/>
      <c r="Z666" s="209"/>
      <c r="AA666" s="209"/>
      <c r="AB666" s="209"/>
      <c r="AC666" s="209"/>
      <c r="AD666" s="209"/>
      <c r="AE666" s="209"/>
      <c r="AF666" s="209"/>
      <c r="AG666" s="209"/>
      <c r="AH666" s="209"/>
      <c r="AI666" s="209"/>
      <c r="AJ666" s="209"/>
      <c r="AK666" s="209"/>
      <c r="AL666" s="209"/>
      <c r="AM666" s="209"/>
      <c r="AN666" s="210"/>
      <c r="AO666" s="211">
        <f t="shared" si="353"/>
        <v>430</v>
      </c>
      <c r="AP666" s="12"/>
      <c r="AQ666" s="167">
        <f t="shared" si="370"/>
        <v>0</v>
      </c>
      <c r="AR666" s="12"/>
      <c r="AS666" s="167">
        <f t="shared" si="371"/>
        <v>0</v>
      </c>
      <c r="AT666" s="168">
        <f t="shared" si="372"/>
        <v>0</v>
      </c>
      <c r="AU666" s="167">
        <f t="shared" si="373"/>
        <v>0</v>
      </c>
    </row>
    <row r="667" spans="1:47" ht="30" customHeight="1" x14ac:dyDescent="0.25">
      <c r="A667" s="76"/>
      <c r="B667" s="169" t="s">
        <v>2259</v>
      </c>
      <c r="C667" s="196" t="s">
        <v>2264</v>
      </c>
      <c r="D667" s="197"/>
      <c r="E667" s="400"/>
      <c r="F667" s="402"/>
      <c r="G667" s="395"/>
      <c r="H667" s="395"/>
      <c r="I667" s="56" t="s">
        <v>532</v>
      </c>
      <c r="J667" s="212"/>
      <c r="K667" s="213"/>
      <c r="L667" s="213"/>
      <c r="M667" s="213"/>
      <c r="N667" s="213">
        <v>90</v>
      </c>
      <c r="O667" s="213"/>
      <c r="P667" s="213"/>
      <c r="Q667" s="213"/>
      <c r="R667" s="213"/>
      <c r="S667" s="213"/>
      <c r="T667" s="213"/>
      <c r="U667" s="213"/>
      <c r="V667" s="213"/>
      <c r="W667" s="213"/>
      <c r="X667" s="213"/>
      <c r="Y667" s="213"/>
      <c r="Z667" s="213"/>
      <c r="AA667" s="213"/>
      <c r="AB667" s="213"/>
      <c r="AC667" s="213"/>
      <c r="AD667" s="213"/>
      <c r="AE667" s="213"/>
      <c r="AF667" s="213"/>
      <c r="AG667" s="213"/>
      <c r="AH667" s="213"/>
      <c r="AI667" s="213"/>
      <c r="AJ667" s="213"/>
      <c r="AK667" s="213"/>
      <c r="AL667" s="213"/>
      <c r="AM667" s="213"/>
      <c r="AN667" s="214"/>
      <c r="AO667" s="57">
        <f t="shared" si="353"/>
        <v>90</v>
      </c>
      <c r="AP667" s="14"/>
      <c r="AQ667" s="178">
        <f t="shared" si="370"/>
        <v>0</v>
      </c>
      <c r="AR667" s="14"/>
      <c r="AS667" s="178">
        <f t="shared" si="371"/>
        <v>0</v>
      </c>
      <c r="AT667" s="179">
        <f t="shared" si="372"/>
        <v>0</v>
      </c>
      <c r="AU667" s="178">
        <f t="shared" si="373"/>
        <v>0</v>
      </c>
    </row>
    <row r="668" spans="1:47" ht="122.25" customHeight="1" x14ac:dyDescent="0.25">
      <c r="A668" s="140"/>
      <c r="B668" s="37">
        <v>21</v>
      </c>
      <c r="C668" s="270" t="s">
        <v>2265</v>
      </c>
      <c r="D668" s="271"/>
      <c r="E668" s="271"/>
      <c r="F668" s="356"/>
      <c r="G668" s="97"/>
      <c r="H668" s="84"/>
      <c r="I668" s="97"/>
      <c r="J668" s="83"/>
      <c r="K668" s="83"/>
      <c r="L668" s="83"/>
      <c r="M668" s="83"/>
      <c r="N668" s="83"/>
      <c r="O668" s="83"/>
      <c r="P668" s="83"/>
      <c r="Q668" s="83"/>
      <c r="R668" s="83"/>
      <c r="S668" s="83"/>
      <c r="T668" s="83"/>
      <c r="U668" s="83"/>
      <c r="V668" s="83"/>
      <c r="W668" s="83"/>
      <c r="X668" s="83"/>
      <c r="Y668" s="83"/>
      <c r="Z668" s="83"/>
      <c r="AA668" s="83"/>
      <c r="AB668" s="83"/>
      <c r="AC668" s="83"/>
      <c r="AD668" s="83"/>
      <c r="AE668" s="83"/>
      <c r="AF668" s="83"/>
      <c r="AG668" s="83"/>
      <c r="AH668" s="83"/>
      <c r="AI668" s="83"/>
      <c r="AJ668" s="83"/>
      <c r="AK668" s="83"/>
      <c r="AL668" s="83"/>
      <c r="AM668" s="83"/>
      <c r="AN668" s="83"/>
      <c r="AO668" s="84"/>
      <c r="AP668" s="78"/>
      <c r="AQ668" s="79">
        <f>SUM(AQ669)</f>
        <v>0</v>
      </c>
      <c r="AR668" s="78"/>
      <c r="AS668" s="79">
        <f>SUM(AS669)</f>
        <v>0</v>
      </c>
      <c r="AT668" s="78"/>
      <c r="AU668" s="79">
        <f>SUM(AU669)</f>
        <v>0</v>
      </c>
    </row>
    <row r="669" spans="1:47" ht="48" customHeight="1" x14ac:dyDescent="0.25">
      <c r="A669" s="76"/>
      <c r="B669" s="37" t="s">
        <v>2267</v>
      </c>
      <c r="C669" s="276" t="s">
        <v>2266</v>
      </c>
      <c r="D669" s="278"/>
      <c r="E669" s="188"/>
      <c r="F669" s="189" t="s">
        <v>2268</v>
      </c>
      <c r="G669" s="191" t="s">
        <v>1079</v>
      </c>
      <c r="H669" s="191" t="s">
        <v>1079</v>
      </c>
      <c r="I669" s="41" t="s">
        <v>393</v>
      </c>
      <c r="J669" s="136">
        <v>1</v>
      </c>
      <c r="K669" s="137">
        <v>1</v>
      </c>
      <c r="L669" s="137">
        <v>1</v>
      </c>
      <c r="M669" s="137"/>
      <c r="N669" s="137"/>
      <c r="O669" s="137"/>
      <c r="P669" s="137"/>
      <c r="Q669" s="137"/>
      <c r="R669" s="137"/>
      <c r="S669" s="137"/>
      <c r="T669" s="137"/>
      <c r="U669" s="137"/>
      <c r="V669" s="137"/>
      <c r="W669" s="137"/>
      <c r="X669" s="137"/>
      <c r="Y669" s="137"/>
      <c r="Z669" s="137"/>
      <c r="AA669" s="137"/>
      <c r="AB669" s="137"/>
      <c r="AC669" s="137"/>
      <c r="AD669" s="137"/>
      <c r="AE669" s="137"/>
      <c r="AF669" s="137"/>
      <c r="AG669" s="137"/>
      <c r="AH669" s="137"/>
      <c r="AI669" s="137"/>
      <c r="AJ669" s="137"/>
      <c r="AK669" s="137"/>
      <c r="AL669" s="137"/>
      <c r="AM669" s="137"/>
      <c r="AN669" s="138"/>
      <c r="AO669" s="42">
        <f t="shared" ref="AO669" si="374">SUM(J669:AN669)</f>
        <v>3</v>
      </c>
      <c r="AP669" s="1"/>
      <c r="AQ669" s="43">
        <f t="shared" ref="AQ669" si="375">+AP669*AO669</f>
        <v>0</v>
      </c>
      <c r="AR669" s="1"/>
      <c r="AS669" s="43">
        <f t="shared" ref="AS669" si="376">+AR669*AO669</f>
        <v>0</v>
      </c>
      <c r="AT669" s="44">
        <f t="shared" ref="AT669" si="377">+AR669+AP669</f>
        <v>0</v>
      </c>
      <c r="AU669" s="43">
        <f t="shared" ref="AU669" si="378">+AT669*AO669</f>
        <v>0</v>
      </c>
    </row>
    <row r="670" spans="1:47" ht="82.5" customHeight="1" x14ac:dyDescent="0.25">
      <c r="A670" s="140"/>
      <c r="B670" s="37">
        <v>22</v>
      </c>
      <c r="C670" s="270" t="s">
        <v>2269</v>
      </c>
      <c r="D670" s="271"/>
      <c r="E670" s="271"/>
      <c r="F670" s="356"/>
      <c r="G670" s="97"/>
      <c r="H670" s="84"/>
      <c r="I670" s="97"/>
      <c r="J670" s="83"/>
      <c r="K670" s="83"/>
      <c r="L670" s="83"/>
      <c r="M670" s="83"/>
      <c r="N670" s="83"/>
      <c r="O670" s="83"/>
      <c r="P670" s="83"/>
      <c r="Q670" s="83"/>
      <c r="R670" s="83"/>
      <c r="S670" s="83"/>
      <c r="T670" s="83"/>
      <c r="U670" s="83"/>
      <c r="V670" s="83"/>
      <c r="W670" s="83"/>
      <c r="X670" s="83"/>
      <c r="Y670" s="83"/>
      <c r="Z670" s="83"/>
      <c r="AA670" s="83"/>
      <c r="AB670" s="83"/>
      <c r="AC670" s="83"/>
      <c r="AD670" s="83"/>
      <c r="AE670" s="83"/>
      <c r="AF670" s="83"/>
      <c r="AG670" s="83"/>
      <c r="AH670" s="83"/>
      <c r="AI670" s="83"/>
      <c r="AJ670" s="83"/>
      <c r="AK670" s="83"/>
      <c r="AL670" s="83"/>
      <c r="AM670" s="83"/>
      <c r="AN670" s="83"/>
      <c r="AO670" s="84"/>
      <c r="AP670" s="78"/>
      <c r="AQ670" s="79">
        <f>SUM(AQ671:AQ677)</f>
        <v>0</v>
      </c>
      <c r="AR670" s="78"/>
      <c r="AS670" s="79">
        <f>SUM(AS671:AS677)</f>
        <v>0</v>
      </c>
      <c r="AT670" s="78"/>
      <c r="AU670" s="79">
        <f>SUM(AU671:AU677)</f>
        <v>0</v>
      </c>
    </row>
    <row r="671" spans="1:47" ht="60.75" customHeight="1" x14ac:dyDescent="0.25">
      <c r="A671" s="76"/>
      <c r="B671" s="37" t="s">
        <v>2270</v>
      </c>
      <c r="C671" s="276" t="s">
        <v>2271</v>
      </c>
      <c r="D671" s="278"/>
      <c r="E671" s="188" t="s">
        <v>2273</v>
      </c>
      <c r="F671" s="189" t="s">
        <v>2272</v>
      </c>
      <c r="G671" s="191" t="s">
        <v>1079</v>
      </c>
      <c r="H671" s="191" t="s">
        <v>1079</v>
      </c>
      <c r="I671" s="41" t="s">
        <v>393</v>
      </c>
      <c r="J671" s="136"/>
      <c r="K671" s="137">
        <v>1</v>
      </c>
      <c r="L671" s="137"/>
      <c r="M671" s="137"/>
      <c r="N671" s="137"/>
      <c r="O671" s="137"/>
      <c r="P671" s="137"/>
      <c r="Q671" s="137"/>
      <c r="R671" s="137"/>
      <c r="S671" s="137"/>
      <c r="T671" s="137"/>
      <c r="U671" s="137"/>
      <c r="V671" s="137"/>
      <c r="W671" s="137"/>
      <c r="X671" s="137"/>
      <c r="Y671" s="137"/>
      <c r="Z671" s="137"/>
      <c r="AA671" s="137"/>
      <c r="AB671" s="137"/>
      <c r="AC671" s="137"/>
      <c r="AD671" s="137"/>
      <c r="AE671" s="137"/>
      <c r="AF671" s="137"/>
      <c r="AG671" s="137"/>
      <c r="AH671" s="137"/>
      <c r="AI671" s="137"/>
      <c r="AJ671" s="137"/>
      <c r="AK671" s="137"/>
      <c r="AL671" s="137"/>
      <c r="AM671" s="137"/>
      <c r="AN671" s="138"/>
      <c r="AO671" s="42">
        <f t="shared" ref="AO671:AO677" si="379">SUM(J671:AN671)</f>
        <v>1</v>
      </c>
      <c r="AP671" s="1"/>
      <c r="AQ671" s="43">
        <f t="shared" ref="AQ671" si="380">+AP671*AO671</f>
        <v>0</v>
      </c>
      <c r="AR671" s="1"/>
      <c r="AS671" s="43">
        <f t="shared" ref="AS671" si="381">+AR671*AO671</f>
        <v>0</v>
      </c>
      <c r="AT671" s="44">
        <f t="shared" ref="AT671" si="382">+AR671+AP671</f>
        <v>0</v>
      </c>
      <c r="AU671" s="43">
        <f t="shared" ref="AU671" si="383">+AT671*AO671</f>
        <v>0</v>
      </c>
    </row>
    <row r="672" spans="1:47" ht="47.25" customHeight="1" x14ac:dyDescent="0.25">
      <c r="A672" s="76"/>
      <c r="B672" s="148" t="s">
        <v>2279</v>
      </c>
      <c r="C672" s="406" t="s">
        <v>2274</v>
      </c>
      <c r="D672" s="407"/>
      <c r="E672" s="399" t="s">
        <v>2278</v>
      </c>
      <c r="F672" s="401" t="s">
        <v>2272</v>
      </c>
      <c r="G672" s="403" t="s">
        <v>1079</v>
      </c>
      <c r="H672" s="403" t="s">
        <v>1079</v>
      </c>
      <c r="I672" s="151" t="s">
        <v>393</v>
      </c>
      <c r="J672" s="152"/>
      <c r="K672" s="153"/>
      <c r="L672" s="153"/>
      <c r="M672" s="153"/>
      <c r="N672" s="153">
        <v>1</v>
      </c>
      <c r="O672" s="153"/>
      <c r="P672" s="153"/>
      <c r="Q672" s="153"/>
      <c r="R672" s="153"/>
      <c r="S672" s="153"/>
      <c r="T672" s="153"/>
      <c r="U672" s="153"/>
      <c r="V672" s="153"/>
      <c r="W672" s="153"/>
      <c r="X672" s="153"/>
      <c r="Y672" s="153"/>
      <c r="Z672" s="153"/>
      <c r="AA672" s="153"/>
      <c r="AB672" s="153"/>
      <c r="AC672" s="153"/>
      <c r="AD672" s="153"/>
      <c r="AE672" s="153"/>
      <c r="AF672" s="153"/>
      <c r="AG672" s="153"/>
      <c r="AH672" s="153"/>
      <c r="AI672" s="153"/>
      <c r="AJ672" s="153"/>
      <c r="AK672" s="153"/>
      <c r="AL672" s="153"/>
      <c r="AM672" s="153"/>
      <c r="AN672" s="154"/>
      <c r="AO672" s="155">
        <f t="shared" si="379"/>
        <v>1</v>
      </c>
      <c r="AP672" s="13"/>
      <c r="AQ672" s="156">
        <f t="shared" ref="AQ672:AQ677" si="384">+AP672*AO672</f>
        <v>0</v>
      </c>
      <c r="AR672" s="13"/>
      <c r="AS672" s="156">
        <f t="shared" ref="AS672:AS677" si="385">+AR672*AO672</f>
        <v>0</v>
      </c>
      <c r="AT672" s="157">
        <f t="shared" ref="AT672:AT677" si="386">+AR672+AP672</f>
        <v>0</v>
      </c>
      <c r="AU672" s="156">
        <f t="shared" ref="AU672:AU677" si="387">+AT672*AO672</f>
        <v>0</v>
      </c>
    </row>
    <row r="673" spans="1:47" ht="30" customHeight="1" x14ac:dyDescent="0.25">
      <c r="A673" s="76"/>
      <c r="B673" s="158" t="s">
        <v>2280</v>
      </c>
      <c r="C673" s="411" t="s">
        <v>2275</v>
      </c>
      <c r="D673" s="412"/>
      <c r="E673" s="408"/>
      <c r="F673" s="409"/>
      <c r="G673" s="394"/>
      <c r="H673" s="394"/>
      <c r="I673" s="207" t="s">
        <v>393</v>
      </c>
      <c r="J673" s="208"/>
      <c r="K673" s="209">
        <v>1</v>
      </c>
      <c r="L673" s="209"/>
      <c r="M673" s="209"/>
      <c r="N673" s="209"/>
      <c r="O673" s="209"/>
      <c r="P673" s="209"/>
      <c r="Q673" s="209"/>
      <c r="R673" s="209"/>
      <c r="S673" s="209"/>
      <c r="T673" s="209"/>
      <c r="U673" s="209"/>
      <c r="V673" s="209"/>
      <c r="W673" s="209"/>
      <c r="X673" s="209"/>
      <c r="Y673" s="209"/>
      <c r="Z673" s="209"/>
      <c r="AA673" s="209"/>
      <c r="AB673" s="209"/>
      <c r="AC673" s="209"/>
      <c r="AD673" s="209"/>
      <c r="AE673" s="209"/>
      <c r="AF673" s="209"/>
      <c r="AG673" s="209"/>
      <c r="AH673" s="209"/>
      <c r="AI673" s="209"/>
      <c r="AJ673" s="209"/>
      <c r="AK673" s="209"/>
      <c r="AL673" s="209"/>
      <c r="AM673" s="209"/>
      <c r="AN673" s="210"/>
      <c r="AO673" s="211">
        <f t="shared" si="379"/>
        <v>1</v>
      </c>
      <c r="AP673" s="12"/>
      <c r="AQ673" s="167">
        <f t="shared" si="384"/>
        <v>0</v>
      </c>
      <c r="AR673" s="12"/>
      <c r="AS673" s="167">
        <f t="shared" si="385"/>
        <v>0</v>
      </c>
      <c r="AT673" s="168">
        <f t="shared" si="386"/>
        <v>0</v>
      </c>
      <c r="AU673" s="167">
        <f t="shared" si="387"/>
        <v>0</v>
      </c>
    </row>
    <row r="674" spans="1:47" ht="30" customHeight="1" x14ac:dyDescent="0.25">
      <c r="A674" s="76"/>
      <c r="B674" s="158" t="s">
        <v>2281</v>
      </c>
      <c r="C674" s="411" t="s">
        <v>2276</v>
      </c>
      <c r="D674" s="412"/>
      <c r="E674" s="408"/>
      <c r="F674" s="410"/>
      <c r="G674" s="394"/>
      <c r="H674" s="394"/>
      <c r="I674" s="207" t="s">
        <v>393</v>
      </c>
      <c r="J674" s="208"/>
      <c r="K674" s="209">
        <v>1</v>
      </c>
      <c r="L674" s="209"/>
      <c r="M674" s="209"/>
      <c r="N674" s="209"/>
      <c r="O674" s="209"/>
      <c r="P674" s="209"/>
      <c r="Q674" s="209"/>
      <c r="R674" s="209"/>
      <c r="S674" s="209"/>
      <c r="T674" s="209"/>
      <c r="U674" s="209"/>
      <c r="V674" s="209"/>
      <c r="W674" s="209"/>
      <c r="X674" s="209"/>
      <c r="Y674" s="209"/>
      <c r="Z674" s="209"/>
      <c r="AA674" s="209"/>
      <c r="AB674" s="209"/>
      <c r="AC674" s="209"/>
      <c r="AD674" s="209"/>
      <c r="AE674" s="209"/>
      <c r="AF674" s="209"/>
      <c r="AG674" s="209"/>
      <c r="AH674" s="209"/>
      <c r="AI674" s="209"/>
      <c r="AJ674" s="209"/>
      <c r="AK674" s="209"/>
      <c r="AL674" s="209"/>
      <c r="AM674" s="209"/>
      <c r="AN674" s="210"/>
      <c r="AO674" s="211">
        <f t="shared" si="379"/>
        <v>1</v>
      </c>
      <c r="AP674" s="12"/>
      <c r="AQ674" s="167">
        <f t="shared" si="384"/>
        <v>0</v>
      </c>
      <c r="AR674" s="12"/>
      <c r="AS674" s="167">
        <f t="shared" si="385"/>
        <v>0</v>
      </c>
      <c r="AT674" s="168">
        <f t="shared" si="386"/>
        <v>0</v>
      </c>
      <c r="AU674" s="167">
        <f t="shared" si="387"/>
        <v>0</v>
      </c>
    </row>
    <row r="675" spans="1:47" ht="30" customHeight="1" x14ac:dyDescent="0.25">
      <c r="A675" s="76"/>
      <c r="B675" s="169" t="s">
        <v>2282</v>
      </c>
      <c r="C675" s="404" t="s">
        <v>2277</v>
      </c>
      <c r="D675" s="405"/>
      <c r="E675" s="400"/>
      <c r="F675" s="215"/>
      <c r="G675" s="395"/>
      <c r="H675" s="395"/>
      <c r="I675" s="56" t="s">
        <v>393</v>
      </c>
      <c r="J675" s="212"/>
      <c r="K675" s="213"/>
      <c r="L675" s="213">
        <v>2</v>
      </c>
      <c r="M675" s="213"/>
      <c r="N675" s="213"/>
      <c r="O675" s="213"/>
      <c r="P675" s="213"/>
      <c r="Q675" s="213"/>
      <c r="R675" s="213"/>
      <c r="S675" s="213"/>
      <c r="T675" s="213"/>
      <c r="U675" s="213"/>
      <c r="V675" s="213"/>
      <c r="W675" s="213"/>
      <c r="X675" s="213"/>
      <c r="Y675" s="213"/>
      <c r="Z675" s="213"/>
      <c r="AA675" s="213"/>
      <c r="AB675" s="213"/>
      <c r="AC675" s="213"/>
      <c r="AD675" s="213"/>
      <c r="AE675" s="213"/>
      <c r="AF675" s="213"/>
      <c r="AG675" s="213"/>
      <c r="AH675" s="213"/>
      <c r="AI675" s="213"/>
      <c r="AJ675" s="213"/>
      <c r="AK675" s="213"/>
      <c r="AL675" s="213"/>
      <c r="AM675" s="213"/>
      <c r="AN675" s="214"/>
      <c r="AO675" s="57">
        <f t="shared" si="379"/>
        <v>2</v>
      </c>
      <c r="AP675" s="14"/>
      <c r="AQ675" s="178">
        <f t="shared" si="384"/>
        <v>0</v>
      </c>
      <c r="AR675" s="14"/>
      <c r="AS675" s="178">
        <f t="shared" si="385"/>
        <v>0</v>
      </c>
      <c r="AT675" s="179">
        <f t="shared" si="386"/>
        <v>0</v>
      </c>
      <c r="AU675" s="178">
        <f t="shared" si="387"/>
        <v>0</v>
      </c>
    </row>
    <row r="676" spans="1:47" ht="30" customHeight="1" x14ac:dyDescent="0.25">
      <c r="A676" s="76"/>
      <c r="B676" s="148" t="s">
        <v>2283</v>
      </c>
      <c r="C676" s="406" t="s">
        <v>2285</v>
      </c>
      <c r="D676" s="407"/>
      <c r="E676" s="399" t="s">
        <v>2287</v>
      </c>
      <c r="F676" s="401" t="s">
        <v>2272</v>
      </c>
      <c r="G676" s="403" t="s">
        <v>1079</v>
      </c>
      <c r="H676" s="403" t="s">
        <v>1079</v>
      </c>
      <c r="I676" s="151" t="s">
        <v>393</v>
      </c>
      <c r="J676" s="152"/>
      <c r="K676" s="153"/>
      <c r="L676" s="153">
        <v>1</v>
      </c>
      <c r="M676" s="153"/>
      <c r="N676" s="153"/>
      <c r="O676" s="153"/>
      <c r="P676" s="153"/>
      <c r="Q676" s="153"/>
      <c r="R676" s="153"/>
      <c r="S676" s="153"/>
      <c r="T676" s="153"/>
      <c r="U676" s="153"/>
      <c r="V676" s="153"/>
      <c r="W676" s="153"/>
      <c r="X676" s="153"/>
      <c r="Y676" s="153"/>
      <c r="Z676" s="153"/>
      <c r="AA676" s="153"/>
      <c r="AB676" s="153"/>
      <c r="AC676" s="153"/>
      <c r="AD676" s="153"/>
      <c r="AE676" s="153"/>
      <c r="AF676" s="153"/>
      <c r="AG676" s="153"/>
      <c r="AH676" s="153"/>
      <c r="AI676" s="153"/>
      <c r="AJ676" s="153"/>
      <c r="AK676" s="153"/>
      <c r="AL676" s="153"/>
      <c r="AM676" s="153"/>
      <c r="AN676" s="154"/>
      <c r="AO676" s="155">
        <f t="shared" si="379"/>
        <v>1</v>
      </c>
      <c r="AP676" s="13"/>
      <c r="AQ676" s="156">
        <f t="shared" si="384"/>
        <v>0</v>
      </c>
      <c r="AR676" s="13"/>
      <c r="AS676" s="156">
        <f t="shared" si="385"/>
        <v>0</v>
      </c>
      <c r="AT676" s="157">
        <f t="shared" si="386"/>
        <v>0</v>
      </c>
      <c r="AU676" s="156">
        <f t="shared" si="387"/>
        <v>0</v>
      </c>
    </row>
    <row r="677" spans="1:47" ht="30" customHeight="1" thickBot="1" x14ac:dyDescent="0.3">
      <c r="A677" s="76"/>
      <c r="B677" s="169" t="s">
        <v>2284</v>
      </c>
      <c r="C677" s="404" t="s">
        <v>2286</v>
      </c>
      <c r="D677" s="405"/>
      <c r="E677" s="400"/>
      <c r="F677" s="402"/>
      <c r="G677" s="395"/>
      <c r="H677" s="395"/>
      <c r="I677" s="56" t="s">
        <v>393</v>
      </c>
      <c r="J677" s="212">
        <v>1</v>
      </c>
      <c r="K677" s="213">
        <v>1</v>
      </c>
      <c r="L677" s="213">
        <v>1</v>
      </c>
      <c r="M677" s="213"/>
      <c r="N677" s="213"/>
      <c r="O677" s="213"/>
      <c r="P677" s="213"/>
      <c r="Q677" s="213"/>
      <c r="R677" s="213"/>
      <c r="S677" s="213"/>
      <c r="T677" s="213"/>
      <c r="U677" s="213"/>
      <c r="V677" s="213"/>
      <c r="W677" s="213"/>
      <c r="X677" s="213"/>
      <c r="Y677" s="213"/>
      <c r="Z677" s="213"/>
      <c r="AA677" s="213"/>
      <c r="AB677" s="213"/>
      <c r="AC677" s="213"/>
      <c r="AD677" s="213"/>
      <c r="AE677" s="213"/>
      <c r="AF677" s="213"/>
      <c r="AG677" s="213"/>
      <c r="AH677" s="213"/>
      <c r="AI677" s="213"/>
      <c r="AJ677" s="213"/>
      <c r="AK677" s="213"/>
      <c r="AL677" s="213"/>
      <c r="AM677" s="213"/>
      <c r="AN677" s="214"/>
      <c r="AO677" s="57">
        <f t="shared" si="379"/>
        <v>3</v>
      </c>
      <c r="AP677" s="14"/>
      <c r="AQ677" s="178">
        <f t="shared" si="384"/>
        <v>0</v>
      </c>
      <c r="AR677" s="14"/>
      <c r="AS677" s="178">
        <f t="shared" si="385"/>
        <v>0</v>
      </c>
      <c r="AT677" s="179">
        <f t="shared" si="386"/>
        <v>0</v>
      </c>
      <c r="AU677" s="178">
        <f t="shared" si="387"/>
        <v>0</v>
      </c>
    </row>
    <row r="678" spans="1:47" ht="177" customHeight="1" thickTop="1" thickBot="1" x14ac:dyDescent="0.3">
      <c r="A678" s="53"/>
      <c r="B678" s="54"/>
      <c r="C678" s="272" t="s">
        <v>2289</v>
      </c>
      <c r="D678" s="273"/>
      <c r="E678" s="273"/>
      <c r="F678" s="273"/>
      <c r="G678" s="31"/>
      <c r="H678" s="32"/>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2"/>
      <c r="AP678" s="33"/>
      <c r="AQ678" s="34">
        <f>SUM(AQ679:AQ698)</f>
        <v>0</v>
      </c>
      <c r="AR678" s="33"/>
      <c r="AS678" s="34">
        <f>SUM(AS679:AS698)</f>
        <v>0</v>
      </c>
      <c r="AT678" s="35"/>
      <c r="AU678" s="34">
        <f>SUM(AU679:AU698)</f>
        <v>0</v>
      </c>
    </row>
    <row r="679" spans="1:47" ht="30" customHeight="1" thickTop="1" x14ac:dyDescent="0.25">
      <c r="A679" s="76"/>
      <c r="B679" s="229">
        <v>1</v>
      </c>
      <c r="C679" s="6"/>
      <c r="D679" s="7"/>
      <c r="E679" s="8"/>
      <c r="F679" s="9"/>
      <c r="G679" s="396" t="s">
        <v>1079</v>
      </c>
      <c r="H679" s="393" t="s">
        <v>1079</v>
      </c>
      <c r="I679" s="10"/>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11">
        <f t="shared" ref="AO679:AO698" si="388">SUM(J679:AN679)</f>
        <v>0</v>
      </c>
      <c r="AP679" s="12"/>
      <c r="AQ679" s="167">
        <f t="shared" ref="AQ679:AQ680" si="389">+AP679*AO679</f>
        <v>0</v>
      </c>
      <c r="AR679" s="12"/>
      <c r="AS679" s="167">
        <f t="shared" ref="AS679:AS680" si="390">+AR679*AO679</f>
        <v>0</v>
      </c>
      <c r="AT679" s="168">
        <f t="shared" ref="AT679:AT680" si="391">+AR679+AP679</f>
        <v>0</v>
      </c>
      <c r="AU679" s="167">
        <f t="shared" ref="AU679:AU680" si="392">+AT679*AO679</f>
        <v>0</v>
      </c>
    </row>
    <row r="680" spans="1:47" ht="30" customHeight="1" x14ac:dyDescent="0.25">
      <c r="A680" s="76"/>
      <c r="B680" s="229">
        <v>2</v>
      </c>
      <c r="C680" s="6"/>
      <c r="D680" s="7"/>
      <c r="E680" s="8"/>
      <c r="F680" s="9"/>
      <c r="G680" s="397"/>
      <c r="H680" s="394"/>
      <c r="I680" s="10"/>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11">
        <f t="shared" si="388"/>
        <v>0</v>
      </c>
      <c r="AP680" s="12"/>
      <c r="AQ680" s="167">
        <f t="shared" si="389"/>
        <v>0</v>
      </c>
      <c r="AR680" s="12"/>
      <c r="AS680" s="167">
        <f t="shared" si="390"/>
        <v>0</v>
      </c>
      <c r="AT680" s="168">
        <f t="shared" si="391"/>
        <v>0</v>
      </c>
      <c r="AU680" s="167">
        <f t="shared" si="392"/>
        <v>0</v>
      </c>
    </row>
    <row r="681" spans="1:47" ht="30" customHeight="1" x14ac:dyDescent="0.25">
      <c r="A681" s="76"/>
      <c r="B681" s="229">
        <v>3</v>
      </c>
      <c r="C681" s="6"/>
      <c r="D681" s="7"/>
      <c r="E681" s="8"/>
      <c r="F681" s="9"/>
      <c r="G681" s="397"/>
      <c r="H681" s="394"/>
      <c r="I681" s="10"/>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11">
        <f t="shared" si="388"/>
        <v>0</v>
      </c>
      <c r="AP681" s="12"/>
      <c r="AQ681" s="167">
        <f t="shared" ref="AQ681:AQ698" si="393">+AP681*AO681</f>
        <v>0</v>
      </c>
      <c r="AR681" s="12"/>
      <c r="AS681" s="167">
        <f t="shared" ref="AS681:AS698" si="394">+AR681*AO681</f>
        <v>0</v>
      </c>
      <c r="AT681" s="168">
        <f t="shared" ref="AT681:AT698" si="395">+AR681+AP681</f>
        <v>0</v>
      </c>
      <c r="AU681" s="167">
        <f t="shared" ref="AU681:AU698" si="396">+AT681*AO681</f>
        <v>0</v>
      </c>
    </row>
    <row r="682" spans="1:47" ht="30" customHeight="1" x14ac:dyDescent="0.25">
      <c r="A682" s="76"/>
      <c r="B682" s="229">
        <v>4</v>
      </c>
      <c r="C682" s="6"/>
      <c r="D682" s="7"/>
      <c r="E682" s="8"/>
      <c r="F682" s="9"/>
      <c r="G682" s="397"/>
      <c r="H682" s="394"/>
      <c r="I682" s="10"/>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11">
        <f t="shared" si="388"/>
        <v>0</v>
      </c>
      <c r="AP682" s="12"/>
      <c r="AQ682" s="167">
        <f t="shared" si="393"/>
        <v>0</v>
      </c>
      <c r="AR682" s="12"/>
      <c r="AS682" s="167">
        <f t="shared" si="394"/>
        <v>0</v>
      </c>
      <c r="AT682" s="168">
        <f t="shared" si="395"/>
        <v>0</v>
      </c>
      <c r="AU682" s="167">
        <f t="shared" si="396"/>
        <v>0</v>
      </c>
    </row>
    <row r="683" spans="1:47" ht="30" customHeight="1" x14ac:dyDescent="0.25">
      <c r="A683" s="76"/>
      <c r="B683" s="229">
        <v>5</v>
      </c>
      <c r="C683" s="6"/>
      <c r="D683" s="7"/>
      <c r="E683" s="8"/>
      <c r="F683" s="9"/>
      <c r="G683" s="397"/>
      <c r="H683" s="394"/>
      <c r="I683" s="10"/>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11">
        <f t="shared" si="388"/>
        <v>0</v>
      </c>
      <c r="AP683" s="12"/>
      <c r="AQ683" s="167">
        <f t="shared" si="393"/>
        <v>0</v>
      </c>
      <c r="AR683" s="12"/>
      <c r="AS683" s="167">
        <f t="shared" si="394"/>
        <v>0</v>
      </c>
      <c r="AT683" s="168">
        <f t="shared" si="395"/>
        <v>0</v>
      </c>
      <c r="AU683" s="167">
        <f t="shared" si="396"/>
        <v>0</v>
      </c>
    </row>
    <row r="684" spans="1:47" ht="30" customHeight="1" x14ac:dyDescent="0.25">
      <c r="A684" s="76"/>
      <c r="B684" s="229">
        <v>6</v>
      </c>
      <c r="C684" s="6"/>
      <c r="D684" s="7"/>
      <c r="E684" s="8"/>
      <c r="F684" s="9"/>
      <c r="G684" s="397"/>
      <c r="H684" s="394"/>
      <c r="I684" s="10"/>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11">
        <f t="shared" si="388"/>
        <v>0</v>
      </c>
      <c r="AP684" s="12"/>
      <c r="AQ684" s="167">
        <f t="shared" si="393"/>
        <v>0</v>
      </c>
      <c r="AR684" s="12"/>
      <c r="AS684" s="167">
        <f t="shared" si="394"/>
        <v>0</v>
      </c>
      <c r="AT684" s="168">
        <f t="shared" si="395"/>
        <v>0</v>
      </c>
      <c r="AU684" s="167">
        <f t="shared" si="396"/>
        <v>0</v>
      </c>
    </row>
    <row r="685" spans="1:47" ht="30" customHeight="1" x14ac:dyDescent="0.25">
      <c r="A685" s="76"/>
      <c r="B685" s="229">
        <v>7</v>
      </c>
      <c r="C685" s="6"/>
      <c r="D685" s="7"/>
      <c r="E685" s="8"/>
      <c r="F685" s="9"/>
      <c r="G685" s="397"/>
      <c r="H685" s="394"/>
      <c r="I685" s="10"/>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11">
        <f t="shared" si="388"/>
        <v>0</v>
      </c>
      <c r="AP685" s="12"/>
      <c r="AQ685" s="167">
        <f t="shared" si="393"/>
        <v>0</v>
      </c>
      <c r="AR685" s="12"/>
      <c r="AS685" s="167">
        <f t="shared" si="394"/>
        <v>0</v>
      </c>
      <c r="AT685" s="168">
        <f t="shared" si="395"/>
        <v>0</v>
      </c>
      <c r="AU685" s="167">
        <f t="shared" si="396"/>
        <v>0</v>
      </c>
    </row>
    <row r="686" spans="1:47" ht="30" customHeight="1" x14ac:dyDescent="0.25">
      <c r="A686" s="76"/>
      <c r="B686" s="229">
        <v>8</v>
      </c>
      <c r="C686" s="6"/>
      <c r="D686" s="7"/>
      <c r="E686" s="8"/>
      <c r="F686" s="9"/>
      <c r="G686" s="397"/>
      <c r="H686" s="394"/>
      <c r="I686" s="10"/>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11">
        <f t="shared" si="388"/>
        <v>0</v>
      </c>
      <c r="AP686" s="12"/>
      <c r="AQ686" s="167">
        <f t="shared" si="393"/>
        <v>0</v>
      </c>
      <c r="AR686" s="12"/>
      <c r="AS686" s="167">
        <f t="shared" si="394"/>
        <v>0</v>
      </c>
      <c r="AT686" s="168">
        <f t="shared" si="395"/>
        <v>0</v>
      </c>
      <c r="AU686" s="167">
        <f t="shared" si="396"/>
        <v>0</v>
      </c>
    </row>
    <row r="687" spans="1:47" ht="30" customHeight="1" x14ac:dyDescent="0.25">
      <c r="A687" s="76"/>
      <c r="B687" s="229">
        <v>9</v>
      </c>
      <c r="C687" s="6"/>
      <c r="D687" s="7"/>
      <c r="E687" s="8"/>
      <c r="F687" s="9"/>
      <c r="G687" s="397"/>
      <c r="H687" s="394"/>
      <c r="I687" s="10"/>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11">
        <f t="shared" si="388"/>
        <v>0</v>
      </c>
      <c r="AP687" s="12"/>
      <c r="AQ687" s="167">
        <f t="shared" ref="AQ687:AQ695" si="397">+AP687*AO687</f>
        <v>0</v>
      </c>
      <c r="AR687" s="12"/>
      <c r="AS687" s="167">
        <f t="shared" ref="AS687:AS695" si="398">+AR687*AO687</f>
        <v>0</v>
      </c>
      <c r="AT687" s="168">
        <f t="shared" ref="AT687:AT695" si="399">+AR687+AP687</f>
        <v>0</v>
      </c>
      <c r="AU687" s="167">
        <f t="shared" ref="AU687:AU695" si="400">+AT687*AO687</f>
        <v>0</v>
      </c>
    </row>
    <row r="688" spans="1:47" ht="30" customHeight="1" x14ac:dyDescent="0.25">
      <c r="A688" s="76"/>
      <c r="B688" s="229">
        <v>10</v>
      </c>
      <c r="C688" s="6"/>
      <c r="D688" s="7"/>
      <c r="E688" s="8"/>
      <c r="F688" s="9"/>
      <c r="G688" s="397"/>
      <c r="H688" s="394"/>
      <c r="I688" s="10"/>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11">
        <f t="shared" si="388"/>
        <v>0</v>
      </c>
      <c r="AP688" s="12"/>
      <c r="AQ688" s="167">
        <f t="shared" si="397"/>
        <v>0</v>
      </c>
      <c r="AR688" s="12"/>
      <c r="AS688" s="167">
        <f t="shared" si="398"/>
        <v>0</v>
      </c>
      <c r="AT688" s="168">
        <f t="shared" si="399"/>
        <v>0</v>
      </c>
      <c r="AU688" s="167">
        <f t="shared" si="400"/>
        <v>0</v>
      </c>
    </row>
    <row r="689" spans="1:47" ht="30" customHeight="1" x14ac:dyDescent="0.25">
      <c r="A689" s="76"/>
      <c r="B689" s="229">
        <v>11</v>
      </c>
      <c r="C689" s="6"/>
      <c r="D689" s="7"/>
      <c r="E689" s="8"/>
      <c r="F689" s="9"/>
      <c r="G689" s="397"/>
      <c r="H689" s="394"/>
      <c r="I689" s="10"/>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11">
        <f t="shared" si="388"/>
        <v>0</v>
      </c>
      <c r="AP689" s="12"/>
      <c r="AQ689" s="167">
        <f t="shared" si="397"/>
        <v>0</v>
      </c>
      <c r="AR689" s="12"/>
      <c r="AS689" s="167">
        <f t="shared" si="398"/>
        <v>0</v>
      </c>
      <c r="AT689" s="168">
        <f t="shared" si="399"/>
        <v>0</v>
      </c>
      <c r="AU689" s="167">
        <f t="shared" si="400"/>
        <v>0</v>
      </c>
    </row>
    <row r="690" spans="1:47" ht="30" customHeight="1" x14ac:dyDescent="0.25">
      <c r="A690" s="76"/>
      <c r="B690" s="229">
        <v>12</v>
      </c>
      <c r="C690" s="6"/>
      <c r="D690" s="7"/>
      <c r="E690" s="8"/>
      <c r="F690" s="9"/>
      <c r="G690" s="397"/>
      <c r="H690" s="394"/>
      <c r="I690" s="10"/>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11">
        <f t="shared" si="388"/>
        <v>0</v>
      </c>
      <c r="AP690" s="12"/>
      <c r="AQ690" s="167">
        <f t="shared" si="397"/>
        <v>0</v>
      </c>
      <c r="AR690" s="12"/>
      <c r="AS690" s="167">
        <f t="shared" si="398"/>
        <v>0</v>
      </c>
      <c r="AT690" s="168">
        <f t="shared" si="399"/>
        <v>0</v>
      </c>
      <c r="AU690" s="167">
        <f t="shared" si="400"/>
        <v>0</v>
      </c>
    </row>
    <row r="691" spans="1:47" ht="30" customHeight="1" x14ac:dyDescent="0.25">
      <c r="A691" s="76"/>
      <c r="B691" s="229">
        <v>13</v>
      </c>
      <c r="C691" s="6"/>
      <c r="D691" s="7"/>
      <c r="E691" s="8"/>
      <c r="F691" s="9"/>
      <c r="G691" s="397"/>
      <c r="H691" s="394"/>
      <c r="I691" s="10"/>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11">
        <f t="shared" si="388"/>
        <v>0</v>
      </c>
      <c r="AP691" s="12"/>
      <c r="AQ691" s="167">
        <f t="shared" si="397"/>
        <v>0</v>
      </c>
      <c r="AR691" s="12"/>
      <c r="AS691" s="167">
        <f t="shared" si="398"/>
        <v>0</v>
      </c>
      <c r="AT691" s="168">
        <f t="shared" si="399"/>
        <v>0</v>
      </c>
      <c r="AU691" s="167">
        <f t="shared" si="400"/>
        <v>0</v>
      </c>
    </row>
    <row r="692" spans="1:47" ht="30" customHeight="1" x14ac:dyDescent="0.25">
      <c r="A692" s="76"/>
      <c r="B692" s="229">
        <v>14</v>
      </c>
      <c r="C692" s="6"/>
      <c r="D692" s="7"/>
      <c r="E692" s="8"/>
      <c r="F692" s="9"/>
      <c r="G692" s="397"/>
      <c r="H692" s="394"/>
      <c r="I692" s="10"/>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11">
        <f t="shared" si="388"/>
        <v>0</v>
      </c>
      <c r="AP692" s="12"/>
      <c r="AQ692" s="167">
        <f t="shared" si="397"/>
        <v>0</v>
      </c>
      <c r="AR692" s="12"/>
      <c r="AS692" s="167">
        <f t="shared" si="398"/>
        <v>0</v>
      </c>
      <c r="AT692" s="168">
        <f t="shared" si="399"/>
        <v>0</v>
      </c>
      <c r="AU692" s="167">
        <f t="shared" si="400"/>
        <v>0</v>
      </c>
    </row>
    <row r="693" spans="1:47" ht="30" customHeight="1" x14ac:dyDescent="0.25">
      <c r="A693" s="76"/>
      <c r="B693" s="229">
        <v>15</v>
      </c>
      <c r="C693" s="6"/>
      <c r="D693" s="7"/>
      <c r="E693" s="8"/>
      <c r="F693" s="9"/>
      <c r="G693" s="397"/>
      <c r="H693" s="394"/>
      <c r="I693" s="10"/>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11">
        <f t="shared" si="388"/>
        <v>0</v>
      </c>
      <c r="AP693" s="12"/>
      <c r="AQ693" s="167">
        <f t="shared" si="397"/>
        <v>0</v>
      </c>
      <c r="AR693" s="12"/>
      <c r="AS693" s="167">
        <f t="shared" si="398"/>
        <v>0</v>
      </c>
      <c r="AT693" s="168">
        <f t="shared" si="399"/>
        <v>0</v>
      </c>
      <c r="AU693" s="167">
        <f t="shared" si="400"/>
        <v>0</v>
      </c>
    </row>
    <row r="694" spans="1:47" ht="30" customHeight="1" x14ac:dyDescent="0.25">
      <c r="A694" s="76"/>
      <c r="B694" s="229">
        <v>16</v>
      </c>
      <c r="C694" s="6"/>
      <c r="D694" s="7"/>
      <c r="E694" s="8"/>
      <c r="F694" s="9"/>
      <c r="G694" s="397"/>
      <c r="H694" s="394"/>
      <c r="I694" s="10"/>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11">
        <f t="shared" si="388"/>
        <v>0</v>
      </c>
      <c r="AP694" s="12"/>
      <c r="AQ694" s="167">
        <f t="shared" si="397"/>
        <v>0</v>
      </c>
      <c r="AR694" s="12"/>
      <c r="AS694" s="167">
        <f t="shared" si="398"/>
        <v>0</v>
      </c>
      <c r="AT694" s="168">
        <f t="shared" si="399"/>
        <v>0</v>
      </c>
      <c r="AU694" s="167">
        <f t="shared" si="400"/>
        <v>0</v>
      </c>
    </row>
    <row r="695" spans="1:47" ht="30" customHeight="1" x14ac:dyDescent="0.25">
      <c r="A695" s="76"/>
      <c r="B695" s="229">
        <v>17</v>
      </c>
      <c r="C695" s="6"/>
      <c r="D695" s="7"/>
      <c r="E695" s="8"/>
      <c r="F695" s="9"/>
      <c r="G695" s="397"/>
      <c r="H695" s="394"/>
      <c r="I695" s="10"/>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11">
        <f t="shared" si="388"/>
        <v>0</v>
      </c>
      <c r="AP695" s="12"/>
      <c r="AQ695" s="167">
        <f t="shared" si="397"/>
        <v>0</v>
      </c>
      <c r="AR695" s="12"/>
      <c r="AS695" s="167">
        <f t="shared" si="398"/>
        <v>0</v>
      </c>
      <c r="AT695" s="168">
        <f t="shared" si="399"/>
        <v>0</v>
      </c>
      <c r="AU695" s="167">
        <f t="shared" si="400"/>
        <v>0</v>
      </c>
    </row>
    <row r="696" spans="1:47" ht="30" customHeight="1" x14ac:dyDescent="0.25">
      <c r="A696" s="76"/>
      <c r="B696" s="229">
        <v>18</v>
      </c>
      <c r="C696" s="6"/>
      <c r="D696" s="7"/>
      <c r="E696" s="8"/>
      <c r="F696" s="9"/>
      <c r="G696" s="397"/>
      <c r="H696" s="394"/>
      <c r="I696" s="10"/>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11">
        <f t="shared" si="388"/>
        <v>0</v>
      </c>
      <c r="AP696" s="12"/>
      <c r="AQ696" s="167">
        <f t="shared" si="393"/>
        <v>0</v>
      </c>
      <c r="AR696" s="12"/>
      <c r="AS696" s="167">
        <f t="shared" si="394"/>
        <v>0</v>
      </c>
      <c r="AT696" s="168">
        <f t="shared" si="395"/>
        <v>0</v>
      </c>
      <c r="AU696" s="167">
        <f t="shared" si="396"/>
        <v>0</v>
      </c>
    </row>
    <row r="697" spans="1:47" ht="30" customHeight="1" x14ac:dyDescent="0.25">
      <c r="A697" s="76"/>
      <c r="B697" s="229">
        <v>19</v>
      </c>
      <c r="C697" s="6"/>
      <c r="D697" s="7"/>
      <c r="E697" s="8"/>
      <c r="F697" s="9"/>
      <c r="G697" s="397"/>
      <c r="H697" s="394"/>
      <c r="I697" s="10"/>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11">
        <f t="shared" si="388"/>
        <v>0</v>
      </c>
      <c r="AP697" s="12"/>
      <c r="AQ697" s="167">
        <f t="shared" si="393"/>
        <v>0</v>
      </c>
      <c r="AR697" s="12"/>
      <c r="AS697" s="167">
        <f t="shared" si="394"/>
        <v>0</v>
      </c>
      <c r="AT697" s="168">
        <f t="shared" si="395"/>
        <v>0</v>
      </c>
      <c r="AU697" s="167">
        <f t="shared" si="396"/>
        <v>0</v>
      </c>
    </row>
    <row r="698" spans="1:47" ht="30" customHeight="1" x14ac:dyDescent="0.25">
      <c r="A698" s="76"/>
      <c r="B698" s="229">
        <v>20</v>
      </c>
      <c r="C698" s="6"/>
      <c r="D698" s="7"/>
      <c r="E698" s="8"/>
      <c r="F698" s="9"/>
      <c r="G698" s="398"/>
      <c r="H698" s="395"/>
      <c r="I698" s="10"/>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11">
        <f t="shared" si="388"/>
        <v>0</v>
      </c>
      <c r="AP698" s="12"/>
      <c r="AQ698" s="167">
        <f t="shared" si="393"/>
        <v>0</v>
      </c>
      <c r="AR698" s="12"/>
      <c r="AS698" s="167">
        <f t="shared" si="394"/>
        <v>0</v>
      </c>
      <c r="AT698" s="168">
        <f t="shared" si="395"/>
        <v>0</v>
      </c>
      <c r="AU698" s="167">
        <f t="shared" si="396"/>
        <v>0</v>
      </c>
    </row>
    <row r="699" spans="1:47" ht="14.25" x14ac:dyDescent="0.25">
      <c r="A699" s="128"/>
      <c r="B699" s="128"/>
      <c r="C699" s="46"/>
      <c r="D699" s="46"/>
      <c r="E699" s="46"/>
      <c r="F699" s="47"/>
      <c r="G699" s="48"/>
      <c r="H699" s="49"/>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9"/>
      <c r="AP699" s="50"/>
      <c r="AQ699" s="50"/>
      <c r="AR699" s="50"/>
      <c r="AS699" s="50"/>
      <c r="AT699" s="50"/>
      <c r="AU699" s="51"/>
    </row>
    <row r="700" spans="1:47" s="23" customFormat="1" ht="30" customHeight="1" x14ac:dyDescent="0.2">
      <c r="H700" s="230"/>
      <c r="I700" s="230"/>
      <c r="J700" s="231"/>
      <c r="K700" s="231"/>
      <c r="L700" s="231"/>
      <c r="M700" s="231"/>
      <c r="N700" s="231"/>
      <c r="O700" s="231"/>
      <c r="P700" s="231"/>
      <c r="Q700" s="231"/>
      <c r="R700" s="231"/>
      <c r="S700" s="231"/>
      <c r="T700" s="231"/>
      <c r="U700" s="231"/>
      <c r="V700" s="231"/>
      <c r="W700" s="231"/>
      <c r="X700" s="231"/>
      <c r="Y700" s="231"/>
      <c r="Z700" s="231"/>
      <c r="AA700" s="231"/>
      <c r="AB700" s="231"/>
      <c r="AC700" s="231"/>
      <c r="AD700" s="231"/>
      <c r="AE700" s="231"/>
      <c r="AF700" s="231"/>
      <c r="AG700" s="231"/>
      <c r="AH700" s="231"/>
      <c r="AI700" s="231"/>
      <c r="AJ700" s="231"/>
      <c r="AK700" s="231"/>
      <c r="AL700" s="231"/>
      <c r="AM700" s="231"/>
      <c r="AN700" s="231"/>
      <c r="AO700" s="485">
        <v>1</v>
      </c>
      <c r="AP700" s="480" t="str">
        <f>+C5</f>
        <v>ALÇAK GERİLİM SİSTEMLERİ</v>
      </c>
      <c r="AQ700" s="481"/>
      <c r="AR700" s="266" t="s">
        <v>1</v>
      </c>
      <c r="AS700" s="266"/>
      <c r="AT700" s="267">
        <f>+AQ5</f>
        <v>0</v>
      </c>
      <c r="AU700" s="267"/>
    </row>
    <row r="701" spans="1:47" s="23" customFormat="1" ht="30" customHeight="1" x14ac:dyDescent="0.2">
      <c r="H701" s="230"/>
      <c r="I701" s="232"/>
      <c r="J701" s="231"/>
      <c r="K701" s="231"/>
      <c r="L701" s="231"/>
      <c r="M701" s="231"/>
      <c r="N701" s="231"/>
      <c r="O701" s="231"/>
      <c r="P701" s="231"/>
      <c r="Q701" s="231"/>
      <c r="R701" s="231"/>
      <c r="S701" s="231"/>
      <c r="T701" s="231"/>
      <c r="U701" s="231"/>
      <c r="V701" s="231"/>
      <c r="W701" s="231"/>
      <c r="X701" s="231"/>
      <c r="Y701" s="231"/>
      <c r="Z701" s="231"/>
      <c r="AA701" s="231"/>
      <c r="AB701" s="231"/>
      <c r="AC701" s="231"/>
      <c r="AD701" s="231"/>
      <c r="AE701" s="231"/>
      <c r="AF701" s="231"/>
      <c r="AG701" s="231"/>
      <c r="AH701" s="231"/>
      <c r="AI701" s="231"/>
      <c r="AJ701" s="231"/>
      <c r="AK701" s="231"/>
      <c r="AL701" s="231"/>
      <c r="AM701" s="231"/>
      <c r="AN701" s="231"/>
      <c r="AO701" s="483"/>
      <c r="AP701" s="476"/>
      <c r="AQ701" s="477"/>
      <c r="AR701" s="266" t="s">
        <v>2</v>
      </c>
      <c r="AS701" s="266"/>
      <c r="AT701" s="267">
        <f>+AS5</f>
        <v>0</v>
      </c>
      <c r="AU701" s="267"/>
    </row>
    <row r="702" spans="1:47" s="23" customFormat="1" ht="38.25" customHeight="1" thickBot="1" x14ac:dyDescent="0.25">
      <c r="H702" s="230"/>
      <c r="I702" s="232"/>
      <c r="J702" s="231"/>
      <c r="K702" s="231"/>
      <c r="L702" s="231"/>
      <c r="M702" s="231"/>
      <c r="N702" s="231"/>
      <c r="O702" s="231"/>
      <c r="P702" s="231"/>
      <c r="Q702" s="231"/>
      <c r="R702" s="231"/>
      <c r="S702" s="231"/>
      <c r="T702" s="231"/>
      <c r="U702" s="231"/>
      <c r="V702" s="231"/>
      <c r="W702" s="231"/>
      <c r="X702" s="231"/>
      <c r="Y702" s="231"/>
      <c r="Z702" s="231"/>
      <c r="AA702" s="231"/>
      <c r="AB702" s="231"/>
      <c r="AC702" s="231"/>
      <c r="AD702" s="231"/>
      <c r="AE702" s="231"/>
      <c r="AF702" s="231"/>
      <c r="AG702" s="231"/>
      <c r="AH702" s="231"/>
      <c r="AI702" s="231"/>
      <c r="AJ702" s="231"/>
      <c r="AK702" s="231"/>
      <c r="AL702" s="231"/>
      <c r="AM702" s="231"/>
      <c r="AN702" s="231"/>
      <c r="AO702" s="484"/>
      <c r="AP702" s="478"/>
      <c r="AQ702" s="479"/>
      <c r="AR702" s="268" t="s">
        <v>13</v>
      </c>
      <c r="AS702" s="268"/>
      <c r="AT702" s="269">
        <f>+AT700+AT701</f>
        <v>0</v>
      </c>
      <c r="AU702" s="269"/>
    </row>
    <row r="703" spans="1:47" s="23" customFormat="1" ht="30" customHeight="1" thickTop="1" x14ac:dyDescent="0.2">
      <c r="H703" s="230"/>
      <c r="I703" s="230"/>
      <c r="J703" s="231"/>
      <c r="K703" s="231"/>
      <c r="L703" s="231"/>
      <c r="M703" s="231"/>
      <c r="N703" s="231"/>
      <c r="O703" s="231"/>
      <c r="P703" s="231"/>
      <c r="Q703" s="231"/>
      <c r="R703" s="231"/>
      <c r="S703" s="231"/>
      <c r="T703" s="231"/>
      <c r="U703" s="231"/>
      <c r="V703" s="231"/>
      <c r="W703" s="231"/>
      <c r="X703" s="231"/>
      <c r="Y703" s="231"/>
      <c r="Z703" s="231"/>
      <c r="AA703" s="231"/>
      <c r="AB703" s="231"/>
      <c r="AC703" s="231"/>
      <c r="AD703" s="231"/>
      <c r="AE703" s="231"/>
      <c r="AF703" s="231"/>
      <c r="AG703" s="231"/>
      <c r="AH703" s="231"/>
      <c r="AI703" s="231"/>
      <c r="AJ703" s="231"/>
      <c r="AK703" s="231"/>
      <c r="AL703" s="231"/>
      <c r="AM703" s="231"/>
      <c r="AN703" s="231"/>
      <c r="AO703" s="482">
        <v>2</v>
      </c>
      <c r="AP703" s="474" t="str">
        <f>+C501</f>
        <v>ZAYIF AKIM SİSTEMLERİ</v>
      </c>
      <c r="AQ703" s="475"/>
      <c r="AR703" s="266" t="s">
        <v>1</v>
      </c>
      <c r="AS703" s="266"/>
      <c r="AT703" s="267">
        <f>+AQ501</f>
        <v>0</v>
      </c>
      <c r="AU703" s="267"/>
    </row>
    <row r="704" spans="1:47" s="23" customFormat="1" ht="30" customHeight="1" x14ac:dyDescent="0.2">
      <c r="H704" s="230"/>
      <c r="I704" s="232"/>
      <c r="J704" s="231"/>
      <c r="K704" s="231"/>
      <c r="L704" s="231"/>
      <c r="M704" s="231"/>
      <c r="N704" s="231"/>
      <c r="O704" s="231"/>
      <c r="P704" s="231"/>
      <c r="Q704" s="231"/>
      <c r="R704" s="231"/>
      <c r="S704" s="231"/>
      <c r="T704" s="231"/>
      <c r="U704" s="231"/>
      <c r="V704" s="231"/>
      <c r="W704" s="231"/>
      <c r="X704" s="231"/>
      <c r="Y704" s="231"/>
      <c r="Z704" s="231"/>
      <c r="AA704" s="231"/>
      <c r="AB704" s="231"/>
      <c r="AC704" s="231"/>
      <c r="AD704" s="231"/>
      <c r="AE704" s="231"/>
      <c r="AF704" s="231"/>
      <c r="AG704" s="231"/>
      <c r="AH704" s="231"/>
      <c r="AI704" s="231"/>
      <c r="AJ704" s="231"/>
      <c r="AK704" s="231"/>
      <c r="AL704" s="231"/>
      <c r="AM704" s="231"/>
      <c r="AN704" s="231"/>
      <c r="AO704" s="483"/>
      <c r="AP704" s="476"/>
      <c r="AQ704" s="477"/>
      <c r="AR704" s="266" t="s">
        <v>2</v>
      </c>
      <c r="AS704" s="266"/>
      <c r="AT704" s="267">
        <f>+AS501</f>
        <v>0</v>
      </c>
      <c r="AU704" s="267"/>
    </row>
    <row r="705" spans="8:47" s="23" customFormat="1" ht="38.25" customHeight="1" thickBot="1" x14ac:dyDescent="0.25">
      <c r="H705" s="230"/>
      <c r="I705" s="232"/>
      <c r="J705" s="231"/>
      <c r="K705" s="231"/>
      <c r="L705" s="231"/>
      <c r="M705" s="231"/>
      <c r="N705" s="231"/>
      <c r="O705" s="231"/>
      <c r="P705" s="231"/>
      <c r="Q705" s="231"/>
      <c r="R705" s="231"/>
      <c r="S705" s="231"/>
      <c r="T705" s="231"/>
      <c r="U705" s="231"/>
      <c r="V705" s="231"/>
      <c r="W705" s="231"/>
      <c r="X705" s="231"/>
      <c r="Y705" s="231"/>
      <c r="Z705" s="231"/>
      <c r="AA705" s="231"/>
      <c r="AB705" s="231"/>
      <c r="AC705" s="231"/>
      <c r="AD705" s="231"/>
      <c r="AE705" s="231"/>
      <c r="AF705" s="231"/>
      <c r="AG705" s="231"/>
      <c r="AH705" s="231"/>
      <c r="AI705" s="231"/>
      <c r="AJ705" s="231"/>
      <c r="AK705" s="231"/>
      <c r="AL705" s="231"/>
      <c r="AM705" s="231"/>
      <c r="AN705" s="231"/>
      <c r="AO705" s="484"/>
      <c r="AP705" s="478"/>
      <c r="AQ705" s="479"/>
      <c r="AR705" s="268" t="s">
        <v>13</v>
      </c>
      <c r="AS705" s="268"/>
      <c r="AT705" s="269">
        <f>+AT703+AT704</f>
        <v>0</v>
      </c>
      <c r="AU705" s="269"/>
    </row>
    <row r="706" spans="8:47" s="23" customFormat="1" ht="30" customHeight="1" thickTop="1" x14ac:dyDescent="0.2">
      <c r="H706" s="230"/>
      <c r="I706" s="230"/>
      <c r="J706" s="231"/>
      <c r="K706" s="231"/>
      <c r="L706" s="231"/>
      <c r="M706" s="231"/>
      <c r="N706" s="231"/>
      <c r="O706" s="231"/>
      <c r="P706" s="231"/>
      <c r="Q706" s="231"/>
      <c r="R706" s="231"/>
      <c r="S706" s="231"/>
      <c r="T706" s="231"/>
      <c r="U706" s="231"/>
      <c r="V706" s="231"/>
      <c r="W706" s="231"/>
      <c r="X706" s="231"/>
      <c r="Y706" s="231"/>
      <c r="Z706" s="231"/>
      <c r="AA706" s="231"/>
      <c r="AB706" s="231"/>
      <c r="AC706" s="231"/>
      <c r="AD706" s="231"/>
      <c r="AE706" s="231"/>
      <c r="AF706" s="231"/>
      <c r="AG706" s="231"/>
      <c r="AH706" s="231"/>
      <c r="AI706" s="231"/>
      <c r="AJ706" s="231"/>
      <c r="AK706" s="231"/>
      <c r="AL706" s="231"/>
      <c r="AM706" s="231"/>
      <c r="AN706" s="231"/>
      <c r="AO706" s="482">
        <v>3</v>
      </c>
      <c r="AP706" s="468" t="str">
        <f>+C645</f>
        <v>ALTYAPI-YANGIN BARİYERLERİ-SİSMİK TEDBİRLER</v>
      </c>
      <c r="AQ706" s="469"/>
      <c r="AR706" s="266" t="s">
        <v>1</v>
      </c>
      <c r="AS706" s="266"/>
      <c r="AT706" s="267">
        <f>+AQ645</f>
        <v>0</v>
      </c>
      <c r="AU706" s="267"/>
    </row>
    <row r="707" spans="8:47" s="23" customFormat="1" ht="30" customHeight="1" x14ac:dyDescent="0.2">
      <c r="H707" s="230"/>
      <c r="I707" s="232"/>
      <c r="J707" s="231"/>
      <c r="K707" s="231"/>
      <c r="L707" s="231"/>
      <c r="M707" s="231"/>
      <c r="N707" s="231"/>
      <c r="O707" s="231"/>
      <c r="P707" s="231"/>
      <c r="Q707" s="231"/>
      <c r="R707" s="231"/>
      <c r="S707" s="231"/>
      <c r="T707" s="231"/>
      <c r="U707" s="231"/>
      <c r="V707" s="231"/>
      <c r="W707" s="231"/>
      <c r="X707" s="231"/>
      <c r="Y707" s="231"/>
      <c r="Z707" s="231"/>
      <c r="AA707" s="231"/>
      <c r="AB707" s="231"/>
      <c r="AC707" s="231"/>
      <c r="AD707" s="231"/>
      <c r="AE707" s="231"/>
      <c r="AF707" s="231"/>
      <c r="AG707" s="231"/>
      <c r="AH707" s="231"/>
      <c r="AI707" s="231"/>
      <c r="AJ707" s="231"/>
      <c r="AK707" s="231"/>
      <c r="AL707" s="231"/>
      <c r="AM707" s="231"/>
      <c r="AN707" s="231"/>
      <c r="AO707" s="483"/>
      <c r="AP707" s="470"/>
      <c r="AQ707" s="471"/>
      <c r="AR707" s="266" t="s">
        <v>2</v>
      </c>
      <c r="AS707" s="266"/>
      <c r="AT707" s="267">
        <f>+AS645</f>
        <v>0</v>
      </c>
      <c r="AU707" s="267"/>
    </row>
    <row r="708" spans="8:47" s="23" customFormat="1" ht="38.25" customHeight="1" thickBot="1" x14ac:dyDescent="0.25">
      <c r="H708" s="230"/>
      <c r="I708" s="232"/>
      <c r="J708" s="231"/>
      <c r="K708" s="231"/>
      <c r="L708" s="231"/>
      <c r="M708" s="231"/>
      <c r="N708" s="231"/>
      <c r="O708" s="231"/>
      <c r="P708" s="231"/>
      <c r="Q708" s="231"/>
      <c r="R708" s="231"/>
      <c r="S708" s="231"/>
      <c r="T708" s="231"/>
      <c r="U708" s="231"/>
      <c r="V708" s="231"/>
      <c r="W708" s="231"/>
      <c r="X708" s="231"/>
      <c r="Y708" s="231"/>
      <c r="Z708" s="231"/>
      <c r="AA708" s="231"/>
      <c r="AB708" s="231"/>
      <c r="AC708" s="231"/>
      <c r="AD708" s="231"/>
      <c r="AE708" s="231"/>
      <c r="AF708" s="231"/>
      <c r="AG708" s="231"/>
      <c r="AH708" s="231"/>
      <c r="AI708" s="231"/>
      <c r="AJ708" s="231"/>
      <c r="AK708" s="231"/>
      <c r="AL708" s="231"/>
      <c r="AM708" s="231"/>
      <c r="AN708" s="231"/>
      <c r="AO708" s="484"/>
      <c r="AP708" s="472"/>
      <c r="AQ708" s="473"/>
      <c r="AR708" s="268" t="s">
        <v>13</v>
      </c>
      <c r="AS708" s="268"/>
      <c r="AT708" s="269">
        <f>+AT706+AT707</f>
        <v>0</v>
      </c>
      <c r="AU708" s="269"/>
    </row>
    <row r="709" spans="8:47" s="23" customFormat="1" ht="30" customHeight="1" thickTop="1" x14ac:dyDescent="0.2">
      <c r="H709" s="230"/>
      <c r="I709" s="230"/>
      <c r="J709" s="231"/>
      <c r="K709" s="231"/>
      <c r="L709" s="231"/>
      <c r="M709" s="231"/>
      <c r="N709" s="231"/>
      <c r="O709" s="231"/>
      <c r="P709" s="231"/>
      <c r="Q709" s="231"/>
      <c r="R709" s="231"/>
      <c r="S709" s="231"/>
      <c r="T709" s="231"/>
      <c r="U709" s="231"/>
      <c r="V709" s="231"/>
      <c r="W709" s="231"/>
      <c r="X709" s="231"/>
      <c r="Y709" s="231"/>
      <c r="Z709" s="231"/>
      <c r="AA709" s="231"/>
      <c r="AB709" s="231"/>
      <c r="AC709" s="231"/>
      <c r="AD709" s="231"/>
      <c r="AE709" s="231"/>
      <c r="AF709" s="231"/>
      <c r="AG709" s="231"/>
      <c r="AH709" s="231"/>
      <c r="AI709" s="231"/>
      <c r="AJ709" s="231"/>
      <c r="AK709" s="231"/>
      <c r="AL709" s="231"/>
      <c r="AM709" s="231"/>
      <c r="AN709" s="231"/>
      <c r="AO709" s="482">
        <v>4</v>
      </c>
      <c r="AP709" s="468" t="s">
        <v>2288</v>
      </c>
      <c r="AQ709" s="469"/>
      <c r="AR709" s="266" t="s">
        <v>1</v>
      </c>
      <c r="AS709" s="266"/>
      <c r="AT709" s="267">
        <f>+AQ678</f>
        <v>0</v>
      </c>
      <c r="AU709" s="267"/>
    </row>
    <row r="710" spans="8:47" s="23" customFormat="1" ht="30" customHeight="1" x14ac:dyDescent="0.2">
      <c r="H710" s="230"/>
      <c r="I710" s="232"/>
      <c r="J710" s="231"/>
      <c r="K710" s="231"/>
      <c r="L710" s="231"/>
      <c r="M710" s="231"/>
      <c r="N710" s="231"/>
      <c r="O710" s="231"/>
      <c r="P710" s="231"/>
      <c r="Q710" s="231"/>
      <c r="R710" s="231"/>
      <c r="S710" s="231"/>
      <c r="T710" s="231"/>
      <c r="U710" s="231"/>
      <c r="V710" s="231"/>
      <c r="W710" s="231"/>
      <c r="X710" s="231"/>
      <c r="Y710" s="231"/>
      <c r="Z710" s="231"/>
      <c r="AA710" s="231"/>
      <c r="AB710" s="231"/>
      <c r="AC710" s="231"/>
      <c r="AD710" s="231"/>
      <c r="AE710" s="231"/>
      <c r="AF710" s="231"/>
      <c r="AG710" s="231"/>
      <c r="AH710" s="231"/>
      <c r="AI710" s="231"/>
      <c r="AJ710" s="231"/>
      <c r="AK710" s="231"/>
      <c r="AL710" s="231"/>
      <c r="AM710" s="231"/>
      <c r="AN710" s="231"/>
      <c r="AO710" s="483"/>
      <c r="AP710" s="470"/>
      <c r="AQ710" s="471"/>
      <c r="AR710" s="266" t="s">
        <v>2</v>
      </c>
      <c r="AS710" s="266"/>
      <c r="AT710" s="267">
        <f>+AS678</f>
        <v>0</v>
      </c>
      <c r="AU710" s="267"/>
    </row>
    <row r="711" spans="8:47" s="23" customFormat="1" ht="38.25" customHeight="1" thickBot="1" x14ac:dyDescent="0.25">
      <c r="H711" s="230"/>
      <c r="I711" s="232"/>
      <c r="J711" s="231"/>
      <c r="K711" s="231"/>
      <c r="L711" s="231"/>
      <c r="M711" s="231"/>
      <c r="N711" s="231"/>
      <c r="O711" s="231"/>
      <c r="P711" s="231"/>
      <c r="Q711" s="231"/>
      <c r="R711" s="231"/>
      <c r="S711" s="231"/>
      <c r="T711" s="231"/>
      <c r="U711" s="231"/>
      <c r="V711" s="231"/>
      <c r="W711" s="231"/>
      <c r="X711" s="231"/>
      <c r="Y711" s="231"/>
      <c r="Z711" s="231"/>
      <c r="AA711" s="231"/>
      <c r="AB711" s="231"/>
      <c r="AC711" s="231"/>
      <c r="AD711" s="231"/>
      <c r="AE711" s="231"/>
      <c r="AF711" s="231"/>
      <c r="AG711" s="231"/>
      <c r="AH711" s="231"/>
      <c r="AI711" s="231"/>
      <c r="AJ711" s="231"/>
      <c r="AK711" s="231"/>
      <c r="AL711" s="231"/>
      <c r="AM711" s="231"/>
      <c r="AN711" s="231"/>
      <c r="AO711" s="484"/>
      <c r="AP711" s="472"/>
      <c r="AQ711" s="473"/>
      <c r="AR711" s="268" t="s">
        <v>13</v>
      </c>
      <c r="AS711" s="268"/>
      <c r="AT711" s="269">
        <f>+AT709+AT710</f>
        <v>0</v>
      </c>
      <c r="AU711" s="269"/>
    </row>
    <row r="712" spans="8:47" s="23" customFormat="1" ht="30" customHeight="1" thickTop="1" x14ac:dyDescent="0.2">
      <c r="H712" s="230"/>
      <c r="I712" s="230"/>
      <c r="J712" s="231"/>
      <c r="K712" s="231"/>
      <c r="L712" s="231"/>
      <c r="M712" s="231"/>
      <c r="N712" s="231"/>
      <c r="O712" s="231"/>
      <c r="P712" s="231"/>
      <c r="Q712" s="231"/>
      <c r="R712" s="231"/>
      <c r="S712" s="231"/>
      <c r="T712" s="231"/>
      <c r="U712" s="231"/>
      <c r="V712" s="231"/>
      <c r="W712" s="231"/>
      <c r="X712" s="231"/>
      <c r="Y712" s="231"/>
      <c r="Z712" s="231"/>
      <c r="AA712" s="231"/>
      <c r="AB712" s="231"/>
      <c r="AC712" s="231"/>
      <c r="AD712" s="231"/>
      <c r="AE712" s="231"/>
      <c r="AF712" s="231"/>
      <c r="AG712" s="231"/>
      <c r="AH712" s="231"/>
      <c r="AI712" s="231"/>
      <c r="AJ712" s="231"/>
      <c r="AK712" s="231"/>
      <c r="AL712" s="231"/>
      <c r="AM712" s="231"/>
      <c r="AN712" s="231"/>
      <c r="AO712" s="482">
        <v>5</v>
      </c>
      <c r="AP712" s="462" t="s">
        <v>1392</v>
      </c>
      <c r="AQ712" s="463"/>
      <c r="AR712" s="251" t="s">
        <v>1</v>
      </c>
      <c r="AS712" s="251"/>
      <c r="AT712" s="252">
        <f>+AT700+AT703+AT706+AT709</f>
        <v>0</v>
      </c>
      <c r="AU712" s="252"/>
    </row>
    <row r="713" spans="8:47" s="23" customFormat="1" ht="30" customHeight="1" x14ac:dyDescent="0.2">
      <c r="H713" s="230"/>
      <c r="I713" s="232"/>
      <c r="J713" s="231"/>
      <c r="K713" s="231"/>
      <c r="L713" s="231"/>
      <c r="M713" s="231"/>
      <c r="N713" s="231"/>
      <c r="O713" s="231"/>
      <c r="P713" s="231"/>
      <c r="Q713" s="231"/>
      <c r="R713" s="231"/>
      <c r="S713" s="231"/>
      <c r="T713" s="231"/>
      <c r="U713" s="231"/>
      <c r="V713" s="231"/>
      <c r="W713" s="231"/>
      <c r="X713" s="231"/>
      <c r="Y713" s="231"/>
      <c r="Z713" s="231"/>
      <c r="AA713" s="231"/>
      <c r="AB713" s="231"/>
      <c r="AC713" s="231"/>
      <c r="AD713" s="231"/>
      <c r="AE713" s="231"/>
      <c r="AF713" s="231"/>
      <c r="AG713" s="231"/>
      <c r="AH713" s="231"/>
      <c r="AI713" s="231"/>
      <c r="AJ713" s="231"/>
      <c r="AK713" s="231"/>
      <c r="AL713" s="231"/>
      <c r="AM713" s="231"/>
      <c r="AN713" s="231"/>
      <c r="AO713" s="483"/>
      <c r="AP713" s="464"/>
      <c r="AQ713" s="465"/>
      <c r="AR713" s="251" t="s">
        <v>2</v>
      </c>
      <c r="AS713" s="251"/>
      <c r="AT713" s="252">
        <f>+AT701+AT704+AT707+AT710</f>
        <v>0</v>
      </c>
      <c r="AU713" s="252"/>
    </row>
    <row r="714" spans="8:47" s="23" customFormat="1" ht="38.25" customHeight="1" thickBot="1" x14ac:dyDescent="0.25">
      <c r="H714" s="230"/>
      <c r="I714" s="232"/>
      <c r="J714" s="231"/>
      <c r="K714" s="231"/>
      <c r="L714" s="231"/>
      <c r="M714" s="231"/>
      <c r="N714" s="231"/>
      <c r="O714" s="231"/>
      <c r="P714" s="231"/>
      <c r="Q714" s="231"/>
      <c r="R714" s="231"/>
      <c r="S714" s="231"/>
      <c r="T714" s="231"/>
      <c r="U714" s="231"/>
      <c r="V714" s="231"/>
      <c r="W714" s="231"/>
      <c r="X714" s="231"/>
      <c r="Y714" s="231"/>
      <c r="Z714" s="231"/>
      <c r="AA714" s="231"/>
      <c r="AB714" s="231"/>
      <c r="AC714" s="231"/>
      <c r="AD714" s="231"/>
      <c r="AE714" s="231"/>
      <c r="AF714" s="231"/>
      <c r="AG714" s="231"/>
      <c r="AH714" s="231"/>
      <c r="AI714" s="231"/>
      <c r="AJ714" s="231"/>
      <c r="AK714" s="231"/>
      <c r="AL714" s="231"/>
      <c r="AM714" s="231"/>
      <c r="AN714" s="231"/>
      <c r="AO714" s="484"/>
      <c r="AP714" s="466"/>
      <c r="AQ714" s="467"/>
      <c r="AR714" s="253" t="s">
        <v>13</v>
      </c>
      <c r="AS714" s="253"/>
      <c r="AT714" s="254">
        <f>+AT712+AT713</f>
        <v>0</v>
      </c>
      <c r="AU714" s="254"/>
    </row>
    <row r="715" spans="8:47" ht="13.5" thickTop="1" x14ac:dyDescent="0.25"/>
  </sheetData>
  <sheetProtection algorithmName="SHA-512" hashValue="QiSydxYhECPOIPHqjrVkcFnDB+922mbzk1hMKlNkpTT/LJjPACMiSzg+RLsLqYV6+7FvgBO8AjMvp0lHD+NP8Q==" saltValue="c/KR+DxfrrgbHoagg1mTOA==" spinCount="100000" sheet="1" insertHyperlinks="0" selectLockedCells="1" sort="0"/>
  <mergeCells count="960">
    <mergeCell ref="AN3:AN4"/>
    <mergeCell ref="O3:O4"/>
    <mergeCell ref="P3:P4"/>
    <mergeCell ref="Q3:Q4"/>
    <mergeCell ref="R3:R4"/>
    <mergeCell ref="S3:S4"/>
    <mergeCell ref="T3:T4"/>
    <mergeCell ref="U3:U4"/>
    <mergeCell ref="AP712:AQ714"/>
    <mergeCell ref="AP709:AQ711"/>
    <mergeCell ref="AP706:AQ708"/>
    <mergeCell ref="AP703:AQ705"/>
    <mergeCell ref="AP700:AQ702"/>
    <mergeCell ref="AO712:AO714"/>
    <mergeCell ref="AO709:AO711"/>
    <mergeCell ref="AO706:AO708"/>
    <mergeCell ref="AO703:AO705"/>
    <mergeCell ref="AO700:AO702"/>
    <mergeCell ref="AE3:AE4"/>
    <mergeCell ref="AF3:AF4"/>
    <mergeCell ref="AG3:AG4"/>
    <mergeCell ref="AH3:AH4"/>
    <mergeCell ref="AI3:AI4"/>
    <mergeCell ref="AJ3:AJ4"/>
    <mergeCell ref="AL3:AL4"/>
    <mergeCell ref="AM3:AM4"/>
    <mergeCell ref="V3:V4"/>
    <mergeCell ref="W3:W4"/>
    <mergeCell ref="X3:X4"/>
    <mergeCell ref="Y3:Y4"/>
    <mergeCell ref="Z3:Z4"/>
    <mergeCell ref="AA3:AA4"/>
    <mergeCell ref="AB3:AB4"/>
    <mergeCell ref="AC3:AC4"/>
    <mergeCell ref="AD3:AD4"/>
    <mergeCell ref="AR712:AS712"/>
    <mergeCell ref="AT712:AU712"/>
    <mergeCell ref="AR713:AS713"/>
    <mergeCell ref="AT713:AU713"/>
    <mergeCell ref="AR714:AS714"/>
    <mergeCell ref="AT714:AU714"/>
    <mergeCell ref="F436:F442"/>
    <mergeCell ref="H563:H566"/>
    <mergeCell ref="F444:F450"/>
    <mergeCell ref="F451:F458"/>
    <mergeCell ref="F461:F463"/>
    <mergeCell ref="F464:F471"/>
    <mergeCell ref="H464:H471"/>
    <mergeCell ref="F503:F504"/>
    <mergeCell ref="G503:G504"/>
    <mergeCell ref="H503:H504"/>
    <mergeCell ref="C501:F501"/>
    <mergeCell ref="C496:D496"/>
    <mergeCell ref="E496:E500"/>
    <mergeCell ref="F496:F500"/>
    <mergeCell ref="G496:G500"/>
    <mergeCell ref="H496:H500"/>
    <mergeCell ref="C536:D536"/>
    <mergeCell ref="C537:D537"/>
    <mergeCell ref="C5:F5"/>
    <mergeCell ref="C6:D6"/>
    <mergeCell ref="C7:D7"/>
    <mergeCell ref="I1:AO1"/>
    <mergeCell ref="AP1:AQ1"/>
    <mergeCell ref="AR1:AS1"/>
    <mergeCell ref="AT1:AT4"/>
    <mergeCell ref="AU1:AU4"/>
    <mergeCell ref="A1:F2"/>
    <mergeCell ref="G1:H2"/>
    <mergeCell ref="H3:H4"/>
    <mergeCell ref="G3:G4"/>
    <mergeCell ref="F3:F4"/>
    <mergeCell ref="E3:E4"/>
    <mergeCell ref="C3:D4"/>
    <mergeCell ref="B3:B4"/>
    <mergeCell ref="A3:A4"/>
    <mergeCell ref="I2:I4"/>
    <mergeCell ref="J2:AN2"/>
    <mergeCell ref="AO2:AO4"/>
    <mergeCell ref="J3:L3"/>
    <mergeCell ref="N3:N4"/>
    <mergeCell ref="M3:M4"/>
    <mergeCell ref="AK3:AK4"/>
    <mergeCell ref="H38:H42"/>
    <mergeCell ref="C43:F43"/>
    <mergeCell ref="C35:D35"/>
    <mergeCell ref="C36:D36"/>
    <mergeCell ref="C34:D34"/>
    <mergeCell ref="C31:D31"/>
    <mergeCell ref="C32:D32"/>
    <mergeCell ref="C33:D33"/>
    <mergeCell ref="C30:D30"/>
    <mergeCell ref="C10:F10"/>
    <mergeCell ref="C8:D8"/>
    <mergeCell ref="C9:D9"/>
    <mergeCell ref="C39:D39"/>
    <mergeCell ref="C40:D40"/>
    <mergeCell ref="C41:D41"/>
    <mergeCell ref="C42:D42"/>
    <mergeCell ref="G38:G42"/>
    <mergeCell ref="C38:D38"/>
    <mergeCell ref="F38:F42"/>
    <mergeCell ref="C26:D26"/>
    <mergeCell ref="C27:D27"/>
    <mergeCell ref="C28:D28"/>
    <mergeCell ref="C29:D29"/>
    <mergeCell ref="C25:D25"/>
    <mergeCell ref="C21:D21"/>
    <mergeCell ref="C22:D22"/>
    <mergeCell ref="C23:D23"/>
    <mergeCell ref="C24:D24"/>
    <mergeCell ref="C20:D20"/>
    <mergeCell ref="C15:D15"/>
    <mergeCell ref="C16:D16"/>
    <mergeCell ref="C17:D17"/>
    <mergeCell ref="C18:D18"/>
    <mergeCell ref="C77:D77"/>
    <mergeCell ref="C78:D78"/>
    <mergeCell ref="C79:D79"/>
    <mergeCell ref="C85:D85"/>
    <mergeCell ref="C87:D87"/>
    <mergeCell ref="C88:D88"/>
    <mergeCell ref="C89:D89"/>
    <mergeCell ref="C90:D90"/>
    <mergeCell ref="C91:D91"/>
    <mergeCell ref="C86:D86"/>
    <mergeCell ref="C11:D11"/>
    <mergeCell ref="C12:D12"/>
    <mergeCell ref="C13:D13"/>
    <mergeCell ref="C14:D14"/>
    <mergeCell ref="F11:F36"/>
    <mergeCell ref="E11:E36"/>
    <mergeCell ref="C19:D19"/>
    <mergeCell ref="E38:E42"/>
    <mergeCell ref="C37:F37"/>
    <mergeCell ref="G327:G338"/>
    <mergeCell ref="C336:D336"/>
    <mergeCell ref="H327:H338"/>
    <mergeCell ref="C334:D334"/>
    <mergeCell ref="C335:D335"/>
    <mergeCell ref="C333:D333"/>
    <mergeCell ref="C331:D331"/>
    <mergeCell ref="C332:D332"/>
    <mergeCell ref="C330:D330"/>
    <mergeCell ref="C327:D327"/>
    <mergeCell ref="C328:D328"/>
    <mergeCell ref="C329:D329"/>
    <mergeCell ref="C345:D345"/>
    <mergeCell ref="C346:D346"/>
    <mergeCell ref="E339:E346"/>
    <mergeCell ref="C348:D348"/>
    <mergeCell ref="F339:F346"/>
    <mergeCell ref="H339:H346"/>
    <mergeCell ref="G339:G344"/>
    <mergeCell ref="G345:G346"/>
    <mergeCell ref="C347:F347"/>
    <mergeCell ref="C343:D343"/>
    <mergeCell ref="C344:D344"/>
    <mergeCell ref="C342:D342"/>
    <mergeCell ref="C340:D340"/>
    <mergeCell ref="C341:D341"/>
    <mergeCell ref="C339:D339"/>
    <mergeCell ref="H361:H363"/>
    <mergeCell ref="C363:D363"/>
    <mergeCell ref="C361:D361"/>
    <mergeCell ref="C362:D362"/>
    <mergeCell ref="C360:D360"/>
    <mergeCell ref="C358:D358"/>
    <mergeCell ref="C359:D359"/>
    <mergeCell ref="C357:D357"/>
    <mergeCell ref="C355:D355"/>
    <mergeCell ref="C356:D356"/>
    <mergeCell ref="E348:E360"/>
    <mergeCell ref="C354:D354"/>
    <mergeCell ref="H348:H360"/>
    <mergeCell ref="C349:D349"/>
    <mergeCell ref="C352:D352"/>
    <mergeCell ref="C353:D353"/>
    <mergeCell ref="C351:D351"/>
    <mergeCell ref="C350:D350"/>
    <mergeCell ref="G348:G360"/>
    <mergeCell ref="F348:F356"/>
    <mergeCell ref="F357:F360"/>
    <mergeCell ref="E361:E363"/>
    <mergeCell ref="G361:G363"/>
    <mergeCell ref="H393:H395"/>
    <mergeCell ref="E393:E395"/>
    <mergeCell ref="C393:D393"/>
    <mergeCell ref="F393:F395"/>
    <mergeCell ref="H384:H392"/>
    <mergeCell ref="G384:G392"/>
    <mergeCell ref="E384:E392"/>
    <mergeCell ref="F384:F392"/>
    <mergeCell ref="F364:F383"/>
    <mergeCell ref="E364:E383"/>
    <mergeCell ref="G364:G383"/>
    <mergeCell ref="H364:H383"/>
    <mergeCell ref="C394:D394"/>
    <mergeCell ref="C395:D395"/>
    <mergeCell ref="G393:G395"/>
    <mergeCell ref="H396:H410"/>
    <mergeCell ref="C399:D399"/>
    <mergeCell ref="G396:G410"/>
    <mergeCell ref="C408:D408"/>
    <mergeCell ref="C407:D407"/>
    <mergeCell ref="C406:D406"/>
    <mergeCell ref="C397:D397"/>
    <mergeCell ref="C398:D398"/>
    <mergeCell ref="C396:D396"/>
    <mergeCell ref="C405:D405"/>
    <mergeCell ref="C404:D404"/>
    <mergeCell ref="C403:D403"/>
    <mergeCell ref="C402:D402"/>
    <mergeCell ref="F396:F410"/>
    <mergeCell ref="E396:E410"/>
    <mergeCell ref="C410:D410"/>
    <mergeCell ref="C409:D409"/>
    <mergeCell ref="C400:D400"/>
    <mergeCell ref="C401:D401"/>
    <mergeCell ref="C430:D430"/>
    <mergeCell ref="C431:D431"/>
    <mergeCell ref="C432:D432"/>
    <mergeCell ref="C433:D433"/>
    <mergeCell ref="C421:D421"/>
    <mergeCell ref="C422:D422"/>
    <mergeCell ref="C420:D420"/>
    <mergeCell ref="H413:H435"/>
    <mergeCell ref="C425:D425"/>
    <mergeCell ref="C426:D426"/>
    <mergeCell ref="C427:D427"/>
    <mergeCell ref="C414:D414"/>
    <mergeCell ref="C415:D415"/>
    <mergeCell ref="C416:D416"/>
    <mergeCell ref="C417:D417"/>
    <mergeCell ref="C418:D418"/>
    <mergeCell ref="C419:D419"/>
    <mergeCell ref="C429:D429"/>
    <mergeCell ref="E536:E542"/>
    <mergeCell ref="C525:D525"/>
    <mergeCell ref="C524:D524"/>
    <mergeCell ref="C518:D518"/>
    <mergeCell ref="C519:D519"/>
    <mergeCell ref="C520:D520"/>
    <mergeCell ref="C522:D522"/>
    <mergeCell ref="C523:D523"/>
    <mergeCell ref="C521:D521"/>
    <mergeCell ref="H554:H562"/>
    <mergeCell ref="C559:D559"/>
    <mergeCell ref="C560:D560"/>
    <mergeCell ref="C561:D561"/>
    <mergeCell ref="C557:D557"/>
    <mergeCell ref="C558:D558"/>
    <mergeCell ref="C554:D554"/>
    <mergeCell ref="C555:D555"/>
    <mergeCell ref="C556:D556"/>
    <mergeCell ref="E597:E598"/>
    <mergeCell ref="F597:F598"/>
    <mergeCell ref="C590:D590"/>
    <mergeCell ref="C591:D591"/>
    <mergeCell ref="C592:D592"/>
    <mergeCell ref="C593:D593"/>
    <mergeCell ref="C594:D594"/>
    <mergeCell ref="C582:D582"/>
    <mergeCell ref="C584:D584"/>
    <mergeCell ref="E585:E588"/>
    <mergeCell ref="F585:F588"/>
    <mergeCell ref="C606:D606"/>
    <mergeCell ref="C607:D607"/>
    <mergeCell ref="C608:D608"/>
    <mergeCell ref="C602:D602"/>
    <mergeCell ref="C603:D603"/>
    <mergeCell ref="C604:D604"/>
    <mergeCell ref="C605:D605"/>
    <mergeCell ref="C597:D597"/>
    <mergeCell ref="C598:D598"/>
    <mergeCell ref="C599:D599"/>
    <mergeCell ref="C601:D601"/>
    <mergeCell ref="G315:G326"/>
    <mergeCell ref="H315:H326"/>
    <mergeCell ref="H11:H36"/>
    <mergeCell ref="G11:G36"/>
    <mergeCell ref="C307:D307"/>
    <mergeCell ref="C308:D308"/>
    <mergeCell ref="C312:D312"/>
    <mergeCell ref="E304:E313"/>
    <mergeCell ref="C326:D326"/>
    <mergeCell ref="C325:D325"/>
    <mergeCell ref="C321:D321"/>
    <mergeCell ref="C322:D322"/>
    <mergeCell ref="C323:D323"/>
    <mergeCell ref="C324:D324"/>
    <mergeCell ref="C320:D320"/>
    <mergeCell ref="C316:D316"/>
    <mergeCell ref="C317:D317"/>
    <mergeCell ref="E315:E326"/>
    <mergeCell ref="C315:D315"/>
    <mergeCell ref="F315:F326"/>
    <mergeCell ref="C319:D319"/>
    <mergeCell ref="C47:D47"/>
    <mergeCell ref="G44:G48"/>
    <mergeCell ref="C63:D63"/>
    <mergeCell ref="C64:D64"/>
    <mergeCell ref="C56:D56"/>
    <mergeCell ref="F44:F56"/>
    <mergeCell ref="C58:D58"/>
    <mergeCell ref="E58:E76"/>
    <mergeCell ref="C48:D48"/>
    <mergeCell ref="C66:D66"/>
    <mergeCell ref="C67:D67"/>
    <mergeCell ref="C68:D68"/>
    <mergeCell ref="C46:D46"/>
    <mergeCell ref="C45:D45"/>
    <mergeCell ref="C52:D52"/>
    <mergeCell ref="C53:D53"/>
    <mergeCell ref="C54:D54"/>
    <mergeCell ref="C65:D65"/>
    <mergeCell ref="H44:H48"/>
    <mergeCell ref="C49:D49"/>
    <mergeCell ref="C50:D50"/>
    <mergeCell ref="C51:D51"/>
    <mergeCell ref="E44:E48"/>
    <mergeCell ref="E49:E55"/>
    <mergeCell ref="C44:D44"/>
    <mergeCell ref="H82:H85"/>
    <mergeCell ref="G82:G85"/>
    <mergeCell ref="H77:H81"/>
    <mergeCell ref="G77:G81"/>
    <mergeCell ref="C55:D55"/>
    <mergeCell ref="C75:D75"/>
    <mergeCell ref="F58:F76"/>
    <mergeCell ref="C69:D69"/>
    <mergeCell ref="C70:D70"/>
    <mergeCell ref="C71:D71"/>
    <mergeCell ref="C72:D72"/>
    <mergeCell ref="C73:D73"/>
    <mergeCell ref="C74:D74"/>
    <mergeCell ref="C57:F57"/>
    <mergeCell ref="H58:H76"/>
    <mergeCell ref="C59:D59"/>
    <mergeCell ref="G58:G76"/>
    <mergeCell ref="G49:G55"/>
    <mergeCell ref="H49:H55"/>
    <mergeCell ref="C76:D76"/>
    <mergeCell ref="C60:D60"/>
    <mergeCell ref="C61:D61"/>
    <mergeCell ref="C62:D62"/>
    <mergeCell ref="E86:E136"/>
    <mergeCell ref="F86:F136"/>
    <mergeCell ref="G86:G136"/>
    <mergeCell ref="H86:H136"/>
    <mergeCell ref="C80:D80"/>
    <mergeCell ref="C81:D81"/>
    <mergeCell ref="F77:F81"/>
    <mergeCell ref="E77:E81"/>
    <mergeCell ref="C82:D82"/>
    <mergeCell ref="E82:E85"/>
    <mergeCell ref="F82:F85"/>
    <mergeCell ref="C83:D83"/>
    <mergeCell ref="C84:D84"/>
    <mergeCell ref="C95:D95"/>
    <mergeCell ref="C96:D96"/>
    <mergeCell ref="C97:D97"/>
    <mergeCell ref="C98:D98"/>
    <mergeCell ref="C99:D99"/>
    <mergeCell ref="C100:D100"/>
    <mergeCell ref="C92:D92"/>
    <mergeCell ref="C93:D93"/>
    <mergeCell ref="C94:D94"/>
    <mergeCell ref="C107:D107"/>
    <mergeCell ref="C108:D108"/>
    <mergeCell ref="C109:D109"/>
    <mergeCell ref="C110:D110"/>
    <mergeCell ref="C111:D111"/>
    <mergeCell ref="C112:D112"/>
    <mergeCell ref="C101:D101"/>
    <mergeCell ref="C102:D102"/>
    <mergeCell ref="C103:D103"/>
    <mergeCell ref="C104:D104"/>
    <mergeCell ref="C105:D105"/>
    <mergeCell ref="C106:D106"/>
    <mergeCell ref="C119:D119"/>
    <mergeCell ref="C120:D120"/>
    <mergeCell ref="C121:D121"/>
    <mergeCell ref="C122:D122"/>
    <mergeCell ref="C123:D123"/>
    <mergeCell ref="C124:D124"/>
    <mergeCell ref="C113:D113"/>
    <mergeCell ref="C114:D114"/>
    <mergeCell ref="C115:D115"/>
    <mergeCell ref="C116:D116"/>
    <mergeCell ref="C117:D117"/>
    <mergeCell ref="C118:D118"/>
    <mergeCell ref="C131:D131"/>
    <mergeCell ref="C132:D132"/>
    <mergeCell ref="C133:D133"/>
    <mergeCell ref="C134:D134"/>
    <mergeCell ref="C135:D135"/>
    <mergeCell ref="C137:D137"/>
    <mergeCell ref="C125:D125"/>
    <mergeCell ref="C126:D126"/>
    <mergeCell ref="C127:D127"/>
    <mergeCell ref="C128:D128"/>
    <mergeCell ref="C129:D129"/>
    <mergeCell ref="C130:D130"/>
    <mergeCell ref="C150:D150"/>
    <mergeCell ref="C151:D151"/>
    <mergeCell ref="E137:E151"/>
    <mergeCell ref="F137:F151"/>
    <mergeCell ref="H137:H151"/>
    <mergeCell ref="G137:G151"/>
    <mergeCell ref="C144:D144"/>
    <mergeCell ref="C145:D145"/>
    <mergeCell ref="C146:D146"/>
    <mergeCell ref="C147:D147"/>
    <mergeCell ref="C148:D148"/>
    <mergeCell ref="C149:D149"/>
    <mergeCell ref="C138:D138"/>
    <mergeCell ref="C139:D139"/>
    <mergeCell ref="C140:D140"/>
    <mergeCell ref="C141:D141"/>
    <mergeCell ref="C142:D142"/>
    <mergeCell ref="C143:D143"/>
    <mergeCell ref="H152:H191"/>
    <mergeCell ref="C153:D153"/>
    <mergeCell ref="C154:D154"/>
    <mergeCell ref="C155:D155"/>
    <mergeCell ref="C156:D156"/>
    <mergeCell ref="C157:D157"/>
    <mergeCell ref="C169:D169"/>
    <mergeCell ref="C170:D170"/>
    <mergeCell ref="C171:D171"/>
    <mergeCell ref="C158:D158"/>
    <mergeCell ref="C159:D159"/>
    <mergeCell ref="C160:D160"/>
    <mergeCell ref="C161:D161"/>
    <mergeCell ref="C162:D162"/>
    <mergeCell ref="C163:D163"/>
    <mergeCell ref="C184:D184"/>
    <mergeCell ref="C185:D185"/>
    <mergeCell ref="C186:D186"/>
    <mergeCell ref="C187:D187"/>
    <mergeCell ref="C188:D188"/>
    <mergeCell ref="C189:D189"/>
    <mergeCell ref="G152:G191"/>
    <mergeCell ref="C164:D164"/>
    <mergeCell ref="C165:D165"/>
    <mergeCell ref="C166:D166"/>
    <mergeCell ref="E152:E191"/>
    <mergeCell ref="F152:F191"/>
    <mergeCell ref="C167:D167"/>
    <mergeCell ref="C168:D168"/>
    <mergeCell ref="C152:D152"/>
    <mergeCell ref="C178:D178"/>
    <mergeCell ref="C179:D179"/>
    <mergeCell ref="C180:D180"/>
    <mergeCell ref="C181:D181"/>
    <mergeCell ref="C182:D182"/>
    <mergeCell ref="C173:D173"/>
    <mergeCell ref="C174:D174"/>
    <mergeCell ref="C175:D175"/>
    <mergeCell ref="C176:D176"/>
    <mergeCell ref="C177:D177"/>
    <mergeCell ref="C190:D190"/>
    <mergeCell ref="C191:D191"/>
    <mergeCell ref="C183:D183"/>
    <mergeCell ref="C172:D172"/>
    <mergeCell ref="C202:D202"/>
    <mergeCell ref="E202:E213"/>
    <mergeCell ref="F202:F213"/>
    <mergeCell ref="G202:G213"/>
    <mergeCell ref="C212:D212"/>
    <mergeCell ref="C213:D213"/>
    <mergeCell ref="H192:H200"/>
    <mergeCell ref="C193:D193"/>
    <mergeCell ref="C194:D194"/>
    <mergeCell ref="C195:D195"/>
    <mergeCell ref="C196:D196"/>
    <mergeCell ref="C197:D197"/>
    <mergeCell ref="C198:D198"/>
    <mergeCell ref="C199:D199"/>
    <mergeCell ref="C201:F201"/>
    <mergeCell ref="F192:F200"/>
    <mergeCell ref="G192:G200"/>
    <mergeCell ref="E192:E200"/>
    <mergeCell ref="C200:D200"/>
    <mergeCell ref="C192:D192"/>
    <mergeCell ref="C214:D214"/>
    <mergeCell ref="C215:D215"/>
    <mergeCell ref="E215:E225"/>
    <mergeCell ref="F215:F225"/>
    <mergeCell ref="G215:G225"/>
    <mergeCell ref="H202:H213"/>
    <mergeCell ref="C203:D203"/>
    <mergeCell ref="C204:D204"/>
    <mergeCell ref="C205:D205"/>
    <mergeCell ref="C206:D206"/>
    <mergeCell ref="C207:D207"/>
    <mergeCell ref="C208:D208"/>
    <mergeCell ref="C209:D209"/>
    <mergeCell ref="C210:D210"/>
    <mergeCell ref="C211:D211"/>
    <mergeCell ref="H215:H225"/>
    <mergeCell ref="C217:D217"/>
    <mergeCell ref="C218:D218"/>
    <mergeCell ref="C219:D219"/>
    <mergeCell ref="C220:D220"/>
    <mergeCell ref="C221:D221"/>
    <mergeCell ref="C222:D222"/>
    <mergeCell ref="C223:D223"/>
    <mergeCell ref="C224:D224"/>
    <mergeCell ref="C225:D225"/>
    <mergeCell ref="C216:D216"/>
    <mergeCell ref="C226:D226"/>
    <mergeCell ref="E226:E231"/>
    <mergeCell ref="F226:F231"/>
    <mergeCell ref="G226:G231"/>
    <mergeCell ref="H226:H231"/>
    <mergeCell ref="C227:D227"/>
    <mergeCell ref="C228:D228"/>
    <mergeCell ref="C229:D229"/>
    <mergeCell ref="C230:D230"/>
    <mergeCell ref="C231:D231"/>
    <mergeCell ref="E239:E244"/>
    <mergeCell ref="F239:F244"/>
    <mergeCell ref="G239:G244"/>
    <mergeCell ref="H239:H244"/>
    <mergeCell ref="C240:D240"/>
    <mergeCell ref="C241:D241"/>
    <mergeCell ref="C242:D242"/>
    <mergeCell ref="C243:D243"/>
    <mergeCell ref="F232:F235"/>
    <mergeCell ref="H232:H235"/>
    <mergeCell ref="G232:G235"/>
    <mergeCell ref="C236:D236"/>
    <mergeCell ref="C237:D237"/>
    <mergeCell ref="F236:F237"/>
    <mergeCell ref="E236:E237"/>
    <mergeCell ref="H236:H237"/>
    <mergeCell ref="G236:G237"/>
    <mergeCell ref="C232:D232"/>
    <mergeCell ref="C233:D233"/>
    <mergeCell ref="C234:D234"/>
    <mergeCell ref="C235:D235"/>
    <mergeCell ref="E232:E235"/>
    <mergeCell ref="C238:F238"/>
    <mergeCell ref="C244:D244"/>
    <mergeCell ref="G250:G255"/>
    <mergeCell ref="H250:H255"/>
    <mergeCell ref="C249:D249"/>
    <mergeCell ref="C248:D248"/>
    <mergeCell ref="C247:D247"/>
    <mergeCell ref="C246:D246"/>
    <mergeCell ref="H245:H249"/>
    <mergeCell ref="G245:G249"/>
    <mergeCell ref="F245:F249"/>
    <mergeCell ref="E245:E249"/>
    <mergeCell ref="C245:D245"/>
    <mergeCell ref="E250:E255"/>
    <mergeCell ref="F250:F255"/>
    <mergeCell ref="G261:G267"/>
    <mergeCell ref="H261:H267"/>
    <mergeCell ref="C262:D262"/>
    <mergeCell ref="C263:D263"/>
    <mergeCell ref="C264:D264"/>
    <mergeCell ref="C266:D266"/>
    <mergeCell ref="C267:D267"/>
    <mergeCell ref="E256:E260"/>
    <mergeCell ref="F256:F260"/>
    <mergeCell ref="G256:G260"/>
    <mergeCell ref="H256:H260"/>
    <mergeCell ref="C265:D265"/>
    <mergeCell ref="C261:D261"/>
    <mergeCell ref="E261:E267"/>
    <mergeCell ref="F261:F267"/>
    <mergeCell ref="G278:G282"/>
    <mergeCell ref="H278:H282"/>
    <mergeCell ref="C282:D282"/>
    <mergeCell ref="C281:D281"/>
    <mergeCell ref="C280:D280"/>
    <mergeCell ref="C279:D279"/>
    <mergeCell ref="C278:D278"/>
    <mergeCell ref="C270:D270"/>
    <mergeCell ref="C271:D271"/>
    <mergeCell ref="E272:E276"/>
    <mergeCell ref="F272:F276"/>
    <mergeCell ref="G272:G276"/>
    <mergeCell ref="H272:H276"/>
    <mergeCell ref="E268:E271"/>
    <mergeCell ref="F268:F271"/>
    <mergeCell ref="G268:G271"/>
    <mergeCell ref="H268:H271"/>
    <mergeCell ref="C269:D269"/>
    <mergeCell ref="C277:F277"/>
    <mergeCell ref="E278:E282"/>
    <mergeCell ref="F278:F282"/>
    <mergeCell ref="C268:D268"/>
    <mergeCell ref="G290:G294"/>
    <mergeCell ref="H290:H294"/>
    <mergeCell ref="C291:D291"/>
    <mergeCell ref="C292:D292"/>
    <mergeCell ref="C293:D293"/>
    <mergeCell ref="C294:D294"/>
    <mergeCell ref="C283:D283"/>
    <mergeCell ref="E283:E289"/>
    <mergeCell ref="F283:F289"/>
    <mergeCell ref="G283:G289"/>
    <mergeCell ref="H283:H289"/>
    <mergeCell ref="C284:D284"/>
    <mergeCell ref="C285:D285"/>
    <mergeCell ref="C286:D286"/>
    <mergeCell ref="C287:D287"/>
    <mergeCell ref="C288:D288"/>
    <mergeCell ref="G304:G313"/>
    <mergeCell ref="H304:H313"/>
    <mergeCell ref="C302:D302"/>
    <mergeCell ref="C297:D297"/>
    <mergeCell ref="C303:D303"/>
    <mergeCell ref="C295:D295"/>
    <mergeCell ref="E295:E302"/>
    <mergeCell ref="F295:F302"/>
    <mergeCell ref="G295:G302"/>
    <mergeCell ref="H295:H302"/>
    <mergeCell ref="C296:D296"/>
    <mergeCell ref="C298:D298"/>
    <mergeCell ref="C299:D299"/>
    <mergeCell ref="C300:D300"/>
    <mergeCell ref="C301:D301"/>
    <mergeCell ref="C311:D311"/>
    <mergeCell ref="C313:D313"/>
    <mergeCell ref="F304:F313"/>
    <mergeCell ref="C310:D310"/>
    <mergeCell ref="C314:F314"/>
    <mergeCell ref="E327:E338"/>
    <mergeCell ref="F327:F338"/>
    <mergeCell ref="C309:D309"/>
    <mergeCell ref="C306:D306"/>
    <mergeCell ref="C305:D305"/>
    <mergeCell ref="C304:D304"/>
    <mergeCell ref="C289:D289"/>
    <mergeCell ref="C290:D290"/>
    <mergeCell ref="E290:E294"/>
    <mergeCell ref="F290:F294"/>
    <mergeCell ref="C337:D337"/>
    <mergeCell ref="C338:D338"/>
    <mergeCell ref="C318:D318"/>
    <mergeCell ref="C239:D239"/>
    <mergeCell ref="H444:H463"/>
    <mergeCell ref="C445:D445"/>
    <mergeCell ref="C428:D428"/>
    <mergeCell ref="C442:D442"/>
    <mergeCell ref="E436:E442"/>
    <mergeCell ref="G436:G442"/>
    <mergeCell ref="H436:H442"/>
    <mergeCell ref="C411:D411"/>
    <mergeCell ref="C412:F412"/>
    <mergeCell ref="C413:D413"/>
    <mergeCell ref="E413:E435"/>
    <mergeCell ref="G413:G435"/>
    <mergeCell ref="F413:F435"/>
    <mergeCell ref="C423:D423"/>
    <mergeCell ref="C424:D424"/>
    <mergeCell ref="C463:D463"/>
    <mergeCell ref="C440:D440"/>
    <mergeCell ref="C435:D435"/>
    <mergeCell ref="C436:D436"/>
    <mergeCell ref="C437:D437"/>
    <mergeCell ref="C438:D438"/>
    <mergeCell ref="C439:D439"/>
    <mergeCell ref="C434:D434"/>
    <mergeCell ref="E464:E471"/>
    <mergeCell ref="C443:F443"/>
    <mergeCell ref="C444:D444"/>
    <mergeCell ref="E444:E463"/>
    <mergeCell ref="G444:G463"/>
    <mergeCell ref="C471:D471"/>
    <mergeCell ref="C464:D464"/>
    <mergeCell ref="C465:D465"/>
    <mergeCell ref="C466:D466"/>
    <mergeCell ref="C467:D467"/>
    <mergeCell ref="C468:D468"/>
    <mergeCell ref="C469:D469"/>
    <mergeCell ref="C470:D470"/>
    <mergeCell ref="G464:G471"/>
    <mergeCell ref="C472:D472"/>
    <mergeCell ref="C473:D473"/>
    <mergeCell ref="C474:D474"/>
    <mergeCell ref="C475:D475"/>
    <mergeCell ref="H472:H475"/>
    <mergeCell ref="G472:G475"/>
    <mergeCell ref="F472:F475"/>
    <mergeCell ref="E472:E475"/>
    <mergeCell ref="C476:D476"/>
    <mergeCell ref="E476:E481"/>
    <mergeCell ref="F476:F481"/>
    <mergeCell ref="G476:G481"/>
    <mergeCell ref="H476:H481"/>
    <mergeCell ref="C477:D477"/>
    <mergeCell ref="C480:D480"/>
    <mergeCell ref="C479:D479"/>
    <mergeCell ref="C478:D478"/>
    <mergeCell ref="C481:D481"/>
    <mergeCell ref="C488:D488"/>
    <mergeCell ref="E488:E495"/>
    <mergeCell ref="F488:F495"/>
    <mergeCell ref="G488:G495"/>
    <mergeCell ref="H488:H495"/>
    <mergeCell ref="C489:D489"/>
    <mergeCell ref="C490:D490"/>
    <mergeCell ref="C495:D495"/>
    <mergeCell ref="C482:D482"/>
    <mergeCell ref="E482:E487"/>
    <mergeCell ref="F482:F487"/>
    <mergeCell ref="G482:G487"/>
    <mergeCell ref="H482:H487"/>
    <mergeCell ref="C483:D483"/>
    <mergeCell ref="C484:D484"/>
    <mergeCell ref="C491:D491"/>
    <mergeCell ref="C492:D492"/>
    <mergeCell ref="C493:D493"/>
    <mergeCell ref="C494:D494"/>
    <mergeCell ref="C485:D485"/>
    <mergeCell ref="C486:D486"/>
    <mergeCell ref="C487:D487"/>
    <mergeCell ref="C502:F502"/>
    <mergeCell ref="E503:E504"/>
    <mergeCell ref="C497:D497"/>
    <mergeCell ref="C498:D498"/>
    <mergeCell ref="C499:D499"/>
    <mergeCell ref="C500:D500"/>
    <mergeCell ref="C503:D503"/>
    <mergeCell ref="C504:D504"/>
    <mergeCell ref="C506:D506"/>
    <mergeCell ref="H529:H534"/>
    <mergeCell ref="G529:G534"/>
    <mergeCell ref="F529:F534"/>
    <mergeCell ref="E529:E534"/>
    <mergeCell ref="E505:E528"/>
    <mergeCell ref="F505:F528"/>
    <mergeCell ref="G505:G528"/>
    <mergeCell ref="H505:H528"/>
    <mergeCell ref="C517:D517"/>
    <mergeCell ref="C511:D511"/>
    <mergeCell ref="C512:D512"/>
    <mergeCell ref="C513:D513"/>
    <mergeCell ref="C514:D514"/>
    <mergeCell ref="C515:D515"/>
    <mergeCell ref="C516:D516"/>
    <mergeCell ref="C505:D505"/>
    <mergeCell ref="C507:D507"/>
    <mergeCell ref="C508:D508"/>
    <mergeCell ref="C509:D509"/>
    <mergeCell ref="C510:D510"/>
    <mergeCell ref="H545:H553"/>
    <mergeCell ref="F545:F553"/>
    <mergeCell ref="C549:D549"/>
    <mergeCell ref="C550:D550"/>
    <mergeCell ref="G536:G542"/>
    <mergeCell ref="H536:H542"/>
    <mergeCell ref="F536:F539"/>
    <mergeCell ref="F540:F541"/>
    <mergeCell ref="C526:D526"/>
    <mergeCell ref="C527:D527"/>
    <mergeCell ref="C528:D528"/>
    <mergeCell ref="C553:D553"/>
    <mergeCell ref="C546:D546"/>
    <mergeCell ref="C547:D547"/>
    <mergeCell ref="C548:D548"/>
    <mergeCell ref="C551:D551"/>
    <mergeCell ref="C552:D552"/>
    <mergeCell ref="C545:D545"/>
    <mergeCell ref="C538:D538"/>
    <mergeCell ref="C539:D539"/>
    <mergeCell ref="C540:D540"/>
    <mergeCell ref="C541:D541"/>
    <mergeCell ref="C542:D542"/>
    <mergeCell ref="C535:D535"/>
    <mergeCell ref="C543:D543"/>
    <mergeCell ref="C544:F544"/>
    <mergeCell ref="E545:E553"/>
    <mergeCell ref="G545:G553"/>
    <mergeCell ref="C568:D568"/>
    <mergeCell ref="C569:D569"/>
    <mergeCell ref="C570:D570"/>
    <mergeCell ref="C571:D571"/>
    <mergeCell ref="C572:D572"/>
    <mergeCell ref="C566:D566"/>
    <mergeCell ref="C563:D563"/>
    <mergeCell ref="C564:D564"/>
    <mergeCell ref="C565:D565"/>
    <mergeCell ref="E554:E562"/>
    <mergeCell ref="C562:D562"/>
    <mergeCell ref="F554:F562"/>
    <mergeCell ref="G554:G562"/>
    <mergeCell ref="G563:G566"/>
    <mergeCell ref="F563:F566"/>
    <mergeCell ref="E563:E566"/>
    <mergeCell ref="C577:D577"/>
    <mergeCell ref="C578:D578"/>
    <mergeCell ref="C579:D579"/>
    <mergeCell ref="E578:E579"/>
    <mergeCell ref="H567:H573"/>
    <mergeCell ref="C573:D573"/>
    <mergeCell ref="F567:F571"/>
    <mergeCell ref="F572:F573"/>
    <mergeCell ref="C575:F575"/>
    <mergeCell ref="C576:D576"/>
    <mergeCell ref="E576:E577"/>
    <mergeCell ref="F576:F577"/>
    <mergeCell ref="G576:G577"/>
    <mergeCell ref="C574:D574"/>
    <mergeCell ref="C567:D567"/>
    <mergeCell ref="E567:E573"/>
    <mergeCell ref="G567:G573"/>
    <mergeCell ref="G585:G588"/>
    <mergeCell ref="H585:H588"/>
    <mergeCell ref="F578:F579"/>
    <mergeCell ref="G578:G579"/>
    <mergeCell ref="H578:H579"/>
    <mergeCell ref="C580:D580"/>
    <mergeCell ref="C581:D581"/>
    <mergeCell ref="E582:E584"/>
    <mergeCell ref="F582:F584"/>
    <mergeCell ref="G582:G584"/>
    <mergeCell ref="H582:H584"/>
    <mergeCell ref="C583:D583"/>
    <mergeCell ref="G590:G594"/>
    <mergeCell ref="H590:H594"/>
    <mergeCell ref="F595:F596"/>
    <mergeCell ref="E595:E596"/>
    <mergeCell ref="H595:H596"/>
    <mergeCell ref="G595:G596"/>
    <mergeCell ref="C589:F589"/>
    <mergeCell ref="E590:E594"/>
    <mergeCell ref="F590:F594"/>
    <mergeCell ref="G608:G621"/>
    <mergeCell ref="H608:H621"/>
    <mergeCell ref="C609:D609"/>
    <mergeCell ref="C610:D610"/>
    <mergeCell ref="C611:D611"/>
    <mergeCell ref="C612:D612"/>
    <mergeCell ref="C613:D613"/>
    <mergeCell ref="C614:D614"/>
    <mergeCell ref="G597:G598"/>
    <mergeCell ref="H597:H598"/>
    <mergeCell ref="C600:F600"/>
    <mergeCell ref="E601:E607"/>
    <mergeCell ref="F601:F607"/>
    <mergeCell ref="G601:G607"/>
    <mergeCell ref="H601:H607"/>
    <mergeCell ref="C621:D621"/>
    <mergeCell ref="C615:D615"/>
    <mergeCell ref="C616:D616"/>
    <mergeCell ref="C617:D617"/>
    <mergeCell ref="C618:D618"/>
    <mergeCell ref="C619:D619"/>
    <mergeCell ref="C620:D620"/>
    <mergeCell ref="E608:E621"/>
    <mergeCell ref="F608:F621"/>
    <mergeCell ref="C634:F634"/>
    <mergeCell ref="E635:E637"/>
    <mergeCell ref="F635:F637"/>
    <mergeCell ref="H635:H637"/>
    <mergeCell ref="G635:G636"/>
    <mergeCell ref="E622:E629"/>
    <mergeCell ref="F623:F628"/>
    <mergeCell ref="H622:H629"/>
    <mergeCell ref="G622:G629"/>
    <mergeCell ref="E630:E632"/>
    <mergeCell ref="F630:F632"/>
    <mergeCell ref="H630:H632"/>
    <mergeCell ref="G630:G632"/>
    <mergeCell ref="C633:D633"/>
    <mergeCell ref="C630:D630"/>
    <mergeCell ref="E642:E644"/>
    <mergeCell ref="F642:F644"/>
    <mergeCell ref="H642:H644"/>
    <mergeCell ref="G642:G644"/>
    <mergeCell ref="C645:F645"/>
    <mergeCell ref="G638:G639"/>
    <mergeCell ref="H638:H639"/>
    <mergeCell ref="F638:F639"/>
    <mergeCell ref="E638:E639"/>
    <mergeCell ref="E640:E641"/>
    <mergeCell ref="G640:G641"/>
    <mergeCell ref="H640:H641"/>
    <mergeCell ref="C642:D642"/>
    <mergeCell ref="E654:E655"/>
    <mergeCell ref="F654:F655"/>
    <mergeCell ref="G654:G655"/>
    <mergeCell ref="H654:H655"/>
    <mergeCell ref="E656:E659"/>
    <mergeCell ref="F656:F659"/>
    <mergeCell ref="G656:G659"/>
    <mergeCell ref="H656:H659"/>
    <mergeCell ref="C646:F646"/>
    <mergeCell ref="E647:E653"/>
    <mergeCell ref="F647:F653"/>
    <mergeCell ref="H647:H653"/>
    <mergeCell ref="G647:G653"/>
    <mergeCell ref="C656:D656"/>
    <mergeCell ref="C657:D657"/>
    <mergeCell ref="C658:D658"/>
    <mergeCell ref="C659:D659"/>
    <mergeCell ref="C668:F668"/>
    <mergeCell ref="C670:F670"/>
    <mergeCell ref="E672:E675"/>
    <mergeCell ref="G672:G675"/>
    <mergeCell ref="H672:H675"/>
    <mergeCell ref="F672:F674"/>
    <mergeCell ref="E660:E663"/>
    <mergeCell ref="F660:F663"/>
    <mergeCell ref="G660:G663"/>
    <mergeCell ref="H660:H663"/>
    <mergeCell ref="E664:E667"/>
    <mergeCell ref="F664:F667"/>
    <mergeCell ref="G664:G667"/>
    <mergeCell ref="H664:H667"/>
    <mergeCell ref="C675:D675"/>
    <mergeCell ref="C669:D669"/>
    <mergeCell ref="C671:D671"/>
    <mergeCell ref="C672:D672"/>
    <mergeCell ref="C673:D673"/>
    <mergeCell ref="C674:D674"/>
    <mergeCell ref="C660:D660"/>
    <mergeCell ref="C661:D661"/>
    <mergeCell ref="C662:D662"/>
    <mergeCell ref="C663:D663"/>
    <mergeCell ref="C678:F678"/>
    <mergeCell ref="H679:H698"/>
    <mergeCell ref="G679:G698"/>
    <mergeCell ref="AR700:AS700"/>
    <mergeCell ref="E676:E677"/>
    <mergeCell ref="F676:F677"/>
    <mergeCell ref="G676:G677"/>
    <mergeCell ref="H676:H677"/>
    <mergeCell ref="C677:D677"/>
    <mergeCell ref="C676:D676"/>
    <mergeCell ref="AT700:AU700"/>
    <mergeCell ref="AR701:AS701"/>
    <mergeCell ref="AT701:AU701"/>
    <mergeCell ref="AR702:AS702"/>
    <mergeCell ref="AT702:AU702"/>
    <mergeCell ref="AR703:AS703"/>
    <mergeCell ref="AT703:AU703"/>
    <mergeCell ref="AR704:AS704"/>
    <mergeCell ref="AT704:AU704"/>
    <mergeCell ref="AR710:AS710"/>
    <mergeCell ref="AT710:AU710"/>
    <mergeCell ref="AR711:AS711"/>
    <mergeCell ref="AT711:AU711"/>
    <mergeCell ref="AR705:AS705"/>
    <mergeCell ref="AT705:AU705"/>
    <mergeCell ref="AR706:AS706"/>
    <mergeCell ref="AT706:AU706"/>
    <mergeCell ref="AR707:AS707"/>
    <mergeCell ref="AT707:AU707"/>
    <mergeCell ref="AR708:AS708"/>
    <mergeCell ref="AT708:AU708"/>
    <mergeCell ref="AR709:AS709"/>
    <mergeCell ref="AT709:AU709"/>
  </mergeCells>
  <phoneticPr fontId="14" type="noConversion"/>
  <pageMargins left="0.70866141732283472" right="0.70866141732283472" top="0.74803149606299213" bottom="0.74803149606299213" header="0.31496062992125984" footer="0.31496062992125984"/>
  <pageSetup paperSize="8" scale="38" fitToWidth="10" fitToHeight="10" orientation="portrait" r:id="rId1"/>
  <rowBreaks count="8" manualBreakCount="8">
    <brk id="76" max="15" man="1"/>
    <brk id="249" max="15" man="1"/>
    <brk id="326" max="46" man="1"/>
    <brk id="411" max="15" man="1"/>
    <brk id="487" max="46" man="1"/>
    <brk id="566" max="15" man="1"/>
    <brk id="633" max="15" man="1"/>
    <brk id="698" max="1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5DDAD-CD3D-4369-88C5-5CECBF031547}">
  <sheetPr>
    <pageSetUpPr fitToPage="1"/>
  </sheetPr>
  <dimension ref="A1:M10"/>
  <sheetViews>
    <sheetView zoomScale="85" zoomScaleNormal="85" workbookViewId="0">
      <selection activeCell="H4" sqref="H4"/>
    </sheetView>
  </sheetViews>
  <sheetFormatPr defaultRowHeight="12.75" x14ac:dyDescent="0.2"/>
  <cols>
    <col min="1" max="1" width="14.85546875" style="23" customWidth="1"/>
    <col min="2" max="2" width="9.7109375" style="23" customWidth="1"/>
    <col min="3" max="3" width="17.28515625" style="23" customWidth="1"/>
    <col min="4" max="5" width="34.42578125" style="23" customWidth="1"/>
    <col min="6" max="6" width="11.85546875" style="23" bestFit="1" customWidth="1"/>
    <col min="7" max="7" width="14.28515625" style="52" bestFit="1" customWidth="1"/>
    <col min="8" max="8" width="18.5703125" style="52" customWidth="1"/>
    <col min="9" max="9" width="24.28515625" style="52" customWidth="1" collapsed="1"/>
    <col min="10" max="10" width="18.5703125" style="52" customWidth="1"/>
    <col min="11" max="11" width="24.28515625" style="52" customWidth="1" collapsed="1"/>
    <col min="12" max="12" width="18.5703125" style="52" customWidth="1"/>
    <col min="13" max="13" width="24.28515625" style="52" customWidth="1"/>
    <col min="14" max="227" width="9.140625" style="23"/>
    <col min="228" max="229" width="54" style="23" customWidth="1"/>
    <col min="230" max="230" width="16.7109375" style="23" customWidth="1"/>
    <col min="231" max="231" width="11.85546875" style="23" bestFit="1" customWidth="1"/>
    <col min="232" max="232" width="9.85546875" style="23" bestFit="1" customWidth="1"/>
    <col min="233" max="233" width="10.5703125" style="23" bestFit="1" customWidth="1"/>
    <col min="234" max="236" width="13.42578125" style="23" customWidth="1"/>
    <col min="237" max="237" width="19.140625" style="23" customWidth="1"/>
    <col min="238" max="238" width="13.42578125" style="23" customWidth="1"/>
    <col min="239" max="239" width="19.85546875" style="23" customWidth="1"/>
    <col min="240" max="240" width="16" style="23" customWidth="1"/>
    <col min="241" max="241" width="24.28515625" style="23" customWidth="1"/>
    <col min="242" max="247" width="10.85546875" style="23" customWidth="1"/>
    <col min="248" max="248" width="16.28515625" style="23" bestFit="1" customWidth="1"/>
    <col min="249" max="249" width="12.140625" style="23" bestFit="1" customWidth="1"/>
    <col min="250" max="252" width="10.85546875" style="23" customWidth="1"/>
    <col min="253" max="253" width="9.28515625" style="23" bestFit="1" customWidth="1"/>
    <col min="254" max="483" width="9.140625" style="23"/>
    <col min="484" max="485" width="54" style="23" customWidth="1"/>
    <col min="486" max="486" width="16.7109375" style="23" customWidth="1"/>
    <col min="487" max="487" width="11.85546875" style="23" bestFit="1" customWidth="1"/>
    <col min="488" max="488" width="9.85546875" style="23" bestFit="1" customWidth="1"/>
    <col min="489" max="489" width="10.5703125" style="23" bestFit="1" customWidth="1"/>
    <col min="490" max="492" width="13.42578125" style="23" customWidth="1"/>
    <col min="493" max="493" width="19.140625" style="23" customWidth="1"/>
    <col min="494" max="494" width="13.42578125" style="23" customWidth="1"/>
    <col min="495" max="495" width="19.85546875" style="23" customWidth="1"/>
    <col min="496" max="496" width="16" style="23" customWidth="1"/>
    <col min="497" max="497" width="24.28515625" style="23" customWidth="1"/>
    <col min="498" max="503" width="10.85546875" style="23" customWidth="1"/>
    <col min="504" max="504" width="16.28515625" style="23" bestFit="1" customWidth="1"/>
    <col min="505" max="505" width="12.140625" style="23" bestFit="1" customWidth="1"/>
    <col min="506" max="508" width="10.85546875" style="23" customWidth="1"/>
    <col min="509" max="509" width="9.28515625" style="23" bestFit="1" customWidth="1"/>
    <col min="510" max="739" width="9.140625" style="23"/>
    <col min="740" max="741" width="54" style="23" customWidth="1"/>
    <col min="742" max="742" width="16.7109375" style="23" customWidth="1"/>
    <col min="743" max="743" width="11.85546875" style="23" bestFit="1" customWidth="1"/>
    <col min="744" max="744" width="9.85546875" style="23" bestFit="1" customWidth="1"/>
    <col min="745" max="745" width="10.5703125" style="23" bestFit="1" customWidth="1"/>
    <col min="746" max="748" width="13.42578125" style="23" customWidth="1"/>
    <col min="749" max="749" width="19.140625" style="23" customWidth="1"/>
    <col min="750" max="750" width="13.42578125" style="23" customWidth="1"/>
    <col min="751" max="751" width="19.85546875" style="23" customWidth="1"/>
    <col min="752" max="752" width="16" style="23" customWidth="1"/>
    <col min="753" max="753" width="24.28515625" style="23" customWidth="1"/>
    <col min="754" max="759" width="10.85546875" style="23" customWidth="1"/>
    <col min="760" max="760" width="16.28515625" style="23" bestFit="1" customWidth="1"/>
    <col min="761" max="761" width="12.140625" style="23" bestFit="1" customWidth="1"/>
    <col min="762" max="764" width="10.85546875" style="23" customWidth="1"/>
    <col min="765" max="765" width="9.28515625" style="23" bestFit="1" customWidth="1"/>
    <col min="766" max="995" width="9.140625" style="23"/>
    <col min="996" max="997" width="54" style="23" customWidth="1"/>
    <col min="998" max="998" width="16.7109375" style="23" customWidth="1"/>
    <col min="999" max="999" width="11.85546875" style="23" bestFit="1" customWidth="1"/>
    <col min="1000" max="1000" width="9.85546875" style="23" bestFit="1" customWidth="1"/>
    <col min="1001" max="1001" width="10.5703125" style="23" bestFit="1" customWidth="1"/>
    <col min="1002" max="1004" width="13.42578125" style="23" customWidth="1"/>
    <col min="1005" max="1005" width="19.140625" style="23" customWidth="1"/>
    <col min="1006" max="1006" width="13.42578125" style="23" customWidth="1"/>
    <col min="1007" max="1007" width="19.85546875" style="23" customWidth="1"/>
    <col min="1008" max="1008" width="16" style="23" customWidth="1"/>
    <col min="1009" max="1009" width="24.28515625" style="23" customWidth="1"/>
    <col min="1010" max="1015" width="10.85546875" style="23" customWidth="1"/>
    <col min="1016" max="1016" width="16.28515625" style="23" bestFit="1" customWidth="1"/>
    <col min="1017" max="1017" width="12.140625" style="23" bestFit="1" customWidth="1"/>
    <col min="1018" max="1020" width="10.85546875" style="23" customWidth="1"/>
    <col min="1021" max="1021" width="9.28515625" style="23" bestFit="1" customWidth="1"/>
    <col min="1022" max="1251" width="9.140625" style="23"/>
    <col min="1252" max="1253" width="54" style="23" customWidth="1"/>
    <col min="1254" max="1254" width="16.7109375" style="23" customWidth="1"/>
    <col min="1255" max="1255" width="11.85546875" style="23" bestFit="1" customWidth="1"/>
    <col min="1256" max="1256" width="9.85546875" style="23" bestFit="1" customWidth="1"/>
    <col min="1257" max="1257" width="10.5703125" style="23" bestFit="1" customWidth="1"/>
    <col min="1258" max="1260" width="13.42578125" style="23" customWidth="1"/>
    <col min="1261" max="1261" width="19.140625" style="23" customWidth="1"/>
    <col min="1262" max="1262" width="13.42578125" style="23" customWidth="1"/>
    <col min="1263" max="1263" width="19.85546875" style="23" customWidth="1"/>
    <col min="1264" max="1264" width="16" style="23" customWidth="1"/>
    <col min="1265" max="1265" width="24.28515625" style="23" customWidth="1"/>
    <col min="1266" max="1271" width="10.85546875" style="23" customWidth="1"/>
    <col min="1272" max="1272" width="16.28515625" style="23" bestFit="1" customWidth="1"/>
    <col min="1273" max="1273" width="12.140625" style="23" bestFit="1" customWidth="1"/>
    <col min="1274" max="1276" width="10.85546875" style="23" customWidth="1"/>
    <col min="1277" max="1277" width="9.28515625" style="23" bestFit="1" customWidth="1"/>
    <col min="1278" max="1507" width="9.140625" style="23"/>
    <col min="1508" max="1509" width="54" style="23" customWidth="1"/>
    <col min="1510" max="1510" width="16.7109375" style="23" customWidth="1"/>
    <col min="1511" max="1511" width="11.85546875" style="23" bestFit="1" customWidth="1"/>
    <col min="1512" max="1512" width="9.85546875" style="23" bestFit="1" customWidth="1"/>
    <col min="1513" max="1513" width="10.5703125" style="23" bestFit="1" customWidth="1"/>
    <col min="1514" max="1516" width="13.42578125" style="23" customWidth="1"/>
    <col min="1517" max="1517" width="19.140625" style="23" customWidth="1"/>
    <col min="1518" max="1518" width="13.42578125" style="23" customWidth="1"/>
    <col min="1519" max="1519" width="19.85546875" style="23" customWidth="1"/>
    <col min="1520" max="1520" width="16" style="23" customWidth="1"/>
    <col min="1521" max="1521" width="24.28515625" style="23" customWidth="1"/>
    <col min="1522" max="1527" width="10.85546875" style="23" customWidth="1"/>
    <col min="1528" max="1528" width="16.28515625" style="23" bestFit="1" customWidth="1"/>
    <col min="1529" max="1529" width="12.140625" style="23" bestFit="1" customWidth="1"/>
    <col min="1530" max="1532" width="10.85546875" style="23" customWidth="1"/>
    <col min="1533" max="1533" width="9.28515625" style="23" bestFit="1" customWidth="1"/>
    <col min="1534" max="1763" width="9.140625" style="23"/>
    <col min="1764" max="1765" width="54" style="23" customWidth="1"/>
    <col min="1766" max="1766" width="16.7109375" style="23" customWidth="1"/>
    <col min="1767" max="1767" width="11.85546875" style="23" bestFit="1" customWidth="1"/>
    <col min="1768" max="1768" width="9.85546875" style="23" bestFit="1" customWidth="1"/>
    <col min="1769" max="1769" width="10.5703125" style="23" bestFit="1" customWidth="1"/>
    <col min="1770" max="1772" width="13.42578125" style="23" customWidth="1"/>
    <col min="1773" max="1773" width="19.140625" style="23" customWidth="1"/>
    <col min="1774" max="1774" width="13.42578125" style="23" customWidth="1"/>
    <col min="1775" max="1775" width="19.85546875" style="23" customWidth="1"/>
    <col min="1776" max="1776" width="16" style="23" customWidth="1"/>
    <col min="1777" max="1777" width="24.28515625" style="23" customWidth="1"/>
    <col min="1778" max="1783" width="10.85546875" style="23" customWidth="1"/>
    <col min="1784" max="1784" width="16.28515625" style="23" bestFit="1" customWidth="1"/>
    <col min="1785" max="1785" width="12.140625" style="23" bestFit="1" customWidth="1"/>
    <col min="1786" max="1788" width="10.85546875" style="23" customWidth="1"/>
    <col min="1789" max="1789" width="9.28515625" style="23" bestFit="1" customWidth="1"/>
    <col min="1790" max="2019" width="9.140625" style="23"/>
    <col min="2020" max="2021" width="54" style="23" customWidth="1"/>
    <col min="2022" max="2022" width="16.7109375" style="23" customWidth="1"/>
    <col min="2023" max="2023" width="11.85546875" style="23" bestFit="1" customWidth="1"/>
    <col min="2024" max="2024" width="9.85546875" style="23" bestFit="1" customWidth="1"/>
    <col min="2025" max="2025" width="10.5703125" style="23" bestFit="1" customWidth="1"/>
    <col min="2026" max="2028" width="13.42578125" style="23" customWidth="1"/>
    <col min="2029" max="2029" width="19.140625" style="23" customWidth="1"/>
    <col min="2030" max="2030" width="13.42578125" style="23" customWidth="1"/>
    <col min="2031" max="2031" width="19.85546875" style="23" customWidth="1"/>
    <col min="2032" max="2032" width="16" style="23" customWidth="1"/>
    <col min="2033" max="2033" width="24.28515625" style="23" customWidth="1"/>
    <col min="2034" max="2039" width="10.85546875" style="23" customWidth="1"/>
    <col min="2040" max="2040" width="16.28515625" style="23" bestFit="1" customWidth="1"/>
    <col min="2041" max="2041" width="12.140625" style="23" bestFit="1" customWidth="1"/>
    <col min="2042" max="2044" width="10.85546875" style="23" customWidth="1"/>
    <col min="2045" max="2045" width="9.28515625" style="23" bestFit="1" customWidth="1"/>
    <col min="2046" max="2275" width="9.140625" style="23"/>
    <col min="2276" max="2277" width="54" style="23" customWidth="1"/>
    <col min="2278" max="2278" width="16.7109375" style="23" customWidth="1"/>
    <col min="2279" max="2279" width="11.85546875" style="23" bestFit="1" customWidth="1"/>
    <col min="2280" max="2280" width="9.85546875" style="23" bestFit="1" customWidth="1"/>
    <col min="2281" max="2281" width="10.5703125" style="23" bestFit="1" customWidth="1"/>
    <col min="2282" max="2284" width="13.42578125" style="23" customWidth="1"/>
    <col min="2285" max="2285" width="19.140625" style="23" customWidth="1"/>
    <col min="2286" max="2286" width="13.42578125" style="23" customWidth="1"/>
    <col min="2287" max="2287" width="19.85546875" style="23" customWidth="1"/>
    <col min="2288" max="2288" width="16" style="23" customWidth="1"/>
    <col min="2289" max="2289" width="24.28515625" style="23" customWidth="1"/>
    <col min="2290" max="2295" width="10.85546875" style="23" customWidth="1"/>
    <col min="2296" max="2296" width="16.28515625" style="23" bestFit="1" customWidth="1"/>
    <col min="2297" max="2297" width="12.140625" style="23" bestFit="1" customWidth="1"/>
    <col min="2298" max="2300" width="10.85546875" style="23" customWidth="1"/>
    <col min="2301" max="2301" width="9.28515625" style="23" bestFit="1" customWidth="1"/>
    <col min="2302" max="2531" width="9.140625" style="23"/>
    <col min="2532" max="2533" width="54" style="23" customWidth="1"/>
    <col min="2534" max="2534" width="16.7109375" style="23" customWidth="1"/>
    <col min="2535" max="2535" width="11.85546875" style="23" bestFit="1" customWidth="1"/>
    <col min="2536" max="2536" width="9.85546875" style="23" bestFit="1" customWidth="1"/>
    <col min="2537" max="2537" width="10.5703125" style="23" bestFit="1" customWidth="1"/>
    <col min="2538" max="2540" width="13.42578125" style="23" customWidth="1"/>
    <col min="2541" max="2541" width="19.140625" style="23" customWidth="1"/>
    <col min="2542" max="2542" width="13.42578125" style="23" customWidth="1"/>
    <col min="2543" max="2543" width="19.85546875" style="23" customWidth="1"/>
    <col min="2544" max="2544" width="16" style="23" customWidth="1"/>
    <col min="2545" max="2545" width="24.28515625" style="23" customWidth="1"/>
    <col min="2546" max="2551" width="10.85546875" style="23" customWidth="1"/>
    <col min="2552" max="2552" width="16.28515625" style="23" bestFit="1" customWidth="1"/>
    <col min="2553" max="2553" width="12.140625" style="23" bestFit="1" customWidth="1"/>
    <col min="2554" max="2556" width="10.85546875" style="23" customWidth="1"/>
    <col min="2557" max="2557" width="9.28515625" style="23" bestFit="1" customWidth="1"/>
    <col min="2558" max="2787" width="9.140625" style="23"/>
    <col min="2788" max="2789" width="54" style="23" customWidth="1"/>
    <col min="2790" max="2790" width="16.7109375" style="23" customWidth="1"/>
    <col min="2791" max="2791" width="11.85546875" style="23" bestFit="1" customWidth="1"/>
    <col min="2792" max="2792" width="9.85546875" style="23" bestFit="1" customWidth="1"/>
    <col min="2793" max="2793" width="10.5703125" style="23" bestFit="1" customWidth="1"/>
    <col min="2794" max="2796" width="13.42578125" style="23" customWidth="1"/>
    <col min="2797" max="2797" width="19.140625" style="23" customWidth="1"/>
    <col min="2798" max="2798" width="13.42578125" style="23" customWidth="1"/>
    <col min="2799" max="2799" width="19.85546875" style="23" customWidth="1"/>
    <col min="2800" max="2800" width="16" style="23" customWidth="1"/>
    <col min="2801" max="2801" width="24.28515625" style="23" customWidth="1"/>
    <col min="2802" max="2807" width="10.85546875" style="23" customWidth="1"/>
    <col min="2808" max="2808" width="16.28515625" style="23" bestFit="1" customWidth="1"/>
    <col min="2809" max="2809" width="12.140625" style="23" bestFit="1" customWidth="1"/>
    <col min="2810" max="2812" width="10.85546875" style="23" customWidth="1"/>
    <col min="2813" max="2813" width="9.28515625" style="23" bestFit="1" customWidth="1"/>
    <col min="2814" max="3043" width="9.140625" style="23"/>
    <col min="3044" max="3045" width="54" style="23" customWidth="1"/>
    <col min="3046" max="3046" width="16.7109375" style="23" customWidth="1"/>
    <col min="3047" max="3047" width="11.85546875" style="23" bestFit="1" customWidth="1"/>
    <col min="3048" max="3048" width="9.85546875" style="23" bestFit="1" customWidth="1"/>
    <col min="3049" max="3049" width="10.5703125" style="23" bestFit="1" customWidth="1"/>
    <col min="3050" max="3052" width="13.42578125" style="23" customWidth="1"/>
    <col min="3053" max="3053" width="19.140625" style="23" customWidth="1"/>
    <col min="3054" max="3054" width="13.42578125" style="23" customWidth="1"/>
    <col min="3055" max="3055" width="19.85546875" style="23" customWidth="1"/>
    <col min="3056" max="3056" width="16" style="23" customWidth="1"/>
    <col min="3057" max="3057" width="24.28515625" style="23" customWidth="1"/>
    <col min="3058" max="3063" width="10.85546875" style="23" customWidth="1"/>
    <col min="3064" max="3064" width="16.28515625" style="23" bestFit="1" customWidth="1"/>
    <col min="3065" max="3065" width="12.140625" style="23" bestFit="1" customWidth="1"/>
    <col min="3066" max="3068" width="10.85546875" style="23" customWidth="1"/>
    <col min="3069" max="3069" width="9.28515625" style="23" bestFit="1" customWidth="1"/>
    <col min="3070" max="3299" width="9.140625" style="23"/>
    <col min="3300" max="3301" width="54" style="23" customWidth="1"/>
    <col min="3302" max="3302" width="16.7109375" style="23" customWidth="1"/>
    <col min="3303" max="3303" width="11.85546875" style="23" bestFit="1" customWidth="1"/>
    <col min="3304" max="3304" width="9.85546875" style="23" bestFit="1" customWidth="1"/>
    <col min="3305" max="3305" width="10.5703125" style="23" bestFit="1" customWidth="1"/>
    <col min="3306" max="3308" width="13.42578125" style="23" customWidth="1"/>
    <col min="3309" max="3309" width="19.140625" style="23" customWidth="1"/>
    <col min="3310" max="3310" width="13.42578125" style="23" customWidth="1"/>
    <col min="3311" max="3311" width="19.85546875" style="23" customWidth="1"/>
    <col min="3312" max="3312" width="16" style="23" customWidth="1"/>
    <col min="3313" max="3313" width="24.28515625" style="23" customWidth="1"/>
    <col min="3314" max="3319" width="10.85546875" style="23" customWidth="1"/>
    <col min="3320" max="3320" width="16.28515625" style="23" bestFit="1" customWidth="1"/>
    <col min="3321" max="3321" width="12.140625" style="23" bestFit="1" customWidth="1"/>
    <col min="3322" max="3324" width="10.85546875" style="23" customWidth="1"/>
    <col min="3325" max="3325" width="9.28515625" style="23" bestFit="1" customWidth="1"/>
    <col min="3326" max="3555" width="9.140625" style="23"/>
    <col min="3556" max="3557" width="54" style="23" customWidth="1"/>
    <col min="3558" max="3558" width="16.7109375" style="23" customWidth="1"/>
    <col min="3559" max="3559" width="11.85546875" style="23" bestFit="1" customWidth="1"/>
    <col min="3560" max="3560" width="9.85546875" style="23" bestFit="1" customWidth="1"/>
    <col min="3561" max="3561" width="10.5703125" style="23" bestFit="1" customWidth="1"/>
    <col min="3562" max="3564" width="13.42578125" style="23" customWidth="1"/>
    <col min="3565" max="3565" width="19.140625" style="23" customWidth="1"/>
    <col min="3566" max="3566" width="13.42578125" style="23" customWidth="1"/>
    <col min="3567" max="3567" width="19.85546875" style="23" customWidth="1"/>
    <col min="3568" max="3568" width="16" style="23" customWidth="1"/>
    <col min="3569" max="3569" width="24.28515625" style="23" customWidth="1"/>
    <col min="3570" max="3575" width="10.85546875" style="23" customWidth="1"/>
    <col min="3576" max="3576" width="16.28515625" style="23" bestFit="1" customWidth="1"/>
    <col min="3577" max="3577" width="12.140625" style="23" bestFit="1" customWidth="1"/>
    <col min="3578" max="3580" width="10.85546875" style="23" customWidth="1"/>
    <col min="3581" max="3581" width="9.28515625" style="23" bestFit="1" customWidth="1"/>
    <col min="3582" max="3811" width="9.140625" style="23"/>
    <col min="3812" max="3813" width="54" style="23" customWidth="1"/>
    <col min="3814" max="3814" width="16.7109375" style="23" customWidth="1"/>
    <col min="3815" max="3815" width="11.85546875" style="23" bestFit="1" customWidth="1"/>
    <col min="3816" max="3816" width="9.85546875" style="23" bestFit="1" customWidth="1"/>
    <col min="3817" max="3817" width="10.5703125" style="23" bestFit="1" customWidth="1"/>
    <col min="3818" max="3820" width="13.42578125" style="23" customWidth="1"/>
    <col min="3821" max="3821" width="19.140625" style="23" customWidth="1"/>
    <col min="3822" max="3822" width="13.42578125" style="23" customWidth="1"/>
    <col min="3823" max="3823" width="19.85546875" style="23" customWidth="1"/>
    <col min="3824" max="3824" width="16" style="23" customWidth="1"/>
    <col min="3825" max="3825" width="24.28515625" style="23" customWidth="1"/>
    <col min="3826" max="3831" width="10.85546875" style="23" customWidth="1"/>
    <col min="3832" max="3832" width="16.28515625" style="23" bestFit="1" customWidth="1"/>
    <col min="3833" max="3833" width="12.140625" style="23" bestFit="1" customWidth="1"/>
    <col min="3834" max="3836" width="10.85546875" style="23" customWidth="1"/>
    <col min="3837" max="3837" width="9.28515625" style="23" bestFit="1" customWidth="1"/>
    <col min="3838" max="4067" width="9.140625" style="23"/>
    <col min="4068" max="4069" width="54" style="23" customWidth="1"/>
    <col min="4070" max="4070" width="16.7109375" style="23" customWidth="1"/>
    <col min="4071" max="4071" width="11.85546875" style="23" bestFit="1" customWidth="1"/>
    <col min="4072" max="4072" width="9.85546875" style="23" bestFit="1" customWidth="1"/>
    <col min="4073" max="4073" width="10.5703125" style="23" bestFit="1" customWidth="1"/>
    <col min="4074" max="4076" width="13.42578125" style="23" customWidth="1"/>
    <col min="4077" max="4077" width="19.140625" style="23" customWidth="1"/>
    <col min="4078" max="4078" width="13.42578125" style="23" customWidth="1"/>
    <col min="4079" max="4079" width="19.85546875" style="23" customWidth="1"/>
    <col min="4080" max="4080" width="16" style="23" customWidth="1"/>
    <col min="4081" max="4081" width="24.28515625" style="23" customWidth="1"/>
    <col min="4082" max="4087" width="10.85546875" style="23" customWidth="1"/>
    <col min="4088" max="4088" width="16.28515625" style="23" bestFit="1" customWidth="1"/>
    <col min="4089" max="4089" width="12.140625" style="23" bestFit="1" customWidth="1"/>
    <col min="4090" max="4092" width="10.85546875" style="23" customWidth="1"/>
    <col min="4093" max="4093" width="9.28515625" style="23" bestFit="1" customWidth="1"/>
    <col min="4094" max="4323" width="9.140625" style="23"/>
    <col min="4324" max="4325" width="54" style="23" customWidth="1"/>
    <col min="4326" max="4326" width="16.7109375" style="23" customWidth="1"/>
    <col min="4327" max="4327" width="11.85546875" style="23" bestFit="1" customWidth="1"/>
    <col min="4328" max="4328" width="9.85546875" style="23" bestFit="1" customWidth="1"/>
    <col min="4329" max="4329" width="10.5703125" style="23" bestFit="1" customWidth="1"/>
    <col min="4330" max="4332" width="13.42578125" style="23" customWidth="1"/>
    <col min="4333" max="4333" width="19.140625" style="23" customWidth="1"/>
    <col min="4334" max="4334" width="13.42578125" style="23" customWidth="1"/>
    <col min="4335" max="4335" width="19.85546875" style="23" customWidth="1"/>
    <col min="4336" max="4336" width="16" style="23" customWidth="1"/>
    <col min="4337" max="4337" width="24.28515625" style="23" customWidth="1"/>
    <col min="4338" max="4343" width="10.85546875" style="23" customWidth="1"/>
    <col min="4344" max="4344" width="16.28515625" style="23" bestFit="1" customWidth="1"/>
    <col min="4345" max="4345" width="12.140625" style="23" bestFit="1" customWidth="1"/>
    <col min="4346" max="4348" width="10.85546875" style="23" customWidth="1"/>
    <col min="4349" max="4349" width="9.28515625" style="23" bestFit="1" customWidth="1"/>
    <col min="4350" max="4579" width="9.140625" style="23"/>
    <col min="4580" max="4581" width="54" style="23" customWidth="1"/>
    <col min="4582" max="4582" width="16.7109375" style="23" customWidth="1"/>
    <col min="4583" max="4583" width="11.85546875" style="23" bestFit="1" customWidth="1"/>
    <col min="4584" max="4584" width="9.85546875" style="23" bestFit="1" customWidth="1"/>
    <col min="4585" max="4585" width="10.5703125" style="23" bestFit="1" customWidth="1"/>
    <col min="4586" max="4588" width="13.42578125" style="23" customWidth="1"/>
    <col min="4589" max="4589" width="19.140625" style="23" customWidth="1"/>
    <col min="4590" max="4590" width="13.42578125" style="23" customWidth="1"/>
    <col min="4591" max="4591" width="19.85546875" style="23" customWidth="1"/>
    <col min="4592" max="4592" width="16" style="23" customWidth="1"/>
    <col min="4593" max="4593" width="24.28515625" style="23" customWidth="1"/>
    <col min="4594" max="4599" width="10.85546875" style="23" customWidth="1"/>
    <col min="4600" max="4600" width="16.28515625" style="23" bestFit="1" customWidth="1"/>
    <col min="4601" max="4601" width="12.140625" style="23" bestFit="1" customWidth="1"/>
    <col min="4602" max="4604" width="10.85546875" style="23" customWidth="1"/>
    <col min="4605" max="4605" width="9.28515625" style="23" bestFit="1" customWidth="1"/>
    <col min="4606" max="4835" width="9.140625" style="23"/>
    <col min="4836" max="4837" width="54" style="23" customWidth="1"/>
    <col min="4838" max="4838" width="16.7109375" style="23" customWidth="1"/>
    <col min="4839" max="4839" width="11.85546875" style="23" bestFit="1" customWidth="1"/>
    <col min="4840" max="4840" width="9.85546875" style="23" bestFit="1" customWidth="1"/>
    <col min="4841" max="4841" width="10.5703125" style="23" bestFit="1" customWidth="1"/>
    <col min="4842" max="4844" width="13.42578125" style="23" customWidth="1"/>
    <col min="4845" max="4845" width="19.140625" style="23" customWidth="1"/>
    <col min="4846" max="4846" width="13.42578125" style="23" customWidth="1"/>
    <col min="4847" max="4847" width="19.85546875" style="23" customWidth="1"/>
    <col min="4848" max="4848" width="16" style="23" customWidth="1"/>
    <col min="4849" max="4849" width="24.28515625" style="23" customWidth="1"/>
    <col min="4850" max="4855" width="10.85546875" style="23" customWidth="1"/>
    <col min="4856" max="4856" width="16.28515625" style="23" bestFit="1" customWidth="1"/>
    <col min="4857" max="4857" width="12.140625" style="23" bestFit="1" customWidth="1"/>
    <col min="4858" max="4860" width="10.85546875" style="23" customWidth="1"/>
    <col min="4861" max="4861" width="9.28515625" style="23" bestFit="1" customWidth="1"/>
    <col min="4862" max="5091" width="9.140625" style="23"/>
    <col min="5092" max="5093" width="54" style="23" customWidth="1"/>
    <col min="5094" max="5094" width="16.7109375" style="23" customWidth="1"/>
    <col min="5095" max="5095" width="11.85546875" style="23" bestFit="1" customWidth="1"/>
    <col min="5096" max="5096" width="9.85546875" style="23" bestFit="1" customWidth="1"/>
    <col min="5097" max="5097" width="10.5703125" style="23" bestFit="1" customWidth="1"/>
    <col min="5098" max="5100" width="13.42578125" style="23" customWidth="1"/>
    <col min="5101" max="5101" width="19.140625" style="23" customWidth="1"/>
    <col min="5102" max="5102" width="13.42578125" style="23" customWidth="1"/>
    <col min="5103" max="5103" width="19.85546875" style="23" customWidth="1"/>
    <col min="5104" max="5104" width="16" style="23" customWidth="1"/>
    <col min="5105" max="5105" width="24.28515625" style="23" customWidth="1"/>
    <col min="5106" max="5111" width="10.85546875" style="23" customWidth="1"/>
    <col min="5112" max="5112" width="16.28515625" style="23" bestFit="1" customWidth="1"/>
    <col min="5113" max="5113" width="12.140625" style="23" bestFit="1" customWidth="1"/>
    <col min="5114" max="5116" width="10.85546875" style="23" customWidth="1"/>
    <col min="5117" max="5117" width="9.28515625" style="23" bestFit="1" customWidth="1"/>
    <col min="5118" max="5347" width="9.140625" style="23"/>
    <col min="5348" max="5349" width="54" style="23" customWidth="1"/>
    <col min="5350" max="5350" width="16.7109375" style="23" customWidth="1"/>
    <col min="5351" max="5351" width="11.85546875" style="23" bestFit="1" customWidth="1"/>
    <col min="5352" max="5352" width="9.85546875" style="23" bestFit="1" customWidth="1"/>
    <col min="5353" max="5353" width="10.5703125" style="23" bestFit="1" customWidth="1"/>
    <col min="5354" max="5356" width="13.42578125" style="23" customWidth="1"/>
    <col min="5357" max="5357" width="19.140625" style="23" customWidth="1"/>
    <col min="5358" max="5358" width="13.42578125" style="23" customWidth="1"/>
    <col min="5359" max="5359" width="19.85546875" style="23" customWidth="1"/>
    <col min="5360" max="5360" width="16" style="23" customWidth="1"/>
    <col min="5361" max="5361" width="24.28515625" style="23" customWidth="1"/>
    <col min="5362" max="5367" width="10.85546875" style="23" customWidth="1"/>
    <col min="5368" max="5368" width="16.28515625" style="23" bestFit="1" customWidth="1"/>
    <col min="5369" max="5369" width="12.140625" style="23" bestFit="1" customWidth="1"/>
    <col min="5370" max="5372" width="10.85546875" style="23" customWidth="1"/>
    <col min="5373" max="5373" width="9.28515625" style="23" bestFit="1" customWidth="1"/>
    <col min="5374" max="5603" width="9.140625" style="23"/>
    <col min="5604" max="5605" width="54" style="23" customWidth="1"/>
    <col min="5606" max="5606" width="16.7109375" style="23" customWidth="1"/>
    <col min="5607" max="5607" width="11.85546875" style="23" bestFit="1" customWidth="1"/>
    <col min="5608" max="5608" width="9.85546875" style="23" bestFit="1" customWidth="1"/>
    <col min="5609" max="5609" width="10.5703125" style="23" bestFit="1" customWidth="1"/>
    <col min="5610" max="5612" width="13.42578125" style="23" customWidth="1"/>
    <col min="5613" max="5613" width="19.140625" style="23" customWidth="1"/>
    <col min="5614" max="5614" width="13.42578125" style="23" customWidth="1"/>
    <col min="5615" max="5615" width="19.85546875" style="23" customWidth="1"/>
    <col min="5616" max="5616" width="16" style="23" customWidth="1"/>
    <col min="5617" max="5617" width="24.28515625" style="23" customWidth="1"/>
    <col min="5618" max="5623" width="10.85546875" style="23" customWidth="1"/>
    <col min="5624" max="5624" width="16.28515625" style="23" bestFit="1" customWidth="1"/>
    <col min="5625" max="5625" width="12.140625" style="23" bestFit="1" customWidth="1"/>
    <col min="5626" max="5628" width="10.85546875" style="23" customWidth="1"/>
    <col min="5629" max="5629" width="9.28515625" style="23" bestFit="1" customWidth="1"/>
    <col min="5630" max="5859" width="9.140625" style="23"/>
    <col min="5860" max="5861" width="54" style="23" customWidth="1"/>
    <col min="5862" max="5862" width="16.7109375" style="23" customWidth="1"/>
    <col min="5863" max="5863" width="11.85546875" style="23" bestFit="1" customWidth="1"/>
    <col min="5864" max="5864" width="9.85546875" style="23" bestFit="1" customWidth="1"/>
    <col min="5865" max="5865" width="10.5703125" style="23" bestFit="1" customWidth="1"/>
    <col min="5866" max="5868" width="13.42578125" style="23" customWidth="1"/>
    <col min="5869" max="5869" width="19.140625" style="23" customWidth="1"/>
    <col min="5870" max="5870" width="13.42578125" style="23" customWidth="1"/>
    <col min="5871" max="5871" width="19.85546875" style="23" customWidth="1"/>
    <col min="5872" max="5872" width="16" style="23" customWidth="1"/>
    <col min="5873" max="5873" width="24.28515625" style="23" customWidth="1"/>
    <col min="5874" max="5879" width="10.85546875" style="23" customWidth="1"/>
    <col min="5880" max="5880" width="16.28515625" style="23" bestFit="1" customWidth="1"/>
    <col min="5881" max="5881" width="12.140625" style="23" bestFit="1" customWidth="1"/>
    <col min="5882" max="5884" width="10.85546875" style="23" customWidth="1"/>
    <col min="5885" max="5885" width="9.28515625" style="23" bestFit="1" customWidth="1"/>
    <col min="5886" max="6115" width="9.140625" style="23"/>
    <col min="6116" max="6117" width="54" style="23" customWidth="1"/>
    <col min="6118" max="6118" width="16.7109375" style="23" customWidth="1"/>
    <col min="6119" max="6119" width="11.85546875" style="23" bestFit="1" customWidth="1"/>
    <col min="6120" max="6120" width="9.85546875" style="23" bestFit="1" customWidth="1"/>
    <col min="6121" max="6121" width="10.5703125" style="23" bestFit="1" customWidth="1"/>
    <col min="6122" max="6124" width="13.42578125" style="23" customWidth="1"/>
    <col min="6125" max="6125" width="19.140625" style="23" customWidth="1"/>
    <col min="6126" max="6126" width="13.42578125" style="23" customWidth="1"/>
    <col min="6127" max="6127" width="19.85546875" style="23" customWidth="1"/>
    <col min="6128" max="6128" width="16" style="23" customWidth="1"/>
    <col min="6129" max="6129" width="24.28515625" style="23" customWidth="1"/>
    <col min="6130" max="6135" width="10.85546875" style="23" customWidth="1"/>
    <col min="6136" max="6136" width="16.28515625" style="23" bestFit="1" customWidth="1"/>
    <col min="6137" max="6137" width="12.140625" style="23" bestFit="1" customWidth="1"/>
    <col min="6138" max="6140" width="10.85546875" style="23" customWidth="1"/>
    <col min="6141" max="6141" width="9.28515625" style="23" bestFit="1" customWidth="1"/>
    <col min="6142" max="6371" width="9.140625" style="23"/>
    <col min="6372" max="6373" width="54" style="23" customWidth="1"/>
    <col min="6374" max="6374" width="16.7109375" style="23" customWidth="1"/>
    <col min="6375" max="6375" width="11.85546875" style="23" bestFit="1" customWidth="1"/>
    <col min="6376" max="6376" width="9.85546875" style="23" bestFit="1" customWidth="1"/>
    <col min="6377" max="6377" width="10.5703125" style="23" bestFit="1" customWidth="1"/>
    <col min="6378" max="6380" width="13.42578125" style="23" customWidth="1"/>
    <col min="6381" max="6381" width="19.140625" style="23" customWidth="1"/>
    <col min="6382" max="6382" width="13.42578125" style="23" customWidth="1"/>
    <col min="6383" max="6383" width="19.85546875" style="23" customWidth="1"/>
    <col min="6384" max="6384" width="16" style="23" customWidth="1"/>
    <col min="6385" max="6385" width="24.28515625" style="23" customWidth="1"/>
    <col min="6386" max="6391" width="10.85546875" style="23" customWidth="1"/>
    <col min="6392" max="6392" width="16.28515625" style="23" bestFit="1" customWidth="1"/>
    <col min="6393" max="6393" width="12.140625" style="23" bestFit="1" customWidth="1"/>
    <col min="6394" max="6396" width="10.85546875" style="23" customWidth="1"/>
    <col min="6397" max="6397" width="9.28515625" style="23" bestFit="1" customWidth="1"/>
    <col min="6398" max="6627" width="9.140625" style="23"/>
    <col min="6628" max="6629" width="54" style="23" customWidth="1"/>
    <col min="6630" max="6630" width="16.7109375" style="23" customWidth="1"/>
    <col min="6631" max="6631" width="11.85546875" style="23" bestFit="1" customWidth="1"/>
    <col min="6632" max="6632" width="9.85546875" style="23" bestFit="1" customWidth="1"/>
    <col min="6633" max="6633" width="10.5703125" style="23" bestFit="1" customWidth="1"/>
    <col min="6634" max="6636" width="13.42578125" style="23" customWidth="1"/>
    <col min="6637" max="6637" width="19.140625" style="23" customWidth="1"/>
    <col min="6638" max="6638" width="13.42578125" style="23" customWidth="1"/>
    <col min="6639" max="6639" width="19.85546875" style="23" customWidth="1"/>
    <col min="6640" max="6640" width="16" style="23" customWidth="1"/>
    <col min="6641" max="6641" width="24.28515625" style="23" customWidth="1"/>
    <col min="6642" max="6647" width="10.85546875" style="23" customWidth="1"/>
    <col min="6648" max="6648" width="16.28515625" style="23" bestFit="1" customWidth="1"/>
    <col min="6649" max="6649" width="12.140625" style="23" bestFit="1" customWidth="1"/>
    <col min="6650" max="6652" width="10.85546875" style="23" customWidth="1"/>
    <col min="6653" max="6653" width="9.28515625" style="23" bestFit="1" customWidth="1"/>
    <col min="6654" max="6883" width="9.140625" style="23"/>
    <col min="6884" max="6885" width="54" style="23" customWidth="1"/>
    <col min="6886" max="6886" width="16.7109375" style="23" customWidth="1"/>
    <col min="6887" max="6887" width="11.85546875" style="23" bestFit="1" customWidth="1"/>
    <col min="6888" max="6888" width="9.85546875" style="23" bestFit="1" customWidth="1"/>
    <col min="6889" max="6889" width="10.5703125" style="23" bestFit="1" customWidth="1"/>
    <col min="6890" max="6892" width="13.42578125" style="23" customWidth="1"/>
    <col min="6893" max="6893" width="19.140625" style="23" customWidth="1"/>
    <col min="6894" max="6894" width="13.42578125" style="23" customWidth="1"/>
    <col min="6895" max="6895" width="19.85546875" style="23" customWidth="1"/>
    <col min="6896" max="6896" width="16" style="23" customWidth="1"/>
    <col min="6897" max="6897" width="24.28515625" style="23" customWidth="1"/>
    <col min="6898" max="6903" width="10.85546875" style="23" customWidth="1"/>
    <col min="6904" max="6904" width="16.28515625" style="23" bestFit="1" customWidth="1"/>
    <col min="6905" max="6905" width="12.140625" style="23" bestFit="1" customWidth="1"/>
    <col min="6906" max="6908" width="10.85546875" style="23" customWidth="1"/>
    <col min="6909" max="6909" width="9.28515625" style="23" bestFit="1" customWidth="1"/>
    <col min="6910" max="7139" width="9.140625" style="23"/>
    <col min="7140" max="7141" width="54" style="23" customWidth="1"/>
    <col min="7142" max="7142" width="16.7109375" style="23" customWidth="1"/>
    <col min="7143" max="7143" width="11.85546875" style="23" bestFit="1" customWidth="1"/>
    <col min="7144" max="7144" width="9.85546875" style="23" bestFit="1" customWidth="1"/>
    <col min="7145" max="7145" width="10.5703125" style="23" bestFit="1" customWidth="1"/>
    <col min="7146" max="7148" width="13.42578125" style="23" customWidth="1"/>
    <col min="7149" max="7149" width="19.140625" style="23" customWidth="1"/>
    <col min="7150" max="7150" width="13.42578125" style="23" customWidth="1"/>
    <col min="7151" max="7151" width="19.85546875" style="23" customWidth="1"/>
    <col min="7152" max="7152" width="16" style="23" customWidth="1"/>
    <col min="7153" max="7153" width="24.28515625" style="23" customWidth="1"/>
    <col min="7154" max="7159" width="10.85546875" style="23" customWidth="1"/>
    <col min="7160" max="7160" width="16.28515625" style="23" bestFit="1" customWidth="1"/>
    <col min="7161" max="7161" width="12.140625" style="23" bestFit="1" customWidth="1"/>
    <col min="7162" max="7164" width="10.85546875" style="23" customWidth="1"/>
    <col min="7165" max="7165" width="9.28515625" style="23" bestFit="1" customWidth="1"/>
    <col min="7166" max="7395" width="9.140625" style="23"/>
    <col min="7396" max="7397" width="54" style="23" customWidth="1"/>
    <col min="7398" max="7398" width="16.7109375" style="23" customWidth="1"/>
    <col min="7399" max="7399" width="11.85546875" style="23" bestFit="1" customWidth="1"/>
    <col min="7400" max="7400" width="9.85546875" style="23" bestFit="1" customWidth="1"/>
    <col min="7401" max="7401" width="10.5703125" style="23" bestFit="1" customWidth="1"/>
    <col min="7402" max="7404" width="13.42578125" style="23" customWidth="1"/>
    <col min="7405" max="7405" width="19.140625" style="23" customWidth="1"/>
    <col min="7406" max="7406" width="13.42578125" style="23" customWidth="1"/>
    <col min="7407" max="7407" width="19.85546875" style="23" customWidth="1"/>
    <col min="7408" max="7408" width="16" style="23" customWidth="1"/>
    <col min="7409" max="7409" width="24.28515625" style="23" customWidth="1"/>
    <col min="7410" max="7415" width="10.85546875" style="23" customWidth="1"/>
    <col min="7416" max="7416" width="16.28515625" style="23" bestFit="1" customWidth="1"/>
    <col min="7417" max="7417" width="12.140625" style="23" bestFit="1" customWidth="1"/>
    <col min="7418" max="7420" width="10.85546875" style="23" customWidth="1"/>
    <col min="7421" max="7421" width="9.28515625" style="23" bestFit="1" customWidth="1"/>
    <col min="7422" max="7651" width="9.140625" style="23"/>
    <col min="7652" max="7653" width="54" style="23" customWidth="1"/>
    <col min="7654" max="7654" width="16.7109375" style="23" customWidth="1"/>
    <col min="7655" max="7655" width="11.85546875" style="23" bestFit="1" customWidth="1"/>
    <col min="7656" max="7656" width="9.85546875" style="23" bestFit="1" customWidth="1"/>
    <col min="7657" max="7657" width="10.5703125" style="23" bestFit="1" customWidth="1"/>
    <col min="7658" max="7660" width="13.42578125" style="23" customWidth="1"/>
    <col min="7661" max="7661" width="19.140625" style="23" customWidth="1"/>
    <col min="7662" max="7662" width="13.42578125" style="23" customWidth="1"/>
    <col min="7663" max="7663" width="19.85546875" style="23" customWidth="1"/>
    <col min="7664" max="7664" width="16" style="23" customWidth="1"/>
    <col min="7665" max="7665" width="24.28515625" style="23" customWidth="1"/>
    <col min="7666" max="7671" width="10.85546875" style="23" customWidth="1"/>
    <col min="7672" max="7672" width="16.28515625" style="23" bestFit="1" customWidth="1"/>
    <col min="7673" max="7673" width="12.140625" style="23" bestFit="1" customWidth="1"/>
    <col min="7674" max="7676" width="10.85546875" style="23" customWidth="1"/>
    <col min="7677" max="7677" width="9.28515625" style="23" bestFit="1" customWidth="1"/>
    <col min="7678" max="7907" width="9.140625" style="23"/>
    <col min="7908" max="7909" width="54" style="23" customWidth="1"/>
    <col min="7910" max="7910" width="16.7109375" style="23" customWidth="1"/>
    <col min="7911" max="7911" width="11.85546875" style="23" bestFit="1" customWidth="1"/>
    <col min="7912" max="7912" width="9.85546875" style="23" bestFit="1" customWidth="1"/>
    <col min="7913" max="7913" width="10.5703125" style="23" bestFit="1" customWidth="1"/>
    <col min="7914" max="7916" width="13.42578125" style="23" customWidth="1"/>
    <col min="7917" max="7917" width="19.140625" style="23" customWidth="1"/>
    <col min="7918" max="7918" width="13.42578125" style="23" customWidth="1"/>
    <col min="7919" max="7919" width="19.85546875" style="23" customWidth="1"/>
    <col min="7920" max="7920" width="16" style="23" customWidth="1"/>
    <col min="7921" max="7921" width="24.28515625" style="23" customWidth="1"/>
    <col min="7922" max="7927" width="10.85546875" style="23" customWidth="1"/>
    <col min="7928" max="7928" width="16.28515625" style="23" bestFit="1" customWidth="1"/>
    <col min="7929" max="7929" width="12.140625" style="23" bestFit="1" customWidth="1"/>
    <col min="7930" max="7932" width="10.85546875" style="23" customWidth="1"/>
    <col min="7933" max="7933" width="9.28515625" style="23" bestFit="1" customWidth="1"/>
    <col min="7934" max="8163" width="9.140625" style="23"/>
    <col min="8164" max="8165" width="54" style="23" customWidth="1"/>
    <col min="8166" max="8166" width="16.7109375" style="23" customWidth="1"/>
    <col min="8167" max="8167" width="11.85546875" style="23" bestFit="1" customWidth="1"/>
    <col min="8168" max="8168" width="9.85546875" style="23" bestFit="1" customWidth="1"/>
    <col min="8169" max="8169" width="10.5703125" style="23" bestFit="1" customWidth="1"/>
    <col min="8170" max="8172" width="13.42578125" style="23" customWidth="1"/>
    <col min="8173" max="8173" width="19.140625" style="23" customWidth="1"/>
    <col min="8174" max="8174" width="13.42578125" style="23" customWidth="1"/>
    <col min="8175" max="8175" width="19.85546875" style="23" customWidth="1"/>
    <col min="8176" max="8176" width="16" style="23" customWidth="1"/>
    <col min="8177" max="8177" width="24.28515625" style="23" customWidth="1"/>
    <col min="8178" max="8183" width="10.85546875" style="23" customWidth="1"/>
    <col min="8184" max="8184" width="16.28515625" style="23" bestFit="1" customWidth="1"/>
    <col min="8185" max="8185" width="12.140625" style="23" bestFit="1" customWidth="1"/>
    <col min="8186" max="8188" width="10.85546875" style="23" customWidth="1"/>
    <col min="8189" max="8189" width="9.28515625" style="23" bestFit="1" customWidth="1"/>
    <col min="8190" max="8419" width="9.140625" style="23"/>
    <col min="8420" max="8421" width="54" style="23" customWidth="1"/>
    <col min="8422" max="8422" width="16.7109375" style="23" customWidth="1"/>
    <col min="8423" max="8423" width="11.85546875" style="23" bestFit="1" customWidth="1"/>
    <col min="8424" max="8424" width="9.85546875" style="23" bestFit="1" customWidth="1"/>
    <col min="8425" max="8425" width="10.5703125" style="23" bestFit="1" customWidth="1"/>
    <col min="8426" max="8428" width="13.42578125" style="23" customWidth="1"/>
    <col min="8429" max="8429" width="19.140625" style="23" customWidth="1"/>
    <col min="8430" max="8430" width="13.42578125" style="23" customWidth="1"/>
    <col min="8431" max="8431" width="19.85546875" style="23" customWidth="1"/>
    <col min="8432" max="8432" width="16" style="23" customWidth="1"/>
    <col min="8433" max="8433" width="24.28515625" style="23" customWidth="1"/>
    <col min="8434" max="8439" width="10.85546875" style="23" customWidth="1"/>
    <col min="8440" max="8440" width="16.28515625" style="23" bestFit="1" customWidth="1"/>
    <col min="8441" max="8441" width="12.140625" style="23" bestFit="1" customWidth="1"/>
    <col min="8442" max="8444" width="10.85546875" style="23" customWidth="1"/>
    <col min="8445" max="8445" width="9.28515625" style="23" bestFit="1" customWidth="1"/>
    <col min="8446" max="8675" width="9.140625" style="23"/>
    <col min="8676" max="8677" width="54" style="23" customWidth="1"/>
    <col min="8678" max="8678" width="16.7109375" style="23" customWidth="1"/>
    <col min="8679" max="8679" width="11.85546875" style="23" bestFit="1" customWidth="1"/>
    <col min="8680" max="8680" width="9.85546875" style="23" bestFit="1" customWidth="1"/>
    <col min="8681" max="8681" width="10.5703125" style="23" bestFit="1" customWidth="1"/>
    <col min="8682" max="8684" width="13.42578125" style="23" customWidth="1"/>
    <col min="8685" max="8685" width="19.140625" style="23" customWidth="1"/>
    <col min="8686" max="8686" width="13.42578125" style="23" customWidth="1"/>
    <col min="8687" max="8687" width="19.85546875" style="23" customWidth="1"/>
    <col min="8688" max="8688" width="16" style="23" customWidth="1"/>
    <col min="8689" max="8689" width="24.28515625" style="23" customWidth="1"/>
    <col min="8690" max="8695" width="10.85546875" style="23" customWidth="1"/>
    <col min="8696" max="8696" width="16.28515625" style="23" bestFit="1" customWidth="1"/>
    <col min="8697" max="8697" width="12.140625" style="23" bestFit="1" customWidth="1"/>
    <col min="8698" max="8700" width="10.85546875" style="23" customWidth="1"/>
    <col min="8701" max="8701" width="9.28515625" style="23" bestFit="1" customWidth="1"/>
    <col min="8702" max="8931" width="9.140625" style="23"/>
    <col min="8932" max="8933" width="54" style="23" customWidth="1"/>
    <col min="8934" max="8934" width="16.7109375" style="23" customWidth="1"/>
    <col min="8935" max="8935" width="11.85546875" style="23" bestFit="1" customWidth="1"/>
    <col min="8936" max="8936" width="9.85546875" style="23" bestFit="1" customWidth="1"/>
    <col min="8937" max="8937" width="10.5703125" style="23" bestFit="1" customWidth="1"/>
    <col min="8938" max="8940" width="13.42578125" style="23" customWidth="1"/>
    <col min="8941" max="8941" width="19.140625" style="23" customWidth="1"/>
    <col min="8942" max="8942" width="13.42578125" style="23" customWidth="1"/>
    <col min="8943" max="8943" width="19.85546875" style="23" customWidth="1"/>
    <col min="8944" max="8944" width="16" style="23" customWidth="1"/>
    <col min="8945" max="8945" width="24.28515625" style="23" customWidth="1"/>
    <col min="8946" max="8951" width="10.85546875" style="23" customWidth="1"/>
    <col min="8952" max="8952" width="16.28515625" style="23" bestFit="1" customWidth="1"/>
    <col min="8953" max="8953" width="12.140625" style="23" bestFit="1" customWidth="1"/>
    <col min="8954" max="8956" width="10.85546875" style="23" customWidth="1"/>
    <col min="8957" max="8957" width="9.28515625" style="23" bestFit="1" customWidth="1"/>
    <col min="8958" max="9187" width="9.140625" style="23"/>
    <col min="9188" max="9189" width="54" style="23" customWidth="1"/>
    <col min="9190" max="9190" width="16.7109375" style="23" customWidth="1"/>
    <col min="9191" max="9191" width="11.85546875" style="23" bestFit="1" customWidth="1"/>
    <col min="9192" max="9192" width="9.85546875" style="23" bestFit="1" customWidth="1"/>
    <col min="9193" max="9193" width="10.5703125" style="23" bestFit="1" customWidth="1"/>
    <col min="9194" max="9196" width="13.42578125" style="23" customWidth="1"/>
    <col min="9197" max="9197" width="19.140625" style="23" customWidth="1"/>
    <col min="9198" max="9198" width="13.42578125" style="23" customWidth="1"/>
    <col min="9199" max="9199" width="19.85546875" style="23" customWidth="1"/>
    <col min="9200" max="9200" width="16" style="23" customWidth="1"/>
    <col min="9201" max="9201" width="24.28515625" style="23" customWidth="1"/>
    <col min="9202" max="9207" width="10.85546875" style="23" customWidth="1"/>
    <col min="9208" max="9208" width="16.28515625" style="23" bestFit="1" customWidth="1"/>
    <col min="9209" max="9209" width="12.140625" style="23" bestFit="1" customWidth="1"/>
    <col min="9210" max="9212" width="10.85546875" style="23" customWidth="1"/>
    <col min="9213" max="9213" width="9.28515625" style="23" bestFit="1" customWidth="1"/>
    <col min="9214" max="9443" width="9.140625" style="23"/>
    <col min="9444" max="9445" width="54" style="23" customWidth="1"/>
    <col min="9446" max="9446" width="16.7109375" style="23" customWidth="1"/>
    <col min="9447" max="9447" width="11.85546875" style="23" bestFit="1" customWidth="1"/>
    <col min="9448" max="9448" width="9.85546875" style="23" bestFit="1" customWidth="1"/>
    <col min="9449" max="9449" width="10.5703125" style="23" bestFit="1" customWidth="1"/>
    <col min="9450" max="9452" width="13.42578125" style="23" customWidth="1"/>
    <col min="9453" max="9453" width="19.140625" style="23" customWidth="1"/>
    <col min="9454" max="9454" width="13.42578125" style="23" customWidth="1"/>
    <col min="9455" max="9455" width="19.85546875" style="23" customWidth="1"/>
    <col min="9456" max="9456" width="16" style="23" customWidth="1"/>
    <col min="9457" max="9457" width="24.28515625" style="23" customWidth="1"/>
    <col min="9458" max="9463" width="10.85546875" style="23" customWidth="1"/>
    <col min="9464" max="9464" width="16.28515625" style="23" bestFit="1" customWidth="1"/>
    <col min="9465" max="9465" width="12.140625" style="23" bestFit="1" customWidth="1"/>
    <col min="9466" max="9468" width="10.85546875" style="23" customWidth="1"/>
    <col min="9469" max="9469" width="9.28515625" style="23" bestFit="1" customWidth="1"/>
    <col min="9470" max="9699" width="9.140625" style="23"/>
    <col min="9700" max="9701" width="54" style="23" customWidth="1"/>
    <col min="9702" max="9702" width="16.7109375" style="23" customWidth="1"/>
    <col min="9703" max="9703" width="11.85546875" style="23" bestFit="1" customWidth="1"/>
    <col min="9704" max="9704" width="9.85546875" style="23" bestFit="1" customWidth="1"/>
    <col min="9705" max="9705" width="10.5703125" style="23" bestFit="1" customWidth="1"/>
    <col min="9706" max="9708" width="13.42578125" style="23" customWidth="1"/>
    <col min="9709" max="9709" width="19.140625" style="23" customWidth="1"/>
    <col min="9710" max="9710" width="13.42578125" style="23" customWidth="1"/>
    <col min="9711" max="9711" width="19.85546875" style="23" customWidth="1"/>
    <col min="9712" max="9712" width="16" style="23" customWidth="1"/>
    <col min="9713" max="9713" width="24.28515625" style="23" customWidth="1"/>
    <col min="9714" max="9719" width="10.85546875" style="23" customWidth="1"/>
    <col min="9720" max="9720" width="16.28515625" style="23" bestFit="1" customWidth="1"/>
    <col min="9721" max="9721" width="12.140625" style="23" bestFit="1" customWidth="1"/>
    <col min="9722" max="9724" width="10.85546875" style="23" customWidth="1"/>
    <col min="9725" max="9725" width="9.28515625" style="23" bestFit="1" customWidth="1"/>
    <col min="9726" max="9955" width="9.140625" style="23"/>
    <col min="9956" max="9957" width="54" style="23" customWidth="1"/>
    <col min="9958" max="9958" width="16.7109375" style="23" customWidth="1"/>
    <col min="9959" max="9959" width="11.85546875" style="23" bestFit="1" customWidth="1"/>
    <col min="9960" max="9960" width="9.85546875" style="23" bestFit="1" customWidth="1"/>
    <col min="9961" max="9961" width="10.5703125" style="23" bestFit="1" customWidth="1"/>
    <col min="9962" max="9964" width="13.42578125" style="23" customWidth="1"/>
    <col min="9965" max="9965" width="19.140625" style="23" customWidth="1"/>
    <col min="9966" max="9966" width="13.42578125" style="23" customWidth="1"/>
    <col min="9967" max="9967" width="19.85546875" style="23" customWidth="1"/>
    <col min="9968" max="9968" width="16" style="23" customWidth="1"/>
    <col min="9969" max="9969" width="24.28515625" style="23" customWidth="1"/>
    <col min="9970" max="9975" width="10.85546875" style="23" customWidth="1"/>
    <col min="9976" max="9976" width="16.28515625" style="23" bestFit="1" customWidth="1"/>
    <col min="9977" max="9977" width="12.140625" style="23" bestFit="1" customWidth="1"/>
    <col min="9978" max="9980" width="10.85546875" style="23" customWidth="1"/>
    <col min="9981" max="9981" width="9.28515625" style="23" bestFit="1" customWidth="1"/>
    <col min="9982" max="10211" width="9.140625" style="23"/>
    <col min="10212" max="10213" width="54" style="23" customWidth="1"/>
    <col min="10214" max="10214" width="16.7109375" style="23" customWidth="1"/>
    <col min="10215" max="10215" width="11.85546875" style="23" bestFit="1" customWidth="1"/>
    <col min="10216" max="10216" width="9.85546875" style="23" bestFit="1" customWidth="1"/>
    <col min="10217" max="10217" width="10.5703125" style="23" bestFit="1" customWidth="1"/>
    <col min="10218" max="10220" width="13.42578125" style="23" customWidth="1"/>
    <col min="10221" max="10221" width="19.140625" style="23" customWidth="1"/>
    <col min="10222" max="10222" width="13.42578125" style="23" customWidth="1"/>
    <col min="10223" max="10223" width="19.85546875" style="23" customWidth="1"/>
    <col min="10224" max="10224" width="16" style="23" customWidth="1"/>
    <col min="10225" max="10225" width="24.28515625" style="23" customWidth="1"/>
    <col min="10226" max="10231" width="10.85546875" style="23" customWidth="1"/>
    <col min="10232" max="10232" width="16.28515625" style="23" bestFit="1" customWidth="1"/>
    <col min="10233" max="10233" width="12.140625" style="23" bestFit="1" customWidth="1"/>
    <col min="10234" max="10236" width="10.85546875" style="23" customWidth="1"/>
    <col min="10237" max="10237" width="9.28515625" style="23" bestFit="1" customWidth="1"/>
    <col min="10238" max="10467" width="9.140625" style="23"/>
    <col min="10468" max="10469" width="54" style="23" customWidth="1"/>
    <col min="10470" max="10470" width="16.7109375" style="23" customWidth="1"/>
    <col min="10471" max="10471" width="11.85546875" style="23" bestFit="1" customWidth="1"/>
    <col min="10472" max="10472" width="9.85546875" style="23" bestFit="1" customWidth="1"/>
    <col min="10473" max="10473" width="10.5703125" style="23" bestFit="1" customWidth="1"/>
    <col min="10474" max="10476" width="13.42578125" style="23" customWidth="1"/>
    <col min="10477" max="10477" width="19.140625" style="23" customWidth="1"/>
    <col min="10478" max="10478" width="13.42578125" style="23" customWidth="1"/>
    <col min="10479" max="10479" width="19.85546875" style="23" customWidth="1"/>
    <col min="10480" max="10480" width="16" style="23" customWidth="1"/>
    <col min="10481" max="10481" width="24.28515625" style="23" customWidth="1"/>
    <col min="10482" max="10487" width="10.85546875" style="23" customWidth="1"/>
    <col min="10488" max="10488" width="16.28515625" style="23" bestFit="1" customWidth="1"/>
    <col min="10489" max="10489" width="12.140625" style="23" bestFit="1" customWidth="1"/>
    <col min="10490" max="10492" width="10.85546875" style="23" customWidth="1"/>
    <col min="10493" max="10493" width="9.28515625" style="23" bestFit="1" customWidth="1"/>
    <col min="10494" max="10723" width="9.140625" style="23"/>
    <col min="10724" max="10725" width="54" style="23" customWidth="1"/>
    <col min="10726" max="10726" width="16.7109375" style="23" customWidth="1"/>
    <col min="10727" max="10727" width="11.85546875" style="23" bestFit="1" customWidth="1"/>
    <col min="10728" max="10728" width="9.85546875" style="23" bestFit="1" customWidth="1"/>
    <col min="10729" max="10729" width="10.5703125" style="23" bestFit="1" customWidth="1"/>
    <col min="10730" max="10732" width="13.42578125" style="23" customWidth="1"/>
    <col min="10733" max="10733" width="19.140625" style="23" customWidth="1"/>
    <col min="10734" max="10734" width="13.42578125" style="23" customWidth="1"/>
    <col min="10735" max="10735" width="19.85546875" style="23" customWidth="1"/>
    <col min="10736" max="10736" width="16" style="23" customWidth="1"/>
    <col min="10737" max="10737" width="24.28515625" style="23" customWidth="1"/>
    <col min="10738" max="10743" width="10.85546875" style="23" customWidth="1"/>
    <col min="10744" max="10744" width="16.28515625" style="23" bestFit="1" customWidth="1"/>
    <col min="10745" max="10745" width="12.140625" style="23" bestFit="1" customWidth="1"/>
    <col min="10746" max="10748" width="10.85546875" style="23" customWidth="1"/>
    <col min="10749" max="10749" width="9.28515625" style="23" bestFit="1" customWidth="1"/>
    <col min="10750" max="10979" width="9.140625" style="23"/>
    <col min="10980" max="10981" width="54" style="23" customWidth="1"/>
    <col min="10982" max="10982" width="16.7109375" style="23" customWidth="1"/>
    <col min="10983" max="10983" width="11.85546875" style="23" bestFit="1" customWidth="1"/>
    <col min="10984" max="10984" width="9.85546875" style="23" bestFit="1" customWidth="1"/>
    <col min="10985" max="10985" width="10.5703125" style="23" bestFit="1" customWidth="1"/>
    <col min="10986" max="10988" width="13.42578125" style="23" customWidth="1"/>
    <col min="10989" max="10989" width="19.140625" style="23" customWidth="1"/>
    <col min="10990" max="10990" width="13.42578125" style="23" customWidth="1"/>
    <col min="10991" max="10991" width="19.85546875" style="23" customWidth="1"/>
    <col min="10992" max="10992" width="16" style="23" customWidth="1"/>
    <col min="10993" max="10993" width="24.28515625" style="23" customWidth="1"/>
    <col min="10994" max="10999" width="10.85546875" style="23" customWidth="1"/>
    <col min="11000" max="11000" width="16.28515625" style="23" bestFit="1" customWidth="1"/>
    <col min="11001" max="11001" width="12.140625" style="23" bestFit="1" customWidth="1"/>
    <col min="11002" max="11004" width="10.85546875" style="23" customWidth="1"/>
    <col min="11005" max="11005" width="9.28515625" style="23" bestFit="1" customWidth="1"/>
    <col min="11006" max="11235" width="9.140625" style="23"/>
    <col min="11236" max="11237" width="54" style="23" customWidth="1"/>
    <col min="11238" max="11238" width="16.7109375" style="23" customWidth="1"/>
    <col min="11239" max="11239" width="11.85546875" style="23" bestFit="1" customWidth="1"/>
    <col min="11240" max="11240" width="9.85546875" style="23" bestFit="1" customWidth="1"/>
    <col min="11241" max="11241" width="10.5703125" style="23" bestFit="1" customWidth="1"/>
    <col min="11242" max="11244" width="13.42578125" style="23" customWidth="1"/>
    <col min="11245" max="11245" width="19.140625" style="23" customWidth="1"/>
    <col min="11246" max="11246" width="13.42578125" style="23" customWidth="1"/>
    <col min="11247" max="11247" width="19.85546875" style="23" customWidth="1"/>
    <col min="11248" max="11248" width="16" style="23" customWidth="1"/>
    <col min="11249" max="11249" width="24.28515625" style="23" customWidth="1"/>
    <col min="11250" max="11255" width="10.85546875" style="23" customWidth="1"/>
    <col min="11256" max="11256" width="16.28515625" style="23" bestFit="1" customWidth="1"/>
    <col min="11257" max="11257" width="12.140625" style="23" bestFit="1" customWidth="1"/>
    <col min="11258" max="11260" width="10.85546875" style="23" customWidth="1"/>
    <col min="11261" max="11261" width="9.28515625" style="23" bestFit="1" customWidth="1"/>
    <col min="11262" max="11491" width="9.140625" style="23"/>
    <col min="11492" max="11493" width="54" style="23" customWidth="1"/>
    <col min="11494" max="11494" width="16.7109375" style="23" customWidth="1"/>
    <col min="11495" max="11495" width="11.85546875" style="23" bestFit="1" customWidth="1"/>
    <col min="11496" max="11496" width="9.85546875" style="23" bestFit="1" customWidth="1"/>
    <col min="11497" max="11497" width="10.5703125" style="23" bestFit="1" customWidth="1"/>
    <col min="11498" max="11500" width="13.42578125" style="23" customWidth="1"/>
    <col min="11501" max="11501" width="19.140625" style="23" customWidth="1"/>
    <col min="11502" max="11502" width="13.42578125" style="23" customWidth="1"/>
    <col min="11503" max="11503" width="19.85546875" style="23" customWidth="1"/>
    <col min="11504" max="11504" width="16" style="23" customWidth="1"/>
    <col min="11505" max="11505" width="24.28515625" style="23" customWidth="1"/>
    <col min="11506" max="11511" width="10.85546875" style="23" customWidth="1"/>
    <col min="11512" max="11512" width="16.28515625" style="23" bestFit="1" customWidth="1"/>
    <col min="11513" max="11513" width="12.140625" style="23" bestFit="1" customWidth="1"/>
    <col min="11514" max="11516" width="10.85546875" style="23" customWidth="1"/>
    <col min="11517" max="11517" width="9.28515625" style="23" bestFit="1" customWidth="1"/>
    <col min="11518" max="11747" width="9.140625" style="23"/>
    <col min="11748" max="11749" width="54" style="23" customWidth="1"/>
    <col min="11750" max="11750" width="16.7109375" style="23" customWidth="1"/>
    <col min="11751" max="11751" width="11.85546875" style="23" bestFit="1" customWidth="1"/>
    <col min="11752" max="11752" width="9.85546875" style="23" bestFit="1" customWidth="1"/>
    <col min="11753" max="11753" width="10.5703125" style="23" bestFit="1" customWidth="1"/>
    <col min="11754" max="11756" width="13.42578125" style="23" customWidth="1"/>
    <col min="11757" max="11757" width="19.140625" style="23" customWidth="1"/>
    <col min="11758" max="11758" width="13.42578125" style="23" customWidth="1"/>
    <col min="11759" max="11759" width="19.85546875" style="23" customWidth="1"/>
    <col min="11760" max="11760" width="16" style="23" customWidth="1"/>
    <col min="11761" max="11761" width="24.28515625" style="23" customWidth="1"/>
    <col min="11762" max="11767" width="10.85546875" style="23" customWidth="1"/>
    <col min="11768" max="11768" width="16.28515625" style="23" bestFit="1" customWidth="1"/>
    <col min="11769" max="11769" width="12.140625" style="23" bestFit="1" customWidth="1"/>
    <col min="11770" max="11772" width="10.85546875" style="23" customWidth="1"/>
    <col min="11773" max="11773" width="9.28515625" style="23" bestFit="1" customWidth="1"/>
    <col min="11774" max="12003" width="9.140625" style="23"/>
    <col min="12004" max="12005" width="54" style="23" customWidth="1"/>
    <col min="12006" max="12006" width="16.7109375" style="23" customWidth="1"/>
    <col min="12007" max="12007" width="11.85546875" style="23" bestFit="1" customWidth="1"/>
    <col min="12008" max="12008" width="9.85546875" style="23" bestFit="1" customWidth="1"/>
    <col min="12009" max="12009" width="10.5703125" style="23" bestFit="1" customWidth="1"/>
    <col min="12010" max="12012" width="13.42578125" style="23" customWidth="1"/>
    <col min="12013" max="12013" width="19.140625" style="23" customWidth="1"/>
    <col min="12014" max="12014" width="13.42578125" style="23" customWidth="1"/>
    <col min="12015" max="12015" width="19.85546875" style="23" customWidth="1"/>
    <col min="12016" max="12016" width="16" style="23" customWidth="1"/>
    <col min="12017" max="12017" width="24.28515625" style="23" customWidth="1"/>
    <col min="12018" max="12023" width="10.85546875" style="23" customWidth="1"/>
    <col min="12024" max="12024" width="16.28515625" style="23" bestFit="1" customWidth="1"/>
    <col min="12025" max="12025" width="12.140625" style="23" bestFit="1" customWidth="1"/>
    <col min="12026" max="12028" width="10.85546875" style="23" customWidth="1"/>
    <col min="12029" max="12029" width="9.28515625" style="23" bestFit="1" customWidth="1"/>
    <col min="12030" max="12259" width="9.140625" style="23"/>
    <col min="12260" max="12261" width="54" style="23" customWidth="1"/>
    <col min="12262" max="12262" width="16.7109375" style="23" customWidth="1"/>
    <col min="12263" max="12263" width="11.85546875" style="23" bestFit="1" customWidth="1"/>
    <col min="12264" max="12264" width="9.85546875" style="23" bestFit="1" customWidth="1"/>
    <col min="12265" max="12265" width="10.5703125" style="23" bestFit="1" customWidth="1"/>
    <col min="12266" max="12268" width="13.42578125" style="23" customWidth="1"/>
    <col min="12269" max="12269" width="19.140625" style="23" customWidth="1"/>
    <col min="12270" max="12270" width="13.42578125" style="23" customWidth="1"/>
    <col min="12271" max="12271" width="19.85546875" style="23" customWidth="1"/>
    <col min="12272" max="12272" width="16" style="23" customWidth="1"/>
    <col min="12273" max="12273" width="24.28515625" style="23" customWidth="1"/>
    <col min="12274" max="12279" width="10.85546875" style="23" customWidth="1"/>
    <col min="12280" max="12280" width="16.28515625" style="23" bestFit="1" customWidth="1"/>
    <col min="12281" max="12281" width="12.140625" style="23" bestFit="1" customWidth="1"/>
    <col min="12282" max="12284" width="10.85546875" style="23" customWidth="1"/>
    <col min="12285" max="12285" width="9.28515625" style="23" bestFit="1" customWidth="1"/>
    <col min="12286" max="12515" width="9.140625" style="23"/>
    <col min="12516" max="12517" width="54" style="23" customWidth="1"/>
    <col min="12518" max="12518" width="16.7109375" style="23" customWidth="1"/>
    <col min="12519" max="12519" width="11.85546875" style="23" bestFit="1" customWidth="1"/>
    <col min="12520" max="12520" width="9.85546875" style="23" bestFit="1" customWidth="1"/>
    <col min="12521" max="12521" width="10.5703125" style="23" bestFit="1" customWidth="1"/>
    <col min="12522" max="12524" width="13.42578125" style="23" customWidth="1"/>
    <col min="12525" max="12525" width="19.140625" style="23" customWidth="1"/>
    <col min="12526" max="12526" width="13.42578125" style="23" customWidth="1"/>
    <col min="12527" max="12527" width="19.85546875" style="23" customWidth="1"/>
    <col min="12528" max="12528" width="16" style="23" customWidth="1"/>
    <col min="12529" max="12529" width="24.28515625" style="23" customWidth="1"/>
    <col min="12530" max="12535" width="10.85546875" style="23" customWidth="1"/>
    <col min="12536" max="12536" width="16.28515625" style="23" bestFit="1" customWidth="1"/>
    <col min="12537" max="12537" width="12.140625" style="23" bestFit="1" customWidth="1"/>
    <col min="12538" max="12540" width="10.85546875" style="23" customWidth="1"/>
    <col min="12541" max="12541" width="9.28515625" style="23" bestFit="1" customWidth="1"/>
    <col min="12542" max="12771" width="9.140625" style="23"/>
    <col min="12772" max="12773" width="54" style="23" customWidth="1"/>
    <col min="12774" max="12774" width="16.7109375" style="23" customWidth="1"/>
    <col min="12775" max="12775" width="11.85546875" style="23" bestFit="1" customWidth="1"/>
    <col min="12776" max="12776" width="9.85546875" style="23" bestFit="1" customWidth="1"/>
    <col min="12777" max="12777" width="10.5703125" style="23" bestFit="1" customWidth="1"/>
    <col min="12778" max="12780" width="13.42578125" style="23" customWidth="1"/>
    <col min="12781" max="12781" width="19.140625" style="23" customWidth="1"/>
    <col min="12782" max="12782" width="13.42578125" style="23" customWidth="1"/>
    <col min="12783" max="12783" width="19.85546875" style="23" customWidth="1"/>
    <col min="12784" max="12784" width="16" style="23" customWidth="1"/>
    <col min="12785" max="12785" width="24.28515625" style="23" customWidth="1"/>
    <col min="12786" max="12791" width="10.85546875" style="23" customWidth="1"/>
    <col min="12792" max="12792" width="16.28515625" style="23" bestFit="1" customWidth="1"/>
    <col min="12793" max="12793" width="12.140625" style="23" bestFit="1" customWidth="1"/>
    <col min="12794" max="12796" width="10.85546875" style="23" customWidth="1"/>
    <col min="12797" max="12797" width="9.28515625" style="23" bestFit="1" customWidth="1"/>
    <col min="12798" max="13027" width="9.140625" style="23"/>
    <col min="13028" max="13029" width="54" style="23" customWidth="1"/>
    <col min="13030" max="13030" width="16.7109375" style="23" customWidth="1"/>
    <col min="13031" max="13031" width="11.85546875" style="23" bestFit="1" customWidth="1"/>
    <col min="13032" max="13032" width="9.85546875" style="23" bestFit="1" customWidth="1"/>
    <col min="13033" max="13033" width="10.5703125" style="23" bestFit="1" customWidth="1"/>
    <col min="13034" max="13036" width="13.42578125" style="23" customWidth="1"/>
    <col min="13037" max="13037" width="19.140625" style="23" customWidth="1"/>
    <col min="13038" max="13038" width="13.42578125" style="23" customWidth="1"/>
    <col min="13039" max="13039" width="19.85546875" style="23" customWidth="1"/>
    <col min="13040" max="13040" width="16" style="23" customWidth="1"/>
    <col min="13041" max="13041" width="24.28515625" style="23" customWidth="1"/>
    <col min="13042" max="13047" width="10.85546875" style="23" customWidth="1"/>
    <col min="13048" max="13048" width="16.28515625" style="23" bestFit="1" customWidth="1"/>
    <col min="13049" max="13049" width="12.140625" style="23" bestFit="1" customWidth="1"/>
    <col min="13050" max="13052" width="10.85546875" style="23" customWidth="1"/>
    <col min="13053" max="13053" width="9.28515625" style="23" bestFit="1" customWidth="1"/>
    <col min="13054" max="13283" width="9.140625" style="23"/>
    <col min="13284" max="13285" width="54" style="23" customWidth="1"/>
    <col min="13286" max="13286" width="16.7109375" style="23" customWidth="1"/>
    <col min="13287" max="13287" width="11.85546875" style="23" bestFit="1" customWidth="1"/>
    <col min="13288" max="13288" width="9.85546875" style="23" bestFit="1" customWidth="1"/>
    <col min="13289" max="13289" width="10.5703125" style="23" bestFit="1" customWidth="1"/>
    <col min="13290" max="13292" width="13.42578125" style="23" customWidth="1"/>
    <col min="13293" max="13293" width="19.140625" style="23" customWidth="1"/>
    <col min="13294" max="13294" width="13.42578125" style="23" customWidth="1"/>
    <col min="13295" max="13295" width="19.85546875" style="23" customWidth="1"/>
    <col min="13296" max="13296" width="16" style="23" customWidth="1"/>
    <col min="13297" max="13297" width="24.28515625" style="23" customWidth="1"/>
    <col min="13298" max="13303" width="10.85546875" style="23" customWidth="1"/>
    <col min="13304" max="13304" width="16.28515625" style="23" bestFit="1" customWidth="1"/>
    <col min="13305" max="13305" width="12.140625" style="23" bestFit="1" customWidth="1"/>
    <col min="13306" max="13308" width="10.85546875" style="23" customWidth="1"/>
    <col min="13309" max="13309" width="9.28515625" style="23" bestFit="1" customWidth="1"/>
    <col min="13310" max="13539" width="9.140625" style="23"/>
    <col min="13540" max="13541" width="54" style="23" customWidth="1"/>
    <col min="13542" max="13542" width="16.7109375" style="23" customWidth="1"/>
    <col min="13543" max="13543" width="11.85546875" style="23" bestFit="1" customWidth="1"/>
    <col min="13544" max="13544" width="9.85546875" style="23" bestFit="1" customWidth="1"/>
    <col min="13545" max="13545" width="10.5703125" style="23" bestFit="1" customWidth="1"/>
    <col min="13546" max="13548" width="13.42578125" style="23" customWidth="1"/>
    <col min="13549" max="13549" width="19.140625" style="23" customWidth="1"/>
    <col min="13550" max="13550" width="13.42578125" style="23" customWidth="1"/>
    <col min="13551" max="13551" width="19.85546875" style="23" customWidth="1"/>
    <col min="13552" max="13552" width="16" style="23" customWidth="1"/>
    <col min="13553" max="13553" width="24.28515625" style="23" customWidth="1"/>
    <col min="13554" max="13559" width="10.85546875" style="23" customWidth="1"/>
    <col min="13560" max="13560" width="16.28515625" style="23" bestFit="1" customWidth="1"/>
    <col min="13561" max="13561" width="12.140625" style="23" bestFit="1" customWidth="1"/>
    <col min="13562" max="13564" width="10.85546875" style="23" customWidth="1"/>
    <col min="13565" max="13565" width="9.28515625" style="23" bestFit="1" customWidth="1"/>
    <col min="13566" max="13795" width="9.140625" style="23"/>
    <col min="13796" max="13797" width="54" style="23" customWidth="1"/>
    <col min="13798" max="13798" width="16.7109375" style="23" customWidth="1"/>
    <col min="13799" max="13799" width="11.85546875" style="23" bestFit="1" customWidth="1"/>
    <col min="13800" max="13800" width="9.85546875" style="23" bestFit="1" customWidth="1"/>
    <col min="13801" max="13801" width="10.5703125" style="23" bestFit="1" customWidth="1"/>
    <col min="13802" max="13804" width="13.42578125" style="23" customWidth="1"/>
    <col min="13805" max="13805" width="19.140625" style="23" customWidth="1"/>
    <col min="13806" max="13806" width="13.42578125" style="23" customWidth="1"/>
    <col min="13807" max="13807" width="19.85546875" style="23" customWidth="1"/>
    <col min="13808" max="13808" width="16" style="23" customWidth="1"/>
    <col min="13809" max="13809" width="24.28515625" style="23" customWidth="1"/>
    <col min="13810" max="13815" width="10.85546875" style="23" customWidth="1"/>
    <col min="13816" max="13816" width="16.28515625" style="23" bestFit="1" customWidth="1"/>
    <col min="13817" max="13817" width="12.140625" style="23" bestFit="1" customWidth="1"/>
    <col min="13818" max="13820" width="10.85546875" style="23" customWidth="1"/>
    <col min="13821" max="13821" width="9.28515625" style="23" bestFit="1" customWidth="1"/>
    <col min="13822" max="14051" width="9.140625" style="23"/>
    <col min="14052" max="14053" width="54" style="23" customWidth="1"/>
    <col min="14054" max="14054" width="16.7109375" style="23" customWidth="1"/>
    <col min="14055" max="14055" width="11.85546875" style="23" bestFit="1" customWidth="1"/>
    <col min="14056" max="14056" width="9.85546875" style="23" bestFit="1" customWidth="1"/>
    <col min="14057" max="14057" width="10.5703125" style="23" bestFit="1" customWidth="1"/>
    <col min="14058" max="14060" width="13.42578125" style="23" customWidth="1"/>
    <col min="14061" max="14061" width="19.140625" style="23" customWidth="1"/>
    <col min="14062" max="14062" width="13.42578125" style="23" customWidth="1"/>
    <col min="14063" max="14063" width="19.85546875" style="23" customWidth="1"/>
    <col min="14064" max="14064" width="16" style="23" customWidth="1"/>
    <col min="14065" max="14065" width="24.28515625" style="23" customWidth="1"/>
    <col min="14066" max="14071" width="10.85546875" style="23" customWidth="1"/>
    <col min="14072" max="14072" width="16.28515625" style="23" bestFit="1" customWidth="1"/>
    <col min="14073" max="14073" width="12.140625" style="23" bestFit="1" customWidth="1"/>
    <col min="14074" max="14076" width="10.85546875" style="23" customWidth="1"/>
    <col min="14077" max="14077" width="9.28515625" style="23" bestFit="1" customWidth="1"/>
    <col min="14078" max="14307" width="9.140625" style="23"/>
    <col min="14308" max="14309" width="54" style="23" customWidth="1"/>
    <col min="14310" max="14310" width="16.7109375" style="23" customWidth="1"/>
    <col min="14311" max="14311" width="11.85546875" style="23" bestFit="1" customWidth="1"/>
    <col min="14312" max="14312" width="9.85546875" style="23" bestFit="1" customWidth="1"/>
    <col min="14313" max="14313" width="10.5703125" style="23" bestFit="1" customWidth="1"/>
    <col min="14314" max="14316" width="13.42578125" style="23" customWidth="1"/>
    <col min="14317" max="14317" width="19.140625" style="23" customWidth="1"/>
    <col min="14318" max="14318" width="13.42578125" style="23" customWidth="1"/>
    <col min="14319" max="14319" width="19.85546875" style="23" customWidth="1"/>
    <col min="14320" max="14320" width="16" style="23" customWidth="1"/>
    <col min="14321" max="14321" width="24.28515625" style="23" customWidth="1"/>
    <col min="14322" max="14327" width="10.85546875" style="23" customWidth="1"/>
    <col min="14328" max="14328" width="16.28515625" style="23" bestFit="1" customWidth="1"/>
    <col min="14329" max="14329" width="12.140625" style="23" bestFit="1" customWidth="1"/>
    <col min="14330" max="14332" width="10.85546875" style="23" customWidth="1"/>
    <col min="14333" max="14333" width="9.28515625" style="23" bestFit="1" customWidth="1"/>
    <col min="14334" max="14563" width="9.140625" style="23"/>
    <col min="14564" max="14565" width="54" style="23" customWidth="1"/>
    <col min="14566" max="14566" width="16.7109375" style="23" customWidth="1"/>
    <col min="14567" max="14567" width="11.85546875" style="23" bestFit="1" customWidth="1"/>
    <col min="14568" max="14568" width="9.85546875" style="23" bestFit="1" customWidth="1"/>
    <col min="14569" max="14569" width="10.5703125" style="23" bestFit="1" customWidth="1"/>
    <col min="14570" max="14572" width="13.42578125" style="23" customWidth="1"/>
    <col min="14573" max="14573" width="19.140625" style="23" customWidth="1"/>
    <col min="14574" max="14574" width="13.42578125" style="23" customWidth="1"/>
    <col min="14575" max="14575" width="19.85546875" style="23" customWidth="1"/>
    <col min="14576" max="14576" width="16" style="23" customWidth="1"/>
    <col min="14577" max="14577" width="24.28515625" style="23" customWidth="1"/>
    <col min="14578" max="14583" width="10.85546875" style="23" customWidth="1"/>
    <col min="14584" max="14584" width="16.28515625" style="23" bestFit="1" customWidth="1"/>
    <col min="14585" max="14585" width="12.140625" style="23" bestFit="1" customWidth="1"/>
    <col min="14586" max="14588" width="10.85546875" style="23" customWidth="1"/>
    <col min="14589" max="14589" width="9.28515625" style="23" bestFit="1" customWidth="1"/>
    <col min="14590" max="14819" width="9.140625" style="23"/>
    <col min="14820" max="14821" width="54" style="23" customWidth="1"/>
    <col min="14822" max="14822" width="16.7109375" style="23" customWidth="1"/>
    <col min="14823" max="14823" width="11.85546875" style="23" bestFit="1" customWidth="1"/>
    <col min="14824" max="14824" width="9.85546875" style="23" bestFit="1" customWidth="1"/>
    <col min="14825" max="14825" width="10.5703125" style="23" bestFit="1" customWidth="1"/>
    <col min="14826" max="14828" width="13.42578125" style="23" customWidth="1"/>
    <col min="14829" max="14829" width="19.140625" style="23" customWidth="1"/>
    <col min="14830" max="14830" width="13.42578125" style="23" customWidth="1"/>
    <col min="14831" max="14831" width="19.85546875" style="23" customWidth="1"/>
    <col min="14832" max="14832" width="16" style="23" customWidth="1"/>
    <col min="14833" max="14833" width="24.28515625" style="23" customWidth="1"/>
    <col min="14834" max="14839" width="10.85546875" style="23" customWidth="1"/>
    <col min="14840" max="14840" width="16.28515625" style="23" bestFit="1" customWidth="1"/>
    <col min="14841" max="14841" width="12.140625" style="23" bestFit="1" customWidth="1"/>
    <col min="14842" max="14844" width="10.85546875" style="23" customWidth="1"/>
    <col min="14845" max="14845" width="9.28515625" style="23" bestFit="1" customWidth="1"/>
    <col min="14846" max="15075" width="9.140625" style="23"/>
    <col min="15076" max="15077" width="54" style="23" customWidth="1"/>
    <col min="15078" max="15078" width="16.7109375" style="23" customWidth="1"/>
    <col min="15079" max="15079" width="11.85546875" style="23" bestFit="1" customWidth="1"/>
    <col min="15080" max="15080" width="9.85546875" style="23" bestFit="1" customWidth="1"/>
    <col min="15081" max="15081" width="10.5703125" style="23" bestFit="1" customWidth="1"/>
    <col min="15082" max="15084" width="13.42578125" style="23" customWidth="1"/>
    <col min="15085" max="15085" width="19.140625" style="23" customWidth="1"/>
    <col min="15086" max="15086" width="13.42578125" style="23" customWidth="1"/>
    <col min="15087" max="15087" width="19.85546875" style="23" customWidth="1"/>
    <col min="15088" max="15088" width="16" style="23" customWidth="1"/>
    <col min="15089" max="15089" width="24.28515625" style="23" customWidth="1"/>
    <col min="15090" max="15095" width="10.85546875" style="23" customWidth="1"/>
    <col min="15096" max="15096" width="16.28515625" style="23" bestFit="1" customWidth="1"/>
    <col min="15097" max="15097" width="12.140625" style="23" bestFit="1" customWidth="1"/>
    <col min="15098" max="15100" width="10.85546875" style="23" customWidth="1"/>
    <col min="15101" max="15101" width="9.28515625" style="23" bestFit="1" customWidth="1"/>
    <col min="15102" max="15331" width="9.140625" style="23"/>
    <col min="15332" max="15333" width="54" style="23" customWidth="1"/>
    <col min="15334" max="15334" width="16.7109375" style="23" customWidth="1"/>
    <col min="15335" max="15335" width="11.85546875" style="23" bestFit="1" customWidth="1"/>
    <col min="15336" max="15336" width="9.85546875" style="23" bestFit="1" customWidth="1"/>
    <col min="15337" max="15337" width="10.5703125" style="23" bestFit="1" customWidth="1"/>
    <col min="15338" max="15340" width="13.42578125" style="23" customWidth="1"/>
    <col min="15341" max="15341" width="19.140625" style="23" customWidth="1"/>
    <col min="15342" max="15342" width="13.42578125" style="23" customWidth="1"/>
    <col min="15343" max="15343" width="19.85546875" style="23" customWidth="1"/>
    <col min="15344" max="15344" width="16" style="23" customWidth="1"/>
    <col min="15345" max="15345" width="24.28515625" style="23" customWidth="1"/>
    <col min="15346" max="15351" width="10.85546875" style="23" customWidth="1"/>
    <col min="15352" max="15352" width="16.28515625" style="23" bestFit="1" customWidth="1"/>
    <col min="15353" max="15353" width="12.140625" style="23" bestFit="1" customWidth="1"/>
    <col min="15354" max="15356" width="10.85546875" style="23" customWidth="1"/>
    <col min="15357" max="15357" width="9.28515625" style="23" bestFit="1" customWidth="1"/>
    <col min="15358" max="15587" width="9.140625" style="23"/>
    <col min="15588" max="15589" width="54" style="23" customWidth="1"/>
    <col min="15590" max="15590" width="16.7109375" style="23" customWidth="1"/>
    <col min="15591" max="15591" width="11.85546875" style="23" bestFit="1" customWidth="1"/>
    <col min="15592" max="15592" width="9.85546875" style="23" bestFit="1" customWidth="1"/>
    <col min="15593" max="15593" width="10.5703125" style="23" bestFit="1" customWidth="1"/>
    <col min="15594" max="15596" width="13.42578125" style="23" customWidth="1"/>
    <col min="15597" max="15597" width="19.140625" style="23" customWidth="1"/>
    <col min="15598" max="15598" width="13.42578125" style="23" customWidth="1"/>
    <col min="15599" max="15599" width="19.85546875" style="23" customWidth="1"/>
    <col min="15600" max="15600" width="16" style="23" customWidth="1"/>
    <col min="15601" max="15601" width="24.28515625" style="23" customWidth="1"/>
    <col min="15602" max="15607" width="10.85546875" style="23" customWidth="1"/>
    <col min="15608" max="15608" width="16.28515625" style="23" bestFit="1" customWidth="1"/>
    <col min="15609" max="15609" width="12.140625" style="23" bestFit="1" customWidth="1"/>
    <col min="15610" max="15612" width="10.85546875" style="23" customWidth="1"/>
    <col min="15613" max="15613" width="9.28515625" style="23" bestFit="1" customWidth="1"/>
    <col min="15614" max="15843" width="9.140625" style="23"/>
    <col min="15844" max="15845" width="54" style="23" customWidth="1"/>
    <col min="15846" max="15846" width="16.7109375" style="23" customWidth="1"/>
    <col min="15847" max="15847" width="11.85546875" style="23" bestFit="1" customWidth="1"/>
    <col min="15848" max="15848" width="9.85546875" style="23" bestFit="1" customWidth="1"/>
    <col min="15849" max="15849" width="10.5703125" style="23" bestFit="1" customWidth="1"/>
    <col min="15850" max="15852" width="13.42578125" style="23" customWidth="1"/>
    <col min="15853" max="15853" width="19.140625" style="23" customWidth="1"/>
    <col min="15854" max="15854" width="13.42578125" style="23" customWidth="1"/>
    <col min="15855" max="15855" width="19.85546875" style="23" customWidth="1"/>
    <col min="15856" max="15856" width="16" style="23" customWidth="1"/>
    <col min="15857" max="15857" width="24.28515625" style="23" customWidth="1"/>
    <col min="15858" max="15863" width="10.85546875" style="23" customWidth="1"/>
    <col min="15864" max="15864" width="16.28515625" style="23" bestFit="1" customWidth="1"/>
    <col min="15865" max="15865" width="12.140625" style="23" bestFit="1" customWidth="1"/>
    <col min="15866" max="15868" width="10.85546875" style="23" customWidth="1"/>
    <col min="15869" max="15869" width="9.28515625" style="23" bestFit="1" customWidth="1"/>
    <col min="15870" max="16099" width="9.140625" style="23"/>
    <col min="16100" max="16101" width="54" style="23" customWidth="1"/>
    <col min="16102" max="16102" width="16.7109375" style="23" customWidth="1"/>
    <col min="16103" max="16103" width="11.85546875" style="23" bestFit="1" customWidth="1"/>
    <col min="16104" max="16104" width="9.85546875" style="23" bestFit="1" customWidth="1"/>
    <col min="16105" max="16105" width="10.5703125" style="23" bestFit="1" customWidth="1"/>
    <col min="16106" max="16108" width="13.42578125" style="23" customWidth="1"/>
    <col min="16109" max="16109" width="19.140625" style="23" customWidth="1"/>
    <col min="16110" max="16110" width="13.42578125" style="23" customWidth="1"/>
    <col min="16111" max="16111" width="19.85546875" style="23" customWidth="1"/>
    <col min="16112" max="16112" width="16" style="23" customWidth="1"/>
    <col min="16113" max="16113" width="24.28515625" style="23" customWidth="1"/>
    <col min="16114" max="16119" width="10.85546875" style="23" customWidth="1"/>
    <col min="16120" max="16120" width="16.28515625" style="23" bestFit="1" customWidth="1"/>
    <col min="16121" max="16121" width="12.140625" style="23" bestFit="1" customWidth="1"/>
    <col min="16122" max="16124" width="10.85546875" style="23" customWidth="1"/>
    <col min="16125" max="16125" width="9.28515625" style="23" bestFit="1" customWidth="1"/>
    <col min="16126" max="16384" width="9.140625" style="23"/>
  </cols>
  <sheetData>
    <row r="1" spans="1:13" ht="91.5" customHeight="1" x14ac:dyDescent="0.2">
      <c r="A1" s="313" t="s">
        <v>2444</v>
      </c>
      <c r="B1" s="314"/>
      <c r="C1" s="314"/>
      <c r="D1" s="314"/>
      <c r="E1" s="315"/>
      <c r="F1" s="312" t="s">
        <v>0</v>
      </c>
      <c r="G1" s="312"/>
      <c r="H1" s="303" t="s">
        <v>1</v>
      </c>
      <c r="I1" s="303"/>
      <c r="J1" s="303" t="s">
        <v>2</v>
      </c>
      <c r="K1" s="303"/>
      <c r="L1" s="304" t="s">
        <v>16</v>
      </c>
      <c r="M1" s="301" t="s">
        <v>3</v>
      </c>
    </row>
    <row r="2" spans="1:13" ht="36.75" customHeight="1" thickBot="1" x14ac:dyDescent="0.25">
      <c r="A2" s="24" t="s">
        <v>39</v>
      </c>
      <c r="B2" s="25" t="s">
        <v>40</v>
      </c>
      <c r="C2" s="316" t="s">
        <v>4</v>
      </c>
      <c r="D2" s="317"/>
      <c r="E2" s="318"/>
      <c r="F2" s="26" t="s">
        <v>5</v>
      </c>
      <c r="G2" s="27" t="s">
        <v>6</v>
      </c>
      <c r="H2" s="28" t="s">
        <v>14</v>
      </c>
      <c r="I2" s="25" t="s">
        <v>7</v>
      </c>
      <c r="J2" s="28" t="s">
        <v>15</v>
      </c>
      <c r="K2" s="25" t="s">
        <v>8</v>
      </c>
      <c r="L2" s="305"/>
      <c r="M2" s="302"/>
    </row>
    <row r="3" spans="1:13" ht="37.5" customHeight="1" thickTop="1" thickBot="1" x14ac:dyDescent="0.25">
      <c r="A3" s="29"/>
      <c r="B3" s="30" t="s">
        <v>362</v>
      </c>
      <c r="C3" s="272" t="s">
        <v>2446</v>
      </c>
      <c r="D3" s="273"/>
      <c r="E3" s="273"/>
      <c r="F3" s="31"/>
      <c r="G3" s="32"/>
      <c r="H3" s="33"/>
      <c r="I3" s="34">
        <f>+I4+I5</f>
        <v>0</v>
      </c>
      <c r="J3" s="33"/>
      <c r="K3" s="34">
        <f>+K4+K5</f>
        <v>0</v>
      </c>
      <c r="L3" s="35"/>
      <c r="M3" s="34">
        <f>+M4+M5</f>
        <v>0</v>
      </c>
    </row>
    <row r="4" spans="1:13" ht="39.75" customHeight="1" thickTop="1" x14ac:dyDescent="0.2">
      <c r="A4" s="36"/>
      <c r="B4" s="37" t="s">
        <v>41</v>
      </c>
      <c r="C4" s="276" t="s">
        <v>2447</v>
      </c>
      <c r="D4" s="277"/>
      <c r="E4" s="278"/>
      <c r="F4" s="41" t="s">
        <v>2445</v>
      </c>
      <c r="G4" s="42">
        <v>1</v>
      </c>
      <c r="H4" s="1"/>
      <c r="I4" s="43">
        <f t="shared" ref="I4:I5" si="0">+H4*G4</f>
        <v>0</v>
      </c>
      <c r="J4" s="1"/>
      <c r="K4" s="43">
        <f t="shared" ref="K4:K5" si="1">+J4*G4</f>
        <v>0</v>
      </c>
      <c r="L4" s="44">
        <f t="shared" ref="L4:L5" si="2">+H4+J4</f>
        <v>0</v>
      </c>
      <c r="M4" s="43">
        <f t="shared" ref="M4:M5" si="3">L4*G4</f>
        <v>0</v>
      </c>
    </row>
    <row r="5" spans="1:13" ht="48.75" customHeight="1" x14ac:dyDescent="0.2">
      <c r="A5" s="36"/>
      <c r="B5" s="37" t="s">
        <v>42</v>
      </c>
      <c r="C5" s="276" t="s">
        <v>2448</v>
      </c>
      <c r="D5" s="277"/>
      <c r="E5" s="278"/>
      <c r="F5" s="41" t="s">
        <v>2445</v>
      </c>
      <c r="G5" s="42">
        <v>1</v>
      </c>
      <c r="H5" s="1"/>
      <c r="I5" s="43">
        <f t="shared" si="0"/>
        <v>0</v>
      </c>
      <c r="J5" s="1"/>
      <c r="K5" s="43">
        <f t="shared" si="1"/>
        <v>0</v>
      </c>
      <c r="L5" s="44">
        <f t="shared" si="2"/>
        <v>0</v>
      </c>
      <c r="M5" s="43">
        <f t="shared" si="3"/>
        <v>0</v>
      </c>
    </row>
    <row r="6" spans="1:13" ht="15" thickBot="1" x14ac:dyDescent="0.25">
      <c r="A6" s="45"/>
      <c r="B6" s="45"/>
      <c r="C6" s="46"/>
      <c r="D6" s="46"/>
      <c r="E6" s="47"/>
      <c r="F6" s="48"/>
      <c r="G6" s="49"/>
      <c r="H6" s="50"/>
      <c r="I6" s="50"/>
      <c r="J6" s="50"/>
      <c r="K6" s="50"/>
      <c r="L6" s="50"/>
      <c r="M6" s="51"/>
    </row>
    <row r="7" spans="1:13" ht="30" customHeight="1" thickTop="1" x14ac:dyDescent="0.2">
      <c r="F7" s="255" t="s">
        <v>2383</v>
      </c>
      <c r="G7" s="256"/>
      <c r="H7" s="256"/>
      <c r="I7" s="257"/>
      <c r="J7" s="251" t="s">
        <v>1</v>
      </c>
      <c r="K7" s="251"/>
      <c r="L7" s="252">
        <f>+I3</f>
        <v>0</v>
      </c>
      <c r="M7" s="252"/>
    </row>
    <row r="8" spans="1:13" ht="30" customHeight="1" x14ac:dyDescent="0.2">
      <c r="F8" s="258"/>
      <c r="G8" s="259"/>
      <c r="H8" s="259"/>
      <c r="I8" s="260"/>
      <c r="J8" s="251" t="s">
        <v>2</v>
      </c>
      <c r="K8" s="251"/>
      <c r="L8" s="252">
        <f>+K3</f>
        <v>0</v>
      </c>
      <c r="M8" s="252"/>
    </row>
    <row r="9" spans="1:13" ht="38.25" customHeight="1" thickBot="1" x14ac:dyDescent="0.25">
      <c r="F9" s="261"/>
      <c r="G9" s="262"/>
      <c r="H9" s="262"/>
      <c r="I9" s="263"/>
      <c r="J9" s="253" t="s">
        <v>13</v>
      </c>
      <c r="K9" s="253"/>
      <c r="L9" s="254">
        <f>+L7+L8</f>
        <v>0</v>
      </c>
      <c r="M9" s="254"/>
    </row>
    <row r="10" spans="1:13" ht="13.5" thickTop="1" x14ac:dyDescent="0.2"/>
  </sheetData>
  <sheetProtection algorithmName="SHA-512" hashValue="SvzveqToUrdtwHBdkIlPVRosCUdxbznVOrH82zI3nl6iJBu7OHLWRWOGmOm0ZX0eb0eI3ooIz4gO6urYQUQQYg==" saltValue="E1hU+jV/Jh+dHxY8phLIlw==" spinCount="100000" sheet="1" insertHyperlinks="0" selectLockedCells="1" sort="0"/>
  <mergeCells count="17">
    <mergeCell ref="F7:I9"/>
    <mergeCell ref="J7:K7"/>
    <mergeCell ref="L7:M7"/>
    <mergeCell ref="J8:K8"/>
    <mergeCell ref="L8:M8"/>
    <mergeCell ref="J9:K9"/>
    <mergeCell ref="L9:M9"/>
    <mergeCell ref="C3:E3"/>
    <mergeCell ref="C4:E4"/>
    <mergeCell ref="C5:E5"/>
    <mergeCell ref="A1:E1"/>
    <mergeCell ref="F1:G1"/>
    <mergeCell ref="H1:I1"/>
    <mergeCell ref="J1:K1"/>
    <mergeCell ref="L1:L2"/>
    <mergeCell ref="M1:M2"/>
    <mergeCell ref="C2:E2"/>
  </mergeCells>
  <pageMargins left="0.70866141732283472" right="0.70866141732283472" top="0.74803149606299213" bottom="0.74803149606299213" header="0.31496062992125984" footer="0.31496062992125984"/>
  <pageSetup paperSize="9" scale="49"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505EA-27A7-4C33-82E9-CAE32A1D287D}">
  <sheetPr>
    <pageSetUpPr fitToPage="1"/>
  </sheetPr>
  <dimension ref="A1:M9"/>
  <sheetViews>
    <sheetView zoomScale="85" zoomScaleNormal="85" workbookViewId="0">
      <selection activeCell="H4" sqref="H4"/>
    </sheetView>
  </sheetViews>
  <sheetFormatPr defaultRowHeight="12.75" x14ac:dyDescent="0.2"/>
  <cols>
    <col min="1" max="1" width="14.85546875" style="23" customWidth="1"/>
    <col min="2" max="2" width="9.7109375" style="23" customWidth="1"/>
    <col min="3" max="3" width="17.28515625" style="23" customWidth="1"/>
    <col min="4" max="5" width="34.42578125" style="23" customWidth="1"/>
    <col min="6" max="6" width="11.85546875" style="23" bestFit="1" customWidth="1"/>
    <col min="7" max="7" width="14.28515625" style="52" bestFit="1" customWidth="1"/>
    <col min="8" max="8" width="18.5703125" style="52" customWidth="1"/>
    <col min="9" max="9" width="24.28515625" style="52" customWidth="1" collapsed="1"/>
    <col min="10" max="10" width="18.5703125" style="52" customWidth="1"/>
    <col min="11" max="11" width="24.28515625" style="52" customWidth="1" collapsed="1"/>
    <col min="12" max="12" width="18.5703125" style="52" customWidth="1"/>
    <col min="13" max="13" width="24.28515625" style="52" customWidth="1"/>
    <col min="14" max="227" width="9.140625" style="23"/>
    <col min="228" max="229" width="54" style="23" customWidth="1"/>
    <col min="230" max="230" width="16.7109375" style="23" customWidth="1"/>
    <col min="231" max="231" width="11.85546875" style="23" bestFit="1" customWidth="1"/>
    <col min="232" max="232" width="9.85546875" style="23" bestFit="1" customWidth="1"/>
    <col min="233" max="233" width="10.5703125" style="23" bestFit="1" customWidth="1"/>
    <col min="234" max="236" width="13.42578125" style="23" customWidth="1"/>
    <col min="237" max="237" width="19.140625" style="23" customWidth="1"/>
    <col min="238" max="238" width="13.42578125" style="23" customWidth="1"/>
    <col min="239" max="239" width="19.85546875" style="23" customWidth="1"/>
    <col min="240" max="240" width="16" style="23" customWidth="1"/>
    <col min="241" max="241" width="24.28515625" style="23" customWidth="1"/>
    <col min="242" max="247" width="10.85546875" style="23" customWidth="1"/>
    <col min="248" max="248" width="16.28515625" style="23" bestFit="1" customWidth="1"/>
    <col min="249" max="249" width="12.140625" style="23" bestFit="1" customWidth="1"/>
    <col min="250" max="252" width="10.85546875" style="23" customWidth="1"/>
    <col min="253" max="253" width="9.28515625" style="23" bestFit="1" customWidth="1"/>
    <col min="254" max="483" width="9.140625" style="23"/>
    <col min="484" max="485" width="54" style="23" customWidth="1"/>
    <col min="486" max="486" width="16.7109375" style="23" customWidth="1"/>
    <col min="487" max="487" width="11.85546875" style="23" bestFit="1" customWidth="1"/>
    <col min="488" max="488" width="9.85546875" style="23" bestFit="1" customWidth="1"/>
    <col min="489" max="489" width="10.5703125" style="23" bestFit="1" customWidth="1"/>
    <col min="490" max="492" width="13.42578125" style="23" customWidth="1"/>
    <col min="493" max="493" width="19.140625" style="23" customWidth="1"/>
    <col min="494" max="494" width="13.42578125" style="23" customWidth="1"/>
    <col min="495" max="495" width="19.85546875" style="23" customWidth="1"/>
    <col min="496" max="496" width="16" style="23" customWidth="1"/>
    <col min="497" max="497" width="24.28515625" style="23" customWidth="1"/>
    <col min="498" max="503" width="10.85546875" style="23" customWidth="1"/>
    <col min="504" max="504" width="16.28515625" style="23" bestFit="1" customWidth="1"/>
    <col min="505" max="505" width="12.140625" style="23" bestFit="1" customWidth="1"/>
    <col min="506" max="508" width="10.85546875" style="23" customWidth="1"/>
    <col min="509" max="509" width="9.28515625" style="23" bestFit="1" customWidth="1"/>
    <col min="510" max="739" width="9.140625" style="23"/>
    <col min="740" max="741" width="54" style="23" customWidth="1"/>
    <col min="742" max="742" width="16.7109375" style="23" customWidth="1"/>
    <col min="743" max="743" width="11.85546875" style="23" bestFit="1" customWidth="1"/>
    <col min="744" max="744" width="9.85546875" style="23" bestFit="1" customWidth="1"/>
    <col min="745" max="745" width="10.5703125" style="23" bestFit="1" customWidth="1"/>
    <col min="746" max="748" width="13.42578125" style="23" customWidth="1"/>
    <col min="749" max="749" width="19.140625" style="23" customWidth="1"/>
    <col min="750" max="750" width="13.42578125" style="23" customWidth="1"/>
    <col min="751" max="751" width="19.85546875" style="23" customWidth="1"/>
    <col min="752" max="752" width="16" style="23" customWidth="1"/>
    <col min="753" max="753" width="24.28515625" style="23" customWidth="1"/>
    <col min="754" max="759" width="10.85546875" style="23" customWidth="1"/>
    <col min="760" max="760" width="16.28515625" style="23" bestFit="1" customWidth="1"/>
    <col min="761" max="761" width="12.140625" style="23" bestFit="1" customWidth="1"/>
    <col min="762" max="764" width="10.85546875" style="23" customWidth="1"/>
    <col min="765" max="765" width="9.28515625" style="23" bestFit="1" customWidth="1"/>
    <col min="766" max="995" width="9.140625" style="23"/>
    <col min="996" max="997" width="54" style="23" customWidth="1"/>
    <col min="998" max="998" width="16.7109375" style="23" customWidth="1"/>
    <col min="999" max="999" width="11.85546875" style="23" bestFit="1" customWidth="1"/>
    <col min="1000" max="1000" width="9.85546875" style="23" bestFit="1" customWidth="1"/>
    <col min="1001" max="1001" width="10.5703125" style="23" bestFit="1" customWidth="1"/>
    <col min="1002" max="1004" width="13.42578125" style="23" customWidth="1"/>
    <col min="1005" max="1005" width="19.140625" style="23" customWidth="1"/>
    <col min="1006" max="1006" width="13.42578125" style="23" customWidth="1"/>
    <col min="1007" max="1007" width="19.85546875" style="23" customWidth="1"/>
    <col min="1008" max="1008" width="16" style="23" customWidth="1"/>
    <col min="1009" max="1009" width="24.28515625" style="23" customWidth="1"/>
    <col min="1010" max="1015" width="10.85546875" style="23" customWidth="1"/>
    <col min="1016" max="1016" width="16.28515625" style="23" bestFit="1" customWidth="1"/>
    <col min="1017" max="1017" width="12.140625" style="23" bestFit="1" customWidth="1"/>
    <col min="1018" max="1020" width="10.85546875" style="23" customWidth="1"/>
    <col min="1021" max="1021" width="9.28515625" style="23" bestFit="1" customWidth="1"/>
    <col min="1022" max="1251" width="9.140625" style="23"/>
    <col min="1252" max="1253" width="54" style="23" customWidth="1"/>
    <col min="1254" max="1254" width="16.7109375" style="23" customWidth="1"/>
    <col min="1255" max="1255" width="11.85546875" style="23" bestFit="1" customWidth="1"/>
    <col min="1256" max="1256" width="9.85546875" style="23" bestFit="1" customWidth="1"/>
    <col min="1257" max="1257" width="10.5703125" style="23" bestFit="1" customWidth="1"/>
    <col min="1258" max="1260" width="13.42578125" style="23" customWidth="1"/>
    <col min="1261" max="1261" width="19.140625" style="23" customWidth="1"/>
    <col min="1262" max="1262" width="13.42578125" style="23" customWidth="1"/>
    <col min="1263" max="1263" width="19.85546875" style="23" customWidth="1"/>
    <col min="1264" max="1264" width="16" style="23" customWidth="1"/>
    <col min="1265" max="1265" width="24.28515625" style="23" customWidth="1"/>
    <col min="1266" max="1271" width="10.85546875" style="23" customWidth="1"/>
    <col min="1272" max="1272" width="16.28515625" style="23" bestFit="1" customWidth="1"/>
    <col min="1273" max="1273" width="12.140625" style="23" bestFit="1" customWidth="1"/>
    <col min="1274" max="1276" width="10.85546875" style="23" customWidth="1"/>
    <col min="1277" max="1277" width="9.28515625" style="23" bestFit="1" customWidth="1"/>
    <col min="1278" max="1507" width="9.140625" style="23"/>
    <col min="1508" max="1509" width="54" style="23" customWidth="1"/>
    <col min="1510" max="1510" width="16.7109375" style="23" customWidth="1"/>
    <col min="1511" max="1511" width="11.85546875" style="23" bestFit="1" customWidth="1"/>
    <col min="1512" max="1512" width="9.85546875" style="23" bestFit="1" customWidth="1"/>
    <col min="1513" max="1513" width="10.5703125" style="23" bestFit="1" customWidth="1"/>
    <col min="1514" max="1516" width="13.42578125" style="23" customWidth="1"/>
    <col min="1517" max="1517" width="19.140625" style="23" customWidth="1"/>
    <col min="1518" max="1518" width="13.42578125" style="23" customWidth="1"/>
    <col min="1519" max="1519" width="19.85546875" style="23" customWidth="1"/>
    <col min="1520" max="1520" width="16" style="23" customWidth="1"/>
    <col min="1521" max="1521" width="24.28515625" style="23" customWidth="1"/>
    <col min="1522" max="1527" width="10.85546875" style="23" customWidth="1"/>
    <col min="1528" max="1528" width="16.28515625" style="23" bestFit="1" customWidth="1"/>
    <col min="1529" max="1529" width="12.140625" style="23" bestFit="1" customWidth="1"/>
    <col min="1530" max="1532" width="10.85546875" style="23" customWidth="1"/>
    <col min="1533" max="1533" width="9.28515625" style="23" bestFit="1" customWidth="1"/>
    <col min="1534" max="1763" width="9.140625" style="23"/>
    <col min="1764" max="1765" width="54" style="23" customWidth="1"/>
    <col min="1766" max="1766" width="16.7109375" style="23" customWidth="1"/>
    <col min="1767" max="1767" width="11.85546875" style="23" bestFit="1" customWidth="1"/>
    <col min="1768" max="1768" width="9.85546875" style="23" bestFit="1" customWidth="1"/>
    <col min="1769" max="1769" width="10.5703125" style="23" bestFit="1" customWidth="1"/>
    <col min="1770" max="1772" width="13.42578125" style="23" customWidth="1"/>
    <col min="1773" max="1773" width="19.140625" style="23" customWidth="1"/>
    <col min="1774" max="1774" width="13.42578125" style="23" customWidth="1"/>
    <col min="1775" max="1775" width="19.85546875" style="23" customWidth="1"/>
    <col min="1776" max="1776" width="16" style="23" customWidth="1"/>
    <col min="1777" max="1777" width="24.28515625" style="23" customWidth="1"/>
    <col min="1778" max="1783" width="10.85546875" style="23" customWidth="1"/>
    <col min="1784" max="1784" width="16.28515625" style="23" bestFit="1" customWidth="1"/>
    <col min="1785" max="1785" width="12.140625" style="23" bestFit="1" customWidth="1"/>
    <col min="1786" max="1788" width="10.85546875" style="23" customWidth="1"/>
    <col min="1789" max="1789" width="9.28515625" style="23" bestFit="1" customWidth="1"/>
    <col min="1790" max="2019" width="9.140625" style="23"/>
    <col min="2020" max="2021" width="54" style="23" customWidth="1"/>
    <col min="2022" max="2022" width="16.7109375" style="23" customWidth="1"/>
    <col min="2023" max="2023" width="11.85546875" style="23" bestFit="1" customWidth="1"/>
    <col min="2024" max="2024" width="9.85546875" style="23" bestFit="1" customWidth="1"/>
    <col min="2025" max="2025" width="10.5703125" style="23" bestFit="1" customWidth="1"/>
    <col min="2026" max="2028" width="13.42578125" style="23" customWidth="1"/>
    <col min="2029" max="2029" width="19.140625" style="23" customWidth="1"/>
    <col min="2030" max="2030" width="13.42578125" style="23" customWidth="1"/>
    <col min="2031" max="2031" width="19.85546875" style="23" customWidth="1"/>
    <col min="2032" max="2032" width="16" style="23" customWidth="1"/>
    <col min="2033" max="2033" width="24.28515625" style="23" customWidth="1"/>
    <col min="2034" max="2039" width="10.85546875" style="23" customWidth="1"/>
    <col min="2040" max="2040" width="16.28515625" style="23" bestFit="1" customWidth="1"/>
    <col min="2041" max="2041" width="12.140625" style="23" bestFit="1" customWidth="1"/>
    <col min="2042" max="2044" width="10.85546875" style="23" customWidth="1"/>
    <col min="2045" max="2045" width="9.28515625" style="23" bestFit="1" customWidth="1"/>
    <col min="2046" max="2275" width="9.140625" style="23"/>
    <col min="2276" max="2277" width="54" style="23" customWidth="1"/>
    <col min="2278" max="2278" width="16.7109375" style="23" customWidth="1"/>
    <col min="2279" max="2279" width="11.85546875" style="23" bestFit="1" customWidth="1"/>
    <col min="2280" max="2280" width="9.85546875" style="23" bestFit="1" customWidth="1"/>
    <col min="2281" max="2281" width="10.5703125" style="23" bestFit="1" customWidth="1"/>
    <col min="2282" max="2284" width="13.42578125" style="23" customWidth="1"/>
    <col min="2285" max="2285" width="19.140625" style="23" customWidth="1"/>
    <col min="2286" max="2286" width="13.42578125" style="23" customWidth="1"/>
    <col min="2287" max="2287" width="19.85546875" style="23" customWidth="1"/>
    <col min="2288" max="2288" width="16" style="23" customWidth="1"/>
    <col min="2289" max="2289" width="24.28515625" style="23" customWidth="1"/>
    <col min="2290" max="2295" width="10.85546875" style="23" customWidth="1"/>
    <col min="2296" max="2296" width="16.28515625" style="23" bestFit="1" customWidth="1"/>
    <col min="2297" max="2297" width="12.140625" style="23" bestFit="1" customWidth="1"/>
    <col min="2298" max="2300" width="10.85546875" style="23" customWidth="1"/>
    <col min="2301" max="2301" width="9.28515625" style="23" bestFit="1" customWidth="1"/>
    <col min="2302" max="2531" width="9.140625" style="23"/>
    <col min="2532" max="2533" width="54" style="23" customWidth="1"/>
    <col min="2534" max="2534" width="16.7109375" style="23" customWidth="1"/>
    <col min="2535" max="2535" width="11.85546875" style="23" bestFit="1" customWidth="1"/>
    <col min="2536" max="2536" width="9.85546875" style="23" bestFit="1" customWidth="1"/>
    <col min="2537" max="2537" width="10.5703125" style="23" bestFit="1" customWidth="1"/>
    <col min="2538" max="2540" width="13.42578125" style="23" customWidth="1"/>
    <col min="2541" max="2541" width="19.140625" style="23" customWidth="1"/>
    <col min="2542" max="2542" width="13.42578125" style="23" customWidth="1"/>
    <col min="2543" max="2543" width="19.85546875" style="23" customWidth="1"/>
    <col min="2544" max="2544" width="16" style="23" customWidth="1"/>
    <col min="2545" max="2545" width="24.28515625" style="23" customWidth="1"/>
    <col min="2546" max="2551" width="10.85546875" style="23" customWidth="1"/>
    <col min="2552" max="2552" width="16.28515625" style="23" bestFit="1" customWidth="1"/>
    <col min="2553" max="2553" width="12.140625" style="23" bestFit="1" customWidth="1"/>
    <col min="2554" max="2556" width="10.85546875" style="23" customWidth="1"/>
    <col min="2557" max="2557" width="9.28515625" style="23" bestFit="1" customWidth="1"/>
    <col min="2558" max="2787" width="9.140625" style="23"/>
    <col min="2788" max="2789" width="54" style="23" customWidth="1"/>
    <col min="2790" max="2790" width="16.7109375" style="23" customWidth="1"/>
    <col min="2791" max="2791" width="11.85546875" style="23" bestFit="1" customWidth="1"/>
    <col min="2792" max="2792" width="9.85546875" style="23" bestFit="1" customWidth="1"/>
    <col min="2793" max="2793" width="10.5703125" style="23" bestFit="1" customWidth="1"/>
    <col min="2794" max="2796" width="13.42578125" style="23" customWidth="1"/>
    <col min="2797" max="2797" width="19.140625" style="23" customWidth="1"/>
    <col min="2798" max="2798" width="13.42578125" style="23" customWidth="1"/>
    <col min="2799" max="2799" width="19.85546875" style="23" customWidth="1"/>
    <col min="2800" max="2800" width="16" style="23" customWidth="1"/>
    <col min="2801" max="2801" width="24.28515625" style="23" customWidth="1"/>
    <col min="2802" max="2807" width="10.85546875" style="23" customWidth="1"/>
    <col min="2808" max="2808" width="16.28515625" style="23" bestFit="1" customWidth="1"/>
    <col min="2809" max="2809" width="12.140625" style="23" bestFit="1" customWidth="1"/>
    <col min="2810" max="2812" width="10.85546875" style="23" customWidth="1"/>
    <col min="2813" max="2813" width="9.28515625" style="23" bestFit="1" customWidth="1"/>
    <col min="2814" max="3043" width="9.140625" style="23"/>
    <col min="3044" max="3045" width="54" style="23" customWidth="1"/>
    <col min="3046" max="3046" width="16.7109375" style="23" customWidth="1"/>
    <col min="3047" max="3047" width="11.85546875" style="23" bestFit="1" customWidth="1"/>
    <col min="3048" max="3048" width="9.85546875" style="23" bestFit="1" customWidth="1"/>
    <col min="3049" max="3049" width="10.5703125" style="23" bestFit="1" customWidth="1"/>
    <col min="3050" max="3052" width="13.42578125" style="23" customWidth="1"/>
    <col min="3053" max="3053" width="19.140625" style="23" customWidth="1"/>
    <col min="3054" max="3054" width="13.42578125" style="23" customWidth="1"/>
    <col min="3055" max="3055" width="19.85546875" style="23" customWidth="1"/>
    <col min="3056" max="3056" width="16" style="23" customWidth="1"/>
    <col min="3057" max="3057" width="24.28515625" style="23" customWidth="1"/>
    <col min="3058" max="3063" width="10.85546875" style="23" customWidth="1"/>
    <col min="3064" max="3064" width="16.28515625" style="23" bestFit="1" customWidth="1"/>
    <col min="3065" max="3065" width="12.140625" style="23" bestFit="1" customWidth="1"/>
    <col min="3066" max="3068" width="10.85546875" style="23" customWidth="1"/>
    <col min="3069" max="3069" width="9.28515625" style="23" bestFit="1" customWidth="1"/>
    <col min="3070" max="3299" width="9.140625" style="23"/>
    <col min="3300" max="3301" width="54" style="23" customWidth="1"/>
    <col min="3302" max="3302" width="16.7109375" style="23" customWidth="1"/>
    <col min="3303" max="3303" width="11.85546875" style="23" bestFit="1" customWidth="1"/>
    <col min="3304" max="3304" width="9.85546875" style="23" bestFit="1" customWidth="1"/>
    <col min="3305" max="3305" width="10.5703125" style="23" bestFit="1" customWidth="1"/>
    <col min="3306" max="3308" width="13.42578125" style="23" customWidth="1"/>
    <col min="3309" max="3309" width="19.140625" style="23" customWidth="1"/>
    <col min="3310" max="3310" width="13.42578125" style="23" customWidth="1"/>
    <col min="3311" max="3311" width="19.85546875" style="23" customWidth="1"/>
    <col min="3312" max="3312" width="16" style="23" customWidth="1"/>
    <col min="3313" max="3313" width="24.28515625" style="23" customWidth="1"/>
    <col min="3314" max="3319" width="10.85546875" style="23" customWidth="1"/>
    <col min="3320" max="3320" width="16.28515625" style="23" bestFit="1" customWidth="1"/>
    <col min="3321" max="3321" width="12.140625" style="23" bestFit="1" customWidth="1"/>
    <col min="3322" max="3324" width="10.85546875" style="23" customWidth="1"/>
    <col min="3325" max="3325" width="9.28515625" style="23" bestFit="1" customWidth="1"/>
    <col min="3326" max="3555" width="9.140625" style="23"/>
    <col min="3556" max="3557" width="54" style="23" customWidth="1"/>
    <col min="3558" max="3558" width="16.7109375" style="23" customWidth="1"/>
    <col min="3559" max="3559" width="11.85546875" style="23" bestFit="1" customWidth="1"/>
    <col min="3560" max="3560" width="9.85546875" style="23" bestFit="1" customWidth="1"/>
    <col min="3561" max="3561" width="10.5703125" style="23" bestFit="1" customWidth="1"/>
    <col min="3562" max="3564" width="13.42578125" style="23" customWidth="1"/>
    <col min="3565" max="3565" width="19.140625" style="23" customWidth="1"/>
    <col min="3566" max="3566" width="13.42578125" style="23" customWidth="1"/>
    <col min="3567" max="3567" width="19.85546875" style="23" customWidth="1"/>
    <col min="3568" max="3568" width="16" style="23" customWidth="1"/>
    <col min="3569" max="3569" width="24.28515625" style="23" customWidth="1"/>
    <col min="3570" max="3575" width="10.85546875" style="23" customWidth="1"/>
    <col min="3576" max="3576" width="16.28515625" style="23" bestFit="1" customWidth="1"/>
    <col min="3577" max="3577" width="12.140625" style="23" bestFit="1" customWidth="1"/>
    <col min="3578" max="3580" width="10.85546875" style="23" customWidth="1"/>
    <col min="3581" max="3581" width="9.28515625" style="23" bestFit="1" customWidth="1"/>
    <col min="3582" max="3811" width="9.140625" style="23"/>
    <col min="3812" max="3813" width="54" style="23" customWidth="1"/>
    <col min="3814" max="3814" width="16.7109375" style="23" customWidth="1"/>
    <col min="3815" max="3815" width="11.85546875" style="23" bestFit="1" customWidth="1"/>
    <col min="3816" max="3816" width="9.85546875" style="23" bestFit="1" customWidth="1"/>
    <col min="3817" max="3817" width="10.5703125" style="23" bestFit="1" customWidth="1"/>
    <col min="3818" max="3820" width="13.42578125" style="23" customWidth="1"/>
    <col min="3821" max="3821" width="19.140625" style="23" customWidth="1"/>
    <col min="3822" max="3822" width="13.42578125" style="23" customWidth="1"/>
    <col min="3823" max="3823" width="19.85546875" style="23" customWidth="1"/>
    <col min="3824" max="3824" width="16" style="23" customWidth="1"/>
    <col min="3825" max="3825" width="24.28515625" style="23" customWidth="1"/>
    <col min="3826" max="3831" width="10.85546875" style="23" customWidth="1"/>
    <col min="3832" max="3832" width="16.28515625" style="23" bestFit="1" customWidth="1"/>
    <col min="3833" max="3833" width="12.140625" style="23" bestFit="1" customWidth="1"/>
    <col min="3834" max="3836" width="10.85546875" style="23" customWidth="1"/>
    <col min="3837" max="3837" width="9.28515625" style="23" bestFit="1" customWidth="1"/>
    <col min="3838" max="4067" width="9.140625" style="23"/>
    <col min="4068" max="4069" width="54" style="23" customWidth="1"/>
    <col min="4070" max="4070" width="16.7109375" style="23" customWidth="1"/>
    <col min="4071" max="4071" width="11.85546875" style="23" bestFit="1" customWidth="1"/>
    <col min="4072" max="4072" width="9.85546875" style="23" bestFit="1" customWidth="1"/>
    <col min="4073" max="4073" width="10.5703125" style="23" bestFit="1" customWidth="1"/>
    <col min="4074" max="4076" width="13.42578125" style="23" customWidth="1"/>
    <col min="4077" max="4077" width="19.140625" style="23" customWidth="1"/>
    <col min="4078" max="4078" width="13.42578125" style="23" customWidth="1"/>
    <col min="4079" max="4079" width="19.85546875" style="23" customWidth="1"/>
    <col min="4080" max="4080" width="16" style="23" customWidth="1"/>
    <col min="4081" max="4081" width="24.28515625" style="23" customWidth="1"/>
    <col min="4082" max="4087" width="10.85546875" style="23" customWidth="1"/>
    <col min="4088" max="4088" width="16.28515625" style="23" bestFit="1" customWidth="1"/>
    <col min="4089" max="4089" width="12.140625" style="23" bestFit="1" customWidth="1"/>
    <col min="4090" max="4092" width="10.85546875" style="23" customWidth="1"/>
    <col min="4093" max="4093" width="9.28515625" style="23" bestFit="1" customWidth="1"/>
    <col min="4094" max="4323" width="9.140625" style="23"/>
    <col min="4324" max="4325" width="54" style="23" customWidth="1"/>
    <col min="4326" max="4326" width="16.7109375" style="23" customWidth="1"/>
    <col min="4327" max="4327" width="11.85546875" style="23" bestFit="1" customWidth="1"/>
    <col min="4328" max="4328" width="9.85546875" style="23" bestFit="1" customWidth="1"/>
    <col min="4329" max="4329" width="10.5703125" style="23" bestFit="1" customWidth="1"/>
    <col min="4330" max="4332" width="13.42578125" style="23" customWidth="1"/>
    <col min="4333" max="4333" width="19.140625" style="23" customWidth="1"/>
    <col min="4334" max="4334" width="13.42578125" style="23" customWidth="1"/>
    <col min="4335" max="4335" width="19.85546875" style="23" customWidth="1"/>
    <col min="4336" max="4336" width="16" style="23" customWidth="1"/>
    <col min="4337" max="4337" width="24.28515625" style="23" customWidth="1"/>
    <col min="4338" max="4343" width="10.85546875" style="23" customWidth="1"/>
    <col min="4344" max="4344" width="16.28515625" style="23" bestFit="1" customWidth="1"/>
    <col min="4345" max="4345" width="12.140625" style="23" bestFit="1" customWidth="1"/>
    <col min="4346" max="4348" width="10.85546875" style="23" customWidth="1"/>
    <col min="4349" max="4349" width="9.28515625" style="23" bestFit="1" customWidth="1"/>
    <col min="4350" max="4579" width="9.140625" style="23"/>
    <col min="4580" max="4581" width="54" style="23" customWidth="1"/>
    <col min="4582" max="4582" width="16.7109375" style="23" customWidth="1"/>
    <col min="4583" max="4583" width="11.85546875" style="23" bestFit="1" customWidth="1"/>
    <col min="4584" max="4584" width="9.85546875" style="23" bestFit="1" customWidth="1"/>
    <col min="4585" max="4585" width="10.5703125" style="23" bestFit="1" customWidth="1"/>
    <col min="4586" max="4588" width="13.42578125" style="23" customWidth="1"/>
    <col min="4589" max="4589" width="19.140625" style="23" customWidth="1"/>
    <col min="4590" max="4590" width="13.42578125" style="23" customWidth="1"/>
    <col min="4591" max="4591" width="19.85546875" style="23" customWidth="1"/>
    <col min="4592" max="4592" width="16" style="23" customWidth="1"/>
    <col min="4593" max="4593" width="24.28515625" style="23" customWidth="1"/>
    <col min="4594" max="4599" width="10.85546875" style="23" customWidth="1"/>
    <col min="4600" max="4600" width="16.28515625" style="23" bestFit="1" customWidth="1"/>
    <col min="4601" max="4601" width="12.140625" style="23" bestFit="1" customWidth="1"/>
    <col min="4602" max="4604" width="10.85546875" style="23" customWidth="1"/>
    <col min="4605" max="4605" width="9.28515625" style="23" bestFit="1" customWidth="1"/>
    <col min="4606" max="4835" width="9.140625" style="23"/>
    <col min="4836" max="4837" width="54" style="23" customWidth="1"/>
    <col min="4838" max="4838" width="16.7109375" style="23" customWidth="1"/>
    <col min="4839" max="4839" width="11.85546875" style="23" bestFit="1" customWidth="1"/>
    <col min="4840" max="4840" width="9.85546875" style="23" bestFit="1" customWidth="1"/>
    <col min="4841" max="4841" width="10.5703125" style="23" bestFit="1" customWidth="1"/>
    <col min="4842" max="4844" width="13.42578125" style="23" customWidth="1"/>
    <col min="4845" max="4845" width="19.140625" style="23" customWidth="1"/>
    <col min="4846" max="4846" width="13.42578125" style="23" customWidth="1"/>
    <col min="4847" max="4847" width="19.85546875" style="23" customWidth="1"/>
    <col min="4848" max="4848" width="16" style="23" customWidth="1"/>
    <col min="4849" max="4849" width="24.28515625" style="23" customWidth="1"/>
    <col min="4850" max="4855" width="10.85546875" style="23" customWidth="1"/>
    <col min="4856" max="4856" width="16.28515625" style="23" bestFit="1" customWidth="1"/>
    <col min="4857" max="4857" width="12.140625" style="23" bestFit="1" customWidth="1"/>
    <col min="4858" max="4860" width="10.85546875" style="23" customWidth="1"/>
    <col min="4861" max="4861" width="9.28515625" style="23" bestFit="1" customWidth="1"/>
    <col min="4862" max="5091" width="9.140625" style="23"/>
    <col min="5092" max="5093" width="54" style="23" customWidth="1"/>
    <col min="5094" max="5094" width="16.7109375" style="23" customWidth="1"/>
    <col min="5095" max="5095" width="11.85546875" style="23" bestFit="1" customWidth="1"/>
    <col min="5096" max="5096" width="9.85546875" style="23" bestFit="1" customWidth="1"/>
    <col min="5097" max="5097" width="10.5703125" style="23" bestFit="1" customWidth="1"/>
    <col min="5098" max="5100" width="13.42578125" style="23" customWidth="1"/>
    <col min="5101" max="5101" width="19.140625" style="23" customWidth="1"/>
    <col min="5102" max="5102" width="13.42578125" style="23" customWidth="1"/>
    <col min="5103" max="5103" width="19.85546875" style="23" customWidth="1"/>
    <col min="5104" max="5104" width="16" style="23" customWidth="1"/>
    <col min="5105" max="5105" width="24.28515625" style="23" customWidth="1"/>
    <col min="5106" max="5111" width="10.85546875" style="23" customWidth="1"/>
    <col min="5112" max="5112" width="16.28515625" style="23" bestFit="1" customWidth="1"/>
    <col min="5113" max="5113" width="12.140625" style="23" bestFit="1" customWidth="1"/>
    <col min="5114" max="5116" width="10.85546875" style="23" customWidth="1"/>
    <col min="5117" max="5117" width="9.28515625" style="23" bestFit="1" customWidth="1"/>
    <col min="5118" max="5347" width="9.140625" style="23"/>
    <col min="5348" max="5349" width="54" style="23" customWidth="1"/>
    <col min="5350" max="5350" width="16.7109375" style="23" customWidth="1"/>
    <col min="5351" max="5351" width="11.85546875" style="23" bestFit="1" customWidth="1"/>
    <col min="5352" max="5352" width="9.85546875" style="23" bestFit="1" customWidth="1"/>
    <col min="5353" max="5353" width="10.5703125" style="23" bestFit="1" customWidth="1"/>
    <col min="5354" max="5356" width="13.42578125" style="23" customWidth="1"/>
    <col min="5357" max="5357" width="19.140625" style="23" customWidth="1"/>
    <col min="5358" max="5358" width="13.42578125" style="23" customWidth="1"/>
    <col min="5359" max="5359" width="19.85546875" style="23" customWidth="1"/>
    <col min="5360" max="5360" width="16" style="23" customWidth="1"/>
    <col min="5361" max="5361" width="24.28515625" style="23" customWidth="1"/>
    <col min="5362" max="5367" width="10.85546875" style="23" customWidth="1"/>
    <col min="5368" max="5368" width="16.28515625" style="23" bestFit="1" customWidth="1"/>
    <col min="5369" max="5369" width="12.140625" style="23" bestFit="1" customWidth="1"/>
    <col min="5370" max="5372" width="10.85546875" style="23" customWidth="1"/>
    <col min="5373" max="5373" width="9.28515625" style="23" bestFit="1" customWidth="1"/>
    <col min="5374" max="5603" width="9.140625" style="23"/>
    <col min="5604" max="5605" width="54" style="23" customWidth="1"/>
    <col min="5606" max="5606" width="16.7109375" style="23" customWidth="1"/>
    <col min="5607" max="5607" width="11.85546875" style="23" bestFit="1" customWidth="1"/>
    <col min="5608" max="5608" width="9.85546875" style="23" bestFit="1" customWidth="1"/>
    <col min="5609" max="5609" width="10.5703125" style="23" bestFit="1" customWidth="1"/>
    <col min="5610" max="5612" width="13.42578125" style="23" customWidth="1"/>
    <col min="5613" max="5613" width="19.140625" style="23" customWidth="1"/>
    <col min="5614" max="5614" width="13.42578125" style="23" customWidth="1"/>
    <col min="5615" max="5615" width="19.85546875" style="23" customWidth="1"/>
    <col min="5616" max="5616" width="16" style="23" customWidth="1"/>
    <col min="5617" max="5617" width="24.28515625" style="23" customWidth="1"/>
    <col min="5618" max="5623" width="10.85546875" style="23" customWidth="1"/>
    <col min="5624" max="5624" width="16.28515625" style="23" bestFit="1" customWidth="1"/>
    <col min="5625" max="5625" width="12.140625" style="23" bestFit="1" customWidth="1"/>
    <col min="5626" max="5628" width="10.85546875" style="23" customWidth="1"/>
    <col min="5629" max="5629" width="9.28515625" style="23" bestFit="1" customWidth="1"/>
    <col min="5630" max="5859" width="9.140625" style="23"/>
    <col min="5860" max="5861" width="54" style="23" customWidth="1"/>
    <col min="5862" max="5862" width="16.7109375" style="23" customWidth="1"/>
    <col min="5863" max="5863" width="11.85546875" style="23" bestFit="1" customWidth="1"/>
    <col min="5864" max="5864" width="9.85546875" style="23" bestFit="1" customWidth="1"/>
    <col min="5865" max="5865" width="10.5703125" style="23" bestFit="1" customWidth="1"/>
    <col min="5866" max="5868" width="13.42578125" style="23" customWidth="1"/>
    <col min="5869" max="5869" width="19.140625" style="23" customWidth="1"/>
    <col min="5870" max="5870" width="13.42578125" style="23" customWidth="1"/>
    <col min="5871" max="5871" width="19.85546875" style="23" customWidth="1"/>
    <col min="5872" max="5872" width="16" style="23" customWidth="1"/>
    <col min="5873" max="5873" width="24.28515625" style="23" customWidth="1"/>
    <col min="5874" max="5879" width="10.85546875" style="23" customWidth="1"/>
    <col min="5880" max="5880" width="16.28515625" style="23" bestFit="1" customWidth="1"/>
    <col min="5881" max="5881" width="12.140625" style="23" bestFit="1" customWidth="1"/>
    <col min="5882" max="5884" width="10.85546875" style="23" customWidth="1"/>
    <col min="5885" max="5885" width="9.28515625" style="23" bestFit="1" customWidth="1"/>
    <col min="5886" max="6115" width="9.140625" style="23"/>
    <col min="6116" max="6117" width="54" style="23" customWidth="1"/>
    <col min="6118" max="6118" width="16.7109375" style="23" customWidth="1"/>
    <col min="6119" max="6119" width="11.85546875" style="23" bestFit="1" customWidth="1"/>
    <col min="6120" max="6120" width="9.85546875" style="23" bestFit="1" customWidth="1"/>
    <col min="6121" max="6121" width="10.5703125" style="23" bestFit="1" customWidth="1"/>
    <col min="6122" max="6124" width="13.42578125" style="23" customWidth="1"/>
    <col min="6125" max="6125" width="19.140625" style="23" customWidth="1"/>
    <col min="6126" max="6126" width="13.42578125" style="23" customWidth="1"/>
    <col min="6127" max="6127" width="19.85546875" style="23" customWidth="1"/>
    <col min="6128" max="6128" width="16" style="23" customWidth="1"/>
    <col min="6129" max="6129" width="24.28515625" style="23" customWidth="1"/>
    <col min="6130" max="6135" width="10.85546875" style="23" customWidth="1"/>
    <col min="6136" max="6136" width="16.28515625" style="23" bestFit="1" customWidth="1"/>
    <col min="6137" max="6137" width="12.140625" style="23" bestFit="1" customWidth="1"/>
    <col min="6138" max="6140" width="10.85546875" style="23" customWidth="1"/>
    <col min="6141" max="6141" width="9.28515625" style="23" bestFit="1" customWidth="1"/>
    <col min="6142" max="6371" width="9.140625" style="23"/>
    <col min="6372" max="6373" width="54" style="23" customWidth="1"/>
    <col min="6374" max="6374" width="16.7109375" style="23" customWidth="1"/>
    <col min="6375" max="6375" width="11.85546875" style="23" bestFit="1" customWidth="1"/>
    <col min="6376" max="6376" width="9.85546875" style="23" bestFit="1" customWidth="1"/>
    <col min="6377" max="6377" width="10.5703125" style="23" bestFit="1" customWidth="1"/>
    <col min="6378" max="6380" width="13.42578125" style="23" customWidth="1"/>
    <col min="6381" max="6381" width="19.140625" style="23" customWidth="1"/>
    <col min="6382" max="6382" width="13.42578125" style="23" customWidth="1"/>
    <col min="6383" max="6383" width="19.85546875" style="23" customWidth="1"/>
    <col min="6384" max="6384" width="16" style="23" customWidth="1"/>
    <col min="6385" max="6385" width="24.28515625" style="23" customWidth="1"/>
    <col min="6386" max="6391" width="10.85546875" style="23" customWidth="1"/>
    <col min="6392" max="6392" width="16.28515625" style="23" bestFit="1" customWidth="1"/>
    <col min="6393" max="6393" width="12.140625" style="23" bestFit="1" customWidth="1"/>
    <col min="6394" max="6396" width="10.85546875" style="23" customWidth="1"/>
    <col min="6397" max="6397" width="9.28515625" style="23" bestFit="1" customWidth="1"/>
    <col min="6398" max="6627" width="9.140625" style="23"/>
    <col min="6628" max="6629" width="54" style="23" customWidth="1"/>
    <col min="6630" max="6630" width="16.7109375" style="23" customWidth="1"/>
    <col min="6631" max="6631" width="11.85546875" style="23" bestFit="1" customWidth="1"/>
    <col min="6632" max="6632" width="9.85546875" style="23" bestFit="1" customWidth="1"/>
    <col min="6633" max="6633" width="10.5703125" style="23" bestFit="1" customWidth="1"/>
    <col min="6634" max="6636" width="13.42578125" style="23" customWidth="1"/>
    <col min="6637" max="6637" width="19.140625" style="23" customWidth="1"/>
    <col min="6638" max="6638" width="13.42578125" style="23" customWidth="1"/>
    <col min="6639" max="6639" width="19.85546875" style="23" customWidth="1"/>
    <col min="6640" max="6640" width="16" style="23" customWidth="1"/>
    <col min="6641" max="6641" width="24.28515625" style="23" customWidth="1"/>
    <col min="6642" max="6647" width="10.85546875" style="23" customWidth="1"/>
    <col min="6648" max="6648" width="16.28515625" style="23" bestFit="1" customWidth="1"/>
    <col min="6649" max="6649" width="12.140625" style="23" bestFit="1" customWidth="1"/>
    <col min="6650" max="6652" width="10.85546875" style="23" customWidth="1"/>
    <col min="6653" max="6653" width="9.28515625" style="23" bestFit="1" customWidth="1"/>
    <col min="6654" max="6883" width="9.140625" style="23"/>
    <col min="6884" max="6885" width="54" style="23" customWidth="1"/>
    <col min="6886" max="6886" width="16.7109375" style="23" customWidth="1"/>
    <col min="6887" max="6887" width="11.85546875" style="23" bestFit="1" customWidth="1"/>
    <col min="6888" max="6888" width="9.85546875" style="23" bestFit="1" customWidth="1"/>
    <col min="6889" max="6889" width="10.5703125" style="23" bestFit="1" customWidth="1"/>
    <col min="6890" max="6892" width="13.42578125" style="23" customWidth="1"/>
    <col min="6893" max="6893" width="19.140625" style="23" customWidth="1"/>
    <col min="6894" max="6894" width="13.42578125" style="23" customWidth="1"/>
    <col min="6895" max="6895" width="19.85546875" style="23" customWidth="1"/>
    <col min="6896" max="6896" width="16" style="23" customWidth="1"/>
    <col min="6897" max="6897" width="24.28515625" style="23" customWidth="1"/>
    <col min="6898" max="6903" width="10.85546875" style="23" customWidth="1"/>
    <col min="6904" max="6904" width="16.28515625" style="23" bestFit="1" customWidth="1"/>
    <col min="6905" max="6905" width="12.140625" style="23" bestFit="1" customWidth="1"/>
    <col min="6906" max="6908" width="10.85546875" style="23" customWidth="1"/>
    <col min="6909" max="6909" width="9.28515625" style="23" bestFit="1" customWidth="1"/>
    <col min="6910" max="7139" width="9.140625" style="23"/>
    <col min="7140" max="7141" width="54" style="23" customWidth="1"/>
    <col min="7142" max="7142" width="16.7109375" style="23" customWidth="1"/>
    <col min="7143" max="7143" width="11.85546875" style="23" bestFit="1" customWidth="1"/>
    <col min="7144" max="7144" width="9.85546875" style="23" bestFit="1" customWidth="1"/>
    <col min="7145" max="7145" width="10.5703125" style="23" bestFit="1" customWidth="1"/>
    <col min="7146" max="7148" width="13.42578125" style="23" customWidth="1"/>
    <col min="7149" max="7149" width="19.140625" style="23" customWidth="1"/>
    <col min="7150" max="7150" width="13.42578125" style="23" customWidth="1"/>
    <col min="7151" max="7151" width="19.85546875" style="23" customWidth="1"/>
    <col min="7152" max="7152" width="16" style="23" customWidth="1"/>
    <col min="7153" max="7153" width="24.28515625" style="23" customWidth="1"/>
    <col min="7154" max="7159" width="10.85546875" style="23" customWidth="1"/>
    <col min="7160" max="7160" width="16.28515625" style="23" bestFit="1" customWidth="1"/>
    <col min="7161" max="7161" width="12.140625" style="23" bestFit="1" customWidth="1"/>
    <col min="7162" max="7164" width="10.85546875" style="23" customWidth="1"/>
    <col min="7165" max="7165" width="9.28515625" style="23" bestFit="1" customWidth="1"/>
    <col min="7166" max="7395" width="9.140625" style="23"/>
    <col min="7396" max="7397" width="54" style="23" customWidth="1"/>
    <col min="7398" max="7398" width="16.7109375" style="23" customWidth="1"/>
    <col min="7399" max="7399" width="11.85546875" style="23" bestFit="1" customWidth="1"/>
    <col min="7400" max="7400" width="9.85546875" style="23" bestFit="1" customWidth="1"/>
    <col min="7401" max="7401" width="10.5703125" style="23" bestFit="1" customWidth="1"/>
    <col min="7402" max="7404" width="13.42578125" style="23" customWidth="1"/>
    <col min="7405" max="7405" width="19.140625" style="23" customWidth="1"/>
    <col min="7406" max="7406" width="13.42578125" style="23" customWidth="1"/>
    <col min="7407" max="7407" width="19.85546875" style="23" customWidth="1"/>
    <col min="7408" max="7408" width="16" style="23" customWidth="1"/>
    <col min="7409" max="7409" width="24.28515625" style="23" customWidth="1"/>
    <col min="7410" max="7415" width="10.85546875" style="23" customWidth="1"/>
    <col min="7416" max="7416" width="16.28515625" style="23" bestFit="1" customWidth="1"/>
    <col min="7417" max="7417" width="12.140625" style="23" bestFit="1" customWidth="1"/>
    <col min="7418" max="7420" width="10.85546875" style="23" customWidth="1"/>
    <col min="7421" max="7421" width="9.28515625" style="23" bestFit="1" customWidth="1"/>
    <col min="7422" max="7651" width="9.140625" style="23"/>
    <col min="7652" max="7653" width="54" style="23" customWidth="1"/>
    <col min="7654" max="7654" width="16.7109375" style="23" customWidth="1"/>
    <col min="7655" max="7655" width="11.85546875" style="23" bestFit="1" customWidth="1"/>
    <col min="7656" max="7656" width="9.85546875" style="23" bestFit="1" customWidth="1"/>
    <col min="7657" max="7657" width="10.5703125" style="23" bestFit="1" customWidth="1"/>
    <col min="7658" max="7660" width="13.42578125" style="23" customWidth="1"/>
    <col min="7661" max="7661" width="19.140625" style="23" customWidth="1"/>
    <col min="7662" max="7662" width="13.42578125" style="23" customWidth="1"/>
    <col min="7663" max="7663" width="19.85546875" style="23" customWidth="1"/>
    <col min="7664" max="7664" width="16" style="23" customWidth="1"/>
    <col min="7665" max="7665" width="24.28515625" style="23" customWidth="1"/>
    <col min="7666" max="7671" width="10.85546875" style="23" customWidth="1"/>
    <col min="7672" max="7672" width="16.28515625" style="23" bestFit="1" customWidth="1"/>
    <col min="7673" max="7673" width="12.140625" style="23" bestFit="1" customWidth="1"/>
    <col min="7674" max="7676" width="10.85546875" style="23" customWidth="1"/>
    <col min="7677" max="7677" width="9.28515625" style="23" bestFit="1" customWidth="1"/>
    <col min="7678" max="7907" width="9.140625" style="23"/>
    <col min="7908" max="7909" width="54" style="23" customWidth="1"/>
    <col min="7910" max="7910" width="16.7109375" style="23" customWidth="1"/>
    <col min="7911" max="7911" width="11.85546875" style="23" bestFit="1" customWidth="1"/>
    <col min="7912" max="7912" width="9.85546875" style="23" bestFit="1" customWidth="1"/>
    <col min="7913" max="7913" width="10.5703125" style="23" bestFit="1" customWidth="1"/>
    <col min="7914" max="7916" width="13.42578125" style="23" customWidth="1"/>
    <col min="7917" max="7917" width="19.140625" style="23" customWidth="1"/>
    <col min="7918" max="7918" width="13.42578125" style="23" customWidth="1"/>
    <col min="7919" max="7919" width="19.85546875" style="23" customWidth="1"/>
    <col min="7920" max="7920" width="16" style="23" customWidth="1"/>
    <col min="7921" max="7921" width="24.28515625" style="23" customWidth="1"/>
    <col min="7922" max="7927" width="10.85546875" style="23" customWidth="1"/>
    <col min="7928" max="7928" width="16.28515625" style="23" bestFit="1" customWidth="1"/>
    <col min="7929" max="7929" width="12.140625" style="23" bestFit="1" customWidth="1"/>
    <col min="7930" max="7932" width="10.85546875" style="23" customWidth="1"/>
    <col min="7933" max="7933" width="9.28515625" style="23" bestFit="1" customWidth="1"/>
    <col min="7934" max="8163" width="9.140625" style="23"/>
    <col min="8164" max="8165" width="54" style="23" customWidth="1"/>
    <col min="8166" max="8166" width="16.7109375" style="23" customWidth="1"/>
    <col min="8167" max="8167" width="11.85546875" style="23" bestFit="1" customWidth="1"/>
    <col min="8168" max="8168" width="9.85546875" style="23" bestFit="1" customWidth="1"/>
    <col min="8169" max="8169" width="10.5703125" style="23" bestFit="1" customWidth="1"/>
    <col min="8170" max="8172" width="13.42578125" style="23" customWidth="1"/>
    <col min="8173" max="8173" width="19.140625" style="23" customWidth="1"/>
    <col min="8174" max="8174" width="13.42578125" style="23" customWidth="1"/>
    <col min="8175" max="8175" width="19.85546875" style="23" customWidth="1"/>
    <col min="8176" max="8176" width="16" style="23" customWidth="1"/>
    <col min="8177" max="8177" width="24.28515625" style="23" customWidth="1"/>
    <col min="8178" max="8183" width="10.85546875" style="23" customWidth="1"/>
    <col min="8184" max="8184" width="16.28515625" style="23" bestFit="1" customWidth="1"/>
    <col min="8185" max="8185" width="12.140625" style="23" bestFit="1" customWidth="1"/>
    <col min="8186" max="8188" width="10.85546875" style="23" customWidth="1"/>
    <col min="8189" max="8189" width="9.28515625" style="23" bestFit="1" customWidth="1"/>
    <col min="8190" max="8419" width="9.140625" style="23"/>
    <col min="8420" max="8421" width="54" style="23" customWidth="1"/>
    <col min="8422" max="8422" width="16.7109375" style="23" customWidth="1"/>
    <col min="8423" max="8423" width="11.85546875" style="23" bestFit="1" customWidth="1"/>
    <col min="8424" max="8424" width="9.85546875" style="23" bestFit="1" customWidth="1"/>
    <col min="8425" max="8425" width="10.5703125" style="23" bestFit="1" customWidth="1"/>
    <col min="8426" max="8428" width="13.42578125" style="23" customWidth="1"/>
    <col min="8429" max="8429" width="19.140625" style="23" customWidth="1"/>
    <col min="8430" max="8430" width="13.42578125" style="23" customWidth="1"/>
    <col min="8431" max="8431" width="19.85546875" style="23" customWidth="1"/>
    <col min="8432" max="8432" width="16" style="23" customWidth="1"/>
    <col min="8433" max="8433" width="24.28515625" style="23" customWidth="1"/>
    <col min="8434" max="8439" width="10.85546875" style="23" customWidth="1"/>
    <col min="8440" max="8440" width="16.28515625" style="23" bestFit="1" customWidth="1"/>
    <col min="8441" max="8441" width="12.140625" style="23" bestFit="1" customWidth="1"/>
    <col min="8442" max="8444" width="10.85546875" style="23" customWidth="1"/>
    <col min="8445" max="8445" width="9.28515625" style="23" bestFit="1" customWidth="1"/>
    <col min="8446" max="8675" width="9.140625" style="23"/>
    <col min="8676" max="8677" width="54" style="23" customWidth="1"/>
    <col min="8678" max="8678" width="16.7109375" style="23" customWidth="1"/>
    <col min="8679" max="8679" width="11.85546875" style="23" bestFit="1" customWidth="1"/>
    <col min="8680" max="8680" width="9.85546875" style="23" bestFit="1" customWidth="1"/>
    <col min="8681" max="8681" width="10.5703125" style="23" bestFit="1" customWidth="1"/>
    <col min="8682" max="8684" width="13.42578125" style="23" customWidth="1"/>
    <col min="8685" max="8685" width="19.140625" style="23" customWidth="1"/>
    <col min="8686" max="8686" width="13.42578125" style="23" customWidth="1"/>
    <col min="8687" max="8687" width="19.85546875" style="23" customWidth="1"/>
    <col min="8688" max="8688" width="16" style="23" customWidth="1"/>
    <col min="8689" max="8689" width="24.28515625" style="23" customWidth="1"/>
    <col min="8690" max="8695" width="10.85546875" style="23" customWidth="1"/>
    <col min="8696" max="8696" width="16.28515625" style="23" bestFit="1" customWidth="1"/>
    <col min="8697" max="8697" width="12.140625" style="23" bestFit="1" customWidth="1"/>
    <col min="8698" max="8700" width="10.85546875" style="23" customWidth="1"/>
    <col min="8701" max="8701" width="9.28515625" style="23" bestFit="1" customWidth="1"/>
    <col min="8702" max="8931" width="9.140625" style="23"/>
    <col min="8932" max="8933" width="54" style="23" customWidth="1"/>
    <col min="8934" max="8934" width="16.7109375" style="23" customWidth="1"/>
    <col min="8935" max="8935" width="11.85546875" style="23" bestFit="1" customWidth="1"/>
    <col min="8936" max="8936" width="9.85546875" style="23" bestFit="1" customWidth="1"/>
    <col min="8937" max="8937" width="10.5703125" style="23" bestFit="1" customWidth="1"/>
    <col min="8938" max="8940" width="13.42578125" style="23" customWidth="1"/>
    <col min="8941" max="8941" width="19.140625" style="23" customWidth="1"/>
    <col min="8942" max="8942" width="13.42578125" style="23" customWidth="1"/>
    <col min="8943" max="8943" width="19.85546875" style="23" customWidth="1"/>
    <col min="8944" max="8944" width="16" style="23" customWidth="1"/>
    <col min="8945" max="8945" width="24.28515625" style="23" customWidth="1"/>
    <col min="8946" max="8951" width="10.85546875" style="23" customWidth="1"/>
    <col min="8952" max="8952" width="16.28515625" style="23" bestFit="1" customWidth="1"/>
    <col min="8953" max="8953" width="12.140625" style="23" bestFit="1" customWidth="1"/>
    <col min="8954" max="8956" width="10.85546875" style="23" customWidth="1"/>
    <col min="8957" max="8957" width="9.28515625" style="23" bestFit="1" customWidth="1"/>
    <col min="8958" max="9187" width="9.140625" style="23"/>
    <col min="9188" max="9189" width="54" style="23" customWidth="1"/>
    <col min="9190" max="9190" width="16.7109375" style="23" customWidth="1"/>
    <col min="9191" max="9191" width="11.85546875" style="23" bestFit="1" customWidth="1"/>
    <col min="9192" max="9192" width="9.85546875" style="23" bestFit="1" customWidth="1"/>
    <col min="9193" max="9193" width="10.5703125" style="23" bestFit="1" customWidth="1"/>
    <col min="9194" max="9196" width="13.42578125" style="23" customWidth="1"/>
    <col min="9197" max="9197" width="19.140625" style="23" customWidth="1"/>
    <col min="9198" max="9198" width="13.42578125" style="23" customWidth="1"/>
    <col min="9199" max="9199" width="19.85546875" style="23" customWidth="1"/>
    <col min="9200" max="9200" width="16" style="23" customWidth="1"/>
    <col min="9201" max="9201" width="24.28515625" style="23" customWidth="1"/>
    <col min="9202" max="9207" width="10.85546875" style="23" customWidth="1"/>
    <col min="9208" max="9208" width="16.28515625" style="23" bestFit="1" customWidth="1"/>
    <col min="9209" max="9209" width="12.140625" style="23" bestFit="1" customWidth="1"/>
    <col min="9210" max="9212" width="10.85546875" style="23" customWidth="1"/>
    <col min="9213" max="9213" width="9.28515625" style="23" bestFit="1" customWidth="1"/>
    <col min="9214" max="9443" width="9.140625" style="23"/>
    <col min="9444" max="9445" width="54" style="23" customWidth="1"/>
    <col min="9446" max="9446" width="16.7109375" style="23" customWidth="1"/>
    <col min="9447" max="9447" width="11.85546875" style="23" bestFit="1" customWidth="1"/>
    <col min="9448" max="9448" width="9.85546875" style="23" bestFit="1" customWidth="1"/>
    <col min="9449" max="9449" width="10.5703125" style="23" bestFit="1" customWidth="1"/>
    <col min="9450" max="9452" width="13.42578125" style="23" customWidth="1"/>
    <col min="9453" max="9453" width="19.140625" style="23" customWidth="1"/>
    <col min="9454" max="9454" width="13.42578125" style="23" customWidth="1"/>
    <col min="9455" max="9455" width="19.85546875" style="23" customWidth="1"/>
    <col min="9456" max="9456" width="16" style="23" customWidth="1"/>
    <col min="9457" max="9457" width="24.28515625" style="23" customWidth="1"/>
    <col min="9458" max="9463" width="10.85546875" style="23" customWidth="1"/>
    <col min="9464" max="9464" width="16.28515625" style="23" bestFit="1" customWidth="1"/>
    <col min="9465" max="9465" width="12.140625" style="23" bestFit="1" customWidth="1"/>
    <col min="9466" max="9468" width="10.85546875" style="23" customWidth="1"/>
    <col min="9469" max="9469" width="9.28515625" style="23" bestFit="1" customWidth="1"/>
    <col min="9470" max="9699" width="9.140625" style="23"/>
    <col min="9700" max="9701" width="54" style="23" customWidth="1"/>
    <col min="9702" max="9702" width="16.7109375" style="23" customWidth="1"/>
    <col min="9703" max="9703" width="11.85546875" style="23" bestFit="1" customWidth="1"/>
    <col min="9704" max="9704" width="9.85546875" style="23" bestFit="1" customWidth="1"/>
    <col min="9705" max="9705" width="10.5703125" style="23" bestFit="1" customWidth="1"/>
    <col min="9706" max="9708" width="13.42578125" style="23" customWidth="1"/>
    <col min="9709" max="9709" width="19.140625" style="23" customWidth="1"/>
    <col min="9710" max="9710" width="13.42578125" style="23" customWidth="1"/>
    <col min="9711" max="9711" width="19.85546875" style="23" customWidth="1"/>
    <col min="9712" max="9712" width="16" style="23" customWidth="1"/>
    <col min="9713" max="9713" width="24.28515625" style="23" customWidth="1"/>
    <col min="9714" max="9719" width="10.85546875" style="23" customWidth="1"/>
    <col min="9720" max="9720" width="16.28515625" style="23" bestFit="1" customWidth="1"/>
    <col min="9721" max="9721" width="12.140625" style="23" bestFit="1" customWidth="1"/>
    <col min="9722" max="9724" width="10.85546875" style="23" customWidth="1"/>
    <col min="9725" max="9725" width="9.28515625" style="23" bestFit="1" customWidth="1"/>
    <col min="9726" max="9955" width="9.140625" style="23"/>
    <col min="9956" max="9957" width="54" style="23" customWidth="1"/>
    <col min="9958" max="9958" width="16.7109375" style="23" customWidth="1"/>
    <col min="9959" max="9959" width="11.85546875" style="23" bestFit="1" customWidth="1"/>
    <col min="9960" max="9960" width="9.85546875" style="23" bestFit="1" customWidth="1"/>
    <col min="9961" max="9961" width="10.5703125" style="23" bestFit="1" customWidth="1"/>
    <col min="9962" max="9964" width="13.42578125" style="23" customWidth="1"/>
    <col min="9965" max="9965" width="19.140625" style="23" customWidth="1"/>
    <col min="9966" max="9966" width="13.42578125" style="23" customWidth="1"/>
    <col min="9967" max="9967" width="19.85546875" style="23" customWidth="1"/>
    <col min="9968" max="9968" width="16" style="23" customWidth="1"/>
    <col min="9969" max="9969" width="24.28515625" style="23" customWidth="1"/>
    <col min="9970" max="9975" width="10.85546875" style="23" customWidth="1"/>
    <col min="9976" max="9976" width="16.28515625" style="23" bestFit="1" customWidth="1"/>
    <col min="9977" max="9977" width="12.140625" style="23" bestFit="1" customWidth="1"/>
    <col min="9978" max="9980" width="10.85546875" style="23" customWidth="1"/>
    <col min="9981" max="9981" width="9.28515625" style="23" bestFit="1" customWidth="1"/>
    <col min="9982" max="10211" width="9.140625" style="23"/>
    <col min="10212" max="10213" width="54" style="23" customWidth="1"/>
    <col min="10214" max="10214" width="16.7109375" style="23" customWidth="1"/>
    <col min="10215" max="10215" width="11.85546875" style="23" bestFit="1" customWidth="1"/>
    <col min="10216" max="10216" width="9.85546875" style="23" bestFit="1" customWidth="1"/>
    <col min="10217" max="10217" width="10.5703125" style="23" bestFit="1" customWidth="1"/>
    <col min="10218" max="10220" width="13.42578125" style="23" customWidth="1"/>
    <col min="10221" max="10221" width="19.140625" style="23" customWidth="1"/>
    <col min="10222" max="10222" width="13.42578125" style="23" customWidth="1"/>
    <col min="10223" max="10223" width="19.85546875" style="23" customWidth="1"/>
    <col min="10224" max="10224" width="16" style="23" customWidth="1"/>
    <col min="10225" max="10225" width="24.28515625" style="23" customWidth="1"/>
    <col min="10226" max="10231" width="10.85546875" style="23" customWidth="1"/>
    <col min="10232" max="10232" width="16.28515625" style="23" bestFit="1" customWidth="1"/>
    <col min="10233" max="10233" width="12.140625" style="23" bestFit="1" customWidth="1"/>
    <col min="10234" max="10236" width="10.85546875" style="23" customWidth="1"/>
    <col min="10237" max="10237" width="9.28515625" style="23" bestFit="1" customWidth="1"/>
    <col min="10238" max="10467" width="9.140625" style="23"/>
    <col min="10468" max="10469" width="54" style="23" customWidth="1"/>
    <col min="10470" max="10470" width="16.7109375" style="23" customWidth="1"/>
    <col min="10471" max="10471" width="11.85546875" style="23" bestFit="1" customWidth="1"/>
    <col min="10472" max="10472" width="9.85546875" style="23" bestFit="1" customWidth="1"/>
    <col min="10473" max="10473" width="10.5703125" style="23" bestFit="1" customWidth="1"/>
    <col min="10474" max="10476" width="13.42578125" style="23" customWidth="1"/>
    <col min="10477" max="10477" width="19.140625" style="23" customWidth="1"/>
    <col min="10478" max="10478" width="13.42578125" style="23" customWidth="1"/>
    <col min="10479" max="10479" width="19.85546875" style="23" customWidth="1"/>
    <col min="10480" max="10480" width="16" style="23" customWidth="1"/>
    <col min="10481" max="10481" width="24.28515625" style="23" customWidth="1"/>
    <col min="10482" max="10487" width="10.85546875" style="23" customWidth="1"/>
    <col min="10488" max="10488" width="16.28515625" style="23" bestFit="1" customWidth="1"/>
    <col min="10489" max="10489" width="12.140625" style="23" bestFit="1" customWidth="1"/>
    <col min="10490" max="10492" width="10.85546875" style="23" customWidth="1"/>
    <col min="10493" max="10493" width="9.28515625" style="23" bestFit="1" customWidth="1"/>
    <col min="10494" max="10723" width="9.140625" style="23"/>
    <col min="10724" max="10725" width="54" style="23" customWidth="1"/>
    <col min="10726" max="10726" width="16.7109375" style="23" customWidth="1"/>
    <col min="10727" max="10727" width="11.85546875" style="23" bestFit="1" customWidth="1"/>
    <col min="10728" max="10728" width="9.85546875" style="23" bestFit="1" customWidth="1"/>
    <col min="10729" max="10729" width="10.5703125" style="23" bestFit="1" customWidth="1"/>
    <col min="10730" max="10732" width="13.42578125" style="23" customWidth="1"/>
    <col min="10733" max="10733" width="19.140625" style="23" customWidth="1"/>
    <col min="10734" max="10734" width="13.42578125" style="23" customWidth="1"/>
    <col min="10735" max="10735" width="19.85546875" style="23" customWidth="1"/>
    <col min="10736" max="10736" width="16" style="23" customWidth="1"/>
    <col min="10737" max="10737" width="24.28515625" style="23" customWidth="1"/>
    <col min="10738" max="10743" width="10.85546875" style="23" customWidth="1"/>
    <col min="10744" max="10744" width="16.28515625" style="23" bestFit="1" customWidth="1"/>
    <col min="10745" max="10745" width="12.140625" style="23" bestFit="1" customWidth="1"/>
    <col min="10746" max="10748" width="10.85546875" style="23" customWidth="1"/>
    <col min="10749" max="10749" width="9.28515625" style="23" bestFit="1" customWidth="1"/>
    <col min="10750" max="10979" width="9.140625" style="23"/>
    <col min="10980" max="10981" width="54" style="23" customWidth="1"/>
    <col min="10982" max="10982" width="16.7109375" style="23" customWidth="1"/>
    <col min="10983" max="10983" width="11.85546875" style="23" bestFit="1" customWidth="1"/>
    <col min="10984" max="10984" width="9.85546875" style="23" bestFit="1" customWidth="1"/>
    <col min="10985" max="10985" width="10.5703125" style="23" bestFit="1" customWidth="1"/>
    <col min="10986" max="10988" width="13.42578125" style="23" customWidth="1"/>
    <col min="10989" max="10989" width="19.140625" style="23" customWidth="1"/>
    <col min="10990" max="10990" width="13.42578125" style="23" customWidth="1"/>
    <col min="10991" max="10991" width="19.85546875" style="23" customWidth="1"/>
    <col min="10992" max="10992" width="16" style="23" customWidth="1"/>
    <col min="10993" max="10993" width="24.28515625" style="23" customWidth="1"/>
    <col min="10994" max="10999" width="10.85546875" style="23" customWidth="1"/>
    <col min="11000" max="11000" width="16.28515625" style="23" bestFit="1" customWidth="1"/>
    <col min="11001" max="11001" width="12.140625" style="23" bestFit="1" customWidth="1"/>
    <col min="11002" max="11004" width="10.85546875" style="23" customWidth="1"/>
    <col min="11005" max="11005" width="9.28515625" style="23" bestFit="1" customWidth="1"/>
    <col min="11006" max="11235" width="9.140625" style="23"/>
    <col min="11236" max="11237" width="54" style="23" customWidth="1"/>
    <col min="11238" max="11238" width="16.7109375" style="23" customWidth="1"/>
    <col min="11239" max="11239" width="11.85546875" style="23" bestFit="1" customWidth="1"/>
    <col min="11240" max="11240" width="9.85546875" style="23" bestFit="1" customWidth="1"/>
    <col min="11241" max="11241" width="10.5703125" style="23" bestFit="1" customWidth="1"/>
    <col min="11242" max="11244" width="13.42578125" style="23" customWidth="1"/>
    <col min="11245" max="11245" width="19.140625" style="23" customWidth="1"/>
    <col min="11246" max="11246" width="13.42578125" style="23" customWidth="1"/>
    <col min="11247" max="11247" width="19.85546875" style="23" customWidth="1"/>
    <col min="11248" max="11248" width="16" style="23" customWidth="1"/>
    <col min="11249" max="11249" width="24.28515625" style="23" customWidth="1"/>
    <col min="11250" max="11255" width="10.85546875" style="23" customWidth="1"/>
    <col min="11256" max="11256" width="16.28515625" style="23" bestFit="1" customWidth="1"/>
    <col min="11257" max="11257" width="12.140625" style="23" bestFit="1" customWidth="1"/>
    <col min="11258" max="11260" width="10.85546875" style="23" customWidth="1"/>
    <col min="11261" max="11261" width="9.28515625" style="23" bestFit="1" customWidth="1"/>
    <col min="11262" max="11491" width="9.140625" style="23"/>
    <col min="11492" max="11493" width="54" style="23" customWidth="1"/>
    <col min="11494" max="11494" width="16.7109375" style="23" customWidth="1"/>
    <col min="11495" max="11495" width="11.85546875" style="23" bestFit="1" customWidth="1"/>
    <col min="11496" max="11496" width="9.85546875" style="23" bestFit="1" customWidth="1"/>
    <col min="11497" max="11497" width="10.5703125" style="23" bestFit="1" customWidth="1"/>
    <col min="11498" max="11500" width="13.42578125" style="23" customWidth="1"/>
    <col min="11501" max="11501" width="19.140625" style="23" customWidth="1"/>
    <col min="11502" max="11502" width="13.42578125" style="23" customWidth="1"/>
    <col min="11503" max="11503" width="19.85546875" style="23" customWidth="1"/>
    <col min="11504" max="11504" width="16" style="23" customWidth="1"/>
    <col min="11505" max="11505" width="24.28515625" style="23" customWidth="1"/>
    <col min="11506" max="11511" width="10.85546875" style="23" customWidth="1"/>
    <col min="11512" max="11512" width="16.28515625" style="23" bestFit="1" customWidth="1"/>
    <col min="11513" max="11513" width="12.140625" style="23" bestFit="1" customWidth="1"/>
    <col min="11514" max="11516" width="10.85546875" style="23" customWidth="1"/>
    <col min="11517" max="11517" width="9.28515625" style="23" bestFit="1" customWidth="1"/>
    <col min="11518" max="11747" width="9.140625" style="23"/>
    <col min="11748" max="11749" width="54" style="23" customWidth="1"/>
    <col min="11750" max="11750" width="16.7109375" style="23" customWidth="1"/>
    <col min="11751" max="11751" width="11.85546875" style="23" bestFit="1" customWidth="1"/>
    <col min="11752" max="11752" width="9.85546875" style="23" bestFit="1" customWidth="1"/>
    <col min="11753" max="11753" width="10.5703125" style="23" bestFit="1" customWidth="1"/>
    <col min="11754" max="11756" width="13.42578125" style="23" customWidth="1"/>
    <col min="11757" max="11757" width="19.140625" style="23" customWidth="1"/>
    <col min="11758" max="11758" width="13.42578125" style="23" customWidth="1"/>
    <col min="11759" max="11759" width="19.85546875" style="23" customWidth="1"/>
    <col min="11760" max="11760" width="16" style="23" customWidth="1"/>
    <col min="11761" max="11761" width="24.28515625" style="23" customWidth="1"/>
    <col min="11762" max="11767" width="10.85546875" style="23" customWidth="1"/>
    <col min="11768" max="11768" width="16.28515625" style="23" bestFit="1" customWidth="1"/>
    <col min="11769" max="11769" width="12.140625" style="23" bestFit="1" customWidth="1"/>
    <col min="11770" max="11772" width="10.85546875" style="23" customWidth="1"/>
    <col min="11773" max="11773" width="9.28515625" style="23" bestFit="1" customWidth="1"/>
    <col min="11774" max="12003" width="9.140625" style="23"/>
    <col min="12004" max="12005" width="54" style="23" customWidth="1"/>
    <col min="12006" max="12006" width="16.7109375" style="23" customWidth="1"/>
    <col min="12007" max="12007" width="11.85546875" style="23" bestFit="1" customWidth="1"/>
    <col min="12008" max="12008" width="9.85546875" style="23" bestFit="1" customWidth="1"/>
    <col min="12009" max="12009" width="10.5703125" style="23" bestFit="1" customWidth="1"/>
    <col min="12010" max="12012" width="13.42578125" style="23" customWidth="1"/>
    <col min="12013" max="12013" width="19.140625" style="23" customWidth="1"/>
    <col min="12014" max="12014" width="13.42578125" style="23" customWidth="1"/>
    <col min="12015" max="12015" width="19.85546875" style="23" customWidth="1"/>
    <col min="12016" max="12016" width="16" style="23" customWidth="1"/>
    <col min="12017" max="12017" width="24.28515625" style="23" customWidth="1"/>
    <col min="12018" max="12023" width="10.85546875" style="23" customWidth="1"/>
    <col min="12024" max="12024" width="16.28515625" style="23" bestFit="1" customWidth="1"/>
    <col min="12025" max="12025" width="12.140625" style="23" bestFit="1" customWidth="1"/>
    <col min="12026" max="12028" width="10.85546875" style="23" customWidth="1"/>
    <col min="12029" max="12029" width="9.28515625" style="23" bestFit="1" customWidth="1"/>
    <col min="12030" max="12259" width="9.140625" style="23"/>
    <col min="12260" max="12261" width="54" style="23" customWidth="1"/>
    <col min="12262" max="12262" width="16.7109375" style="23" customWidth="1"/>
    <col min="12263" max="12263" width="11.85546875" style="23" bestFit="1" customWidth="1"/>
    <col min="12264" max="12264" width="9.85546875" style="23" bestFit="1" customWidth="1"/>
    <col min="12265" max="12265" width="10.5703125" style="23" bestFit="1" customWidth="1"/>
    <col min="12266" max="12268" width="13.42578125" style="23" customWidth="1"/>
    <col min="12269" max="12269" width="19.140625" style="23" customWidth="1"/>
    <col min="12270" max="12270" width="13.42578125" style="23" customWidth="1"/>
    <col min="12271" max="12271" width="19.85546875" style="23" customWidth="1"/>
    <col min="12272" max="12272" width="16" style="23" customWidth="1"/>
    <col min="12273" max="12273" width="24.28515625" style="23" customWidth="1"/>
    <col min="12274" max="12279" width="10.85546875" style="23" customWidth="1"/>
    <col min="12280" max="12280" width="16.28515625" style="23" bestFit="1" customWidth="1"/>
    <col min="12281" max="12281" width="12.140625" style="23" bestFit="1" customWidth="1"/>
    <col min="12282" max="12284" width="10.85546875" style="23" customWidth="1"/>
    <col min="12285" max="12285" width="9.28515625" style="23" bestFit="1" customWidth="1"/>
    <col min="12286" max="12515" width="9.140625" style="23"/>
    <col min="12516" max="12517" width="54" style="23" customWidth="1"/>
    <col min="12518" max="12518" width="16.7109375" style="23" customWidth="1"/>
    <col min="12519" max="12519" width="11.85546875" style="23" bestFit="1" customWidth="1"/>
    <col min="12520" max="12520" width="9.85546875" style="23" bestFit="1" customWidth="1"/>
    <col min="12521" max="12521" width="10.5703125" style="23" bestFit="1" customWidth="1"/>
    <col min="12522" max="12524" width="13.42578125" style="23" customWidth="1"/>
    <col min="12525" max="12525" width="19.140625" style="23" customWidth="1"/>
    <col min="12526" max="12526" width="13.42578125" style="23" customWidth="1"/>
    <col min="12527" max="12527" width="19.85546875" style="23" customWidth="1"/>
    <col min="12528" max="12528" width="16" style="23" customWidth="1"/>
    <col min="12529" max="12529" width="24.28515625" style="23" customWidth="1"/>
    <col min="12530" max="12535" width="10.85546875" style="23" customWidth="1"/>
    <col min="12536" max="12536" width="16.28515625" style="23" bestFit="1" customWidth="1"/>
    <col min="12537" max="12537" width="12.140625" style="23" bestFit="1" customWidth="1"/>
    <col min="12538" max="12540" width="10.85546875" style="23" customWidth="1"/>
    <col min="12541" max="12541" width="9.28515625" style="23" bestFit="1" customWidth="1"/>
    <col min="12542" max="12771" width="9.140625" style="23"/>
    <col min="12772" max="12773" width="54" style="23" customWidth="1"/>
    <col min="12774" max="12774" width="16.7109375" style="23" customWidth="1"/>
    <col min="12775" max="12775" width="11.85546875" style="23" bestFit="1" customWidth="1"/>
    <col min="12776" max="12776" width="9.85546875" style="23" bestFit="1" customWidth="1"/>
    <col min="12777" max="12777" width="10.5703125" style="23" bestFit="1" customWidth="1"/>
    <col min="12778" max="12780" width="13.42578125" style="23" customWidth="1"/>
    <col min="12781" max="12781" width="19.140625" style="23" customWidth="1"/>
    <col min="12782" max="12782" width="13.42578125" style="23" customWidth="1"/>
    <col min="12783" max="12783" width="19.85546875" style="23" customWidth="1"/>
    <col min="12784" max="12784" width="16" style="23" customWidth="1"/>
    <col min="12785" max="12785" width="24.28515625" style="23" customWidth="1"/>
    <col min="12786" max="12791" width="10.85546875" style="23" customWidth="1"/>
    <col min="12792" max="12792" width="16.28515625" style="23" bestFit="1" customWidth="1"/>
    <col min="12793" max="12793" width="12.140625" style="23" bestFit="1" customWidth="1"/>
    <col min="12794" max="12796" width="10.85546875" style="23" customWidth="1"/>
    <col min="12797" max="12797" width="9.28515625" style="23" bestFit="1" customWidth="1"/>
    <col min="12798" max="13027" width="9.140625" style="23"/>
    <col min="13028" max="13029" width="54" style="23" customWidth="1"/>
    <col min="13030" max="13030" width="16.7109375" style="23" customWidth="1"/>
    <col min="13031" max="13031" width="11.85546875" style="23" bestFit="1" customWidth="1"/>
    <col min="13032" max="13032" width="9.85546875" style="23" bestFit="1" customWidth="1"/>
    <col min="13033" max="13033" width="10.5703125" style="23" bestFit="1" customWidth="1"/>
    <col min="13034" max="13036" width="13.42578125" style="23" customWidth="1"/>
    <col min="13037" max="13037" width="19.140625" style="23" customWidth="1"/>
    <col min="13038" max="13038" width="13.42578125" style="23" customWidth="1"/>
    <col min="13039" max="13039" width="19.85546875" style="23" customWidth="1"/>
    <col min="13040" max="13040" width="16" style="23" customWidth="1"/>
    <col min="13041" max="13041" width="24.28515625" style="23" customWidth="1"/>
    <col min="13042" max="13047" width="10.85546875" style="23" customWidth="1"/>
    <col min="13048" max="13048" width="16.28515625" style="23" bestFit="1" customWidth="1"/>
    <col min="13049" max="13049" width="12.140625" style="23" bestFit="1" customWidth="1"/>
    <col min="13050" max="13052" width="10.85546875" style="23" customWidth="1"/>
    <col min="13053" max="13053" width="9.28515625" style="23" bestFit="1" customWidth="1"/>
    <col min="13054" max="13283" width="9.140625" style="23"/>
    <col min="13284" max="13285" width="54" style="23" customWidth="1"/>
    <col min="13286" max="13286" width="16.7109375" style="23" customWidth="1"/>
    <col min="13287" max="13287" width="11.85546875" style="23" bestFit="1" customWidth="1"/>
    <col min="13288" max="13288" width="9.85546875" style="23" bestFit="1" customWidth="1"/>
    <col min="13289" max="13289" width="10.5703125" style="23" bestFit="1" customWidth="1"/>
    <col min="13290" max="13292" width="13.42578125" style="23" customWidth="1"/>
    <col min="13293" max="13293" width="19.140625" style="23" customWidth="1"/>
    <col min="13294" max="13294" width="13.42578125" style="23" customWidth="1"/>
    <col min="13295" max="13295" width="19.85546875" style="23" customWidth="1"/>
    <col min="13296" max="13296" width="16" style="23" customWidth="1"/>
    <col min="13297" max="13297" width="24.28515625" style="23" customWidth="1"/>
    <col min="13298" max="13303" width="10.85546875" style="23" customWidth="1"/>
    <col min="13304" max="13304" width="16.28515625" style="23" bestFit="1" customWidth="1"/>
    <col min="13305" max="13305" width="12.140625" style="23" bestFit="1" customWidth="1"/>
    <col min="13306" max="13308" width="10.85546875" style="23" customWidth="1"/>
    <col min="13309" max="13309" width="9.28515625" style="23" bestFit="1" customWidth="1"/>
    <col min="13310" max="13539" width="9.140625" style="23"/>
    <col min="13540" max="13541" width="54" style="23" customWidth="1"/>
    <col min="13542" max="13542" width="16.7109375" style="23" customWidth="1"/>
    <col min="13543" max="13543" width="11.85546875" style="23" bestFit="1" customWidth="1"/>
    <col min="13544" max="13544" width="9.85546875" style="23" bestFit="1" customWidth="1"/>
    <col min="13545" max="13545" width="10.5703125" style="23" bestFit="1" customWidth="1"/>
    <col min="13546" max="13548" width="13.42578125" style="23" customWidth="1"/>
    <col min="13549" max="13549" width="19.140625" style="23" customWidth="1"/>
    <col min="13550" max="13550" width="13.42578125" style="23" customWidth="1"/>
    <col min="13551" max="13551" width="19.85546875" style="23" customWidth="1"/>
    <col min="13552" max="13552" width="16" style="23" customWidth="1"/>
    <col min="13553" max="13553" width="24.28515625" style="23" customWidth="1"/>
    <col min="13554" max="13559" width="10.85546875" style="23" customWidth="1"/>
    <col min="13560" max="13560" width="16.28515625" style="23" bestFit="1" customWidth="1"/>
    <col min="13561" max="13561" width="12.140625" style="23" bestFit="1" customWidth="1"/>
    <col min="13562" max="13564" width="10.85546875" style="23" customWidth="1"/>
    <col min="13565" max="13565" width="9.28515625" style="23" bestFit="1" customWidth="1"/>
    <col min="13566" max="13795" width="9.140625" style="23"/>
    <col min="13796" max="13797" width="54" style="23" customWidth="1"/>
    <col min="13798" max="13798" width="16.7109375" style="23" customWidth="1"/>
    <col min="13799" max="13799" width="11.85546875" style="23" bestFit="1" customWidth="1"/>
    <col min="13800" max="13800" width="9.85546875" style="23" bestFit="1" customWidth="1"/>
    <col min="13801" max="13801" width="10.5703125" style="23" bestFit="1" customWidth="1"/>
    <col min="13802" max="13804" width="13.42578125" style="23" customWidth="1"/>
    <col min="13805" max="13805" width="19.140625" style="23" customWidth="1"/>
    <col min="13806" max="13806" width="13.42578125" style="23" customWidth="1"/>
    <col min="13807" max="13807" width="19.85546875" style="23" customWidth="1"/>
    <col min="13808" max="13808" width="16" style="23" customWidth="1"/>
    <col min="13809" max="13809" width="24.28515625" style="23" customWidth="1"/>
    <col min="13810" max="13815" width="10.85546875" style="23" customWidth="1"/>
    <col min="13816" max="13816" width="16.28515625" style="23" bestFit="1" customWidth="1"/>
    <col min="13817" max="13817" width="12.140625" style="23" bestFit="1" customWidth="1"/>
    <col min="13818" max="13820" width="10.85546875" style="23" customWidth="1"/>
    <col min="13821" max="13821" width="9.28515625" style="23" bestFit="1" customWidth="1"/>
    <col min="13822" max="14051" width="9.140625" style="23"/>
    <col min="14052" max="14053" width="54" style="23" customWidth="1"/>
    <col min="14054" max="14054" width="16.7109375" style="23" customWidth="1"/>
    <col min="14055" max="14055" width="11.85546875" style="23" bestFit="1" customWidth="1"/>
    <col min="14056" max="14056" width="9.85546875" style="23" bestFit="1" customWidth="1"/>
    <col min="14057" max="14057" width="10.5703125" style="23" bestFit="1" customWidth="1"/>
    <col min="14058" max="14060" width="13.42578125" style="23" customWidth="1"/>
    <col min="14061" max="14061" width="19.140625" style="23" customWidth="1"/>
    <col min="14062" max="14062" width="13.42578125" style="23" customWidth="1"/>
    <col min="14063" max="14063" width="19.85546875" style="23" customWidth="1"/>
    <col min="14064" max="14064" width="16" style="23" customWidth="1"/>
    <col min="14065" max="14065" width="24.28515625" style="23" customWidth="1"/>
    <col min="14066" max="14071" width="10.85546875" style="23" customWidth="1"/>
    <col min="14072" max="14072" width="16.28515625" style="23" bestFit="1" customWidth="1"/>
    <col min="14073" max="14073" width="12.140625" style="23" bestFit="1" customWidth="1"/>
    <col min="14074" max="14076" width="10.85546875" style="23" customWidth="1"/>
    <col min="14077" max="14077" width="9.28515625" style="23" bestFit="1" customWidth="1"/>
    <col min="14078" max="14307" width="9.140625" style="23"/>
    <col min="14308" max="14309" width="54" style="23" customWidth="1"/>
    <col min="14310" max="14310" width="16.7109375" style="23" customWidth="1"/>
    <col min="14311" max="14311" width="11.85546875" style="23" bestFit="1" customWidth="1"/>
    <col min="14312" max="14312" width="9.85546875" style="23" bestFit="1" customWidth="1"/>
    <col min="14313" max="14313" width="10.5703125" style="23" bestFit="1" customWidth="1"/>
    <col min="14314" max="14316" width="13.42578125" style="23" customWidth="1"/>
    <col min="14317" max="14317" width="19.140625" style="23" customWidth="1"/>
    <col min="14318" max="14318" width="13.42578125" style="23" customWidth="1"/>
    <col min="14319" max="14319" width="19.85546875" style="23" customWidth="1"/>
    <col min="14320" max="14320" width="16" style="23" customWidth="1"/>
    <col min="14321" max="14321" width="24.28515625" style="23" customWidth="1"/>
    <col min="14322" max="14327" width="10.85546875" style="23" customWidth="1"/>
    <col min="14328" max="14328" width="16.28515625" style="23" bestFit="1" customWidth="1"/>
    <col min="14329" max="14329" width="12.140625" style="23" bestFit="1" customWidth="1"/>
    <col min="14330" max="14332" width="10.85546875" style="23" customWidth="1"/>
    <col min="14333" max="14333" width="9.28515625" style="23" bestFit="1" customWidth="1"/>
    <col min="14334" max="14563" width="9.140625" style="23"/>
    <col min="14564" max="14565" width="54" style="23" customWidth="1"/>
    <col min="14566" max="14566" width="16.7109375" style="23" customWidth="1"/>
    <col min="14567" max="14567" width="11.85546875" style="23" bestFit="1" customWidth="1"/>
    <col min="14568" max="14568" width="9.85546875" style="23" bestFit="1" customWidth="1"/>
    <col min="14569" max="14569" width="10.5703125" style="23" bestFit="1" customWidth="1"/>
    <col min="14570" max="14572" width="13.42578125" style="23" customWidth="1"/>
    <col min="14573" max="14573" width="19.140625" style="23" customWidth="1"/>
    <col min="14574" max="14574" width="13.42578125" style="23" customWidth="1"/>
    <col min="14575" max="14575" width="19.85546875" style="23" customWidth="1"/>
    <col min="14576" max="14576" width="16" style="23" customWidth="1"/>
    <col min="14577" max="14577" width="24.28515625" style="23" customWidth="1"/>
    <col min="14578" max="14583" width="10.85546875" style="23" customWidth="1"/>
    <col min="14584" max="14584" width="16.28515625" style="23" bestFit="1" customWidth="1"/>
    <col min="14585" max="14585" width="12.140625" style="23" bestFit="1" customWidth="1"/>
    <col min="14586" max="14588" width="10.85546875" style="23" customWidth="1"/>
    <col min="14589" max="14589" width="9.28515625" style="23" bestFit="1" customWidth="1"/>
    <col min="14590" max="14819" width="9.140625" style="23"/>
    <col min="14820" max="14821" width="54" style="23" customWidth="1"/>
    <col min="14822" max="14822" width="16.7109375" style="23" customWidth="1"/>
    <col min="14823" max="14823" width="11.85546875" style="23" bestFit="1" customWidth="1"/>
    <col min="14824" max="14824" width="9.85546875" style="23" bestFit="1" customWidth="1"/>
    <col min="14825" max="14825" width="10.5703125" style="23" bestFit="1" customWidth="1"/>
    <col min="14826" max="14828" width="13.42578125" style="23" customWidth="1"/>
    <col min="14829" max="14829" width="19.140625" style="23" customWidth="1"/>
    <col min="14830" max="14830" width="13.42578125" style="23" customWidth="1"/>
    <col min="14831" max="14831" width="19.85546875" style="23" customWidth="1"/>
    <col min="14832" max="14832" width="16" style="23" customWidth="1"/>
    <col min="14833" max="14833" width="24.28515625" style="23" customWidth="1"/>
    <col min="14834" max="14839" width="10.85546875" style="23" customWidth="1"/>
    <col min="14840" max="14840" width="16.28515625" style="23" bestFit="1" customWidth="1"/>
    <col min="14841" max="14841" width="12.140625" style="23" bestFit="1" customWidth="1"/>
    <col min="14842" max="14844" width="10.85546875" style="23" customWidth="1"/>
    <col min="14845" max="14845" width="9.28515625" style="23" bestFit="1" customWidth="1"/>
    <col min="14846" max="15075" width="9.140625" style="23"/>
    <col min="15076" max="15077" width="54" style="23" customWidth="1"/>
    <col min="15078" max="15078" width="16.7109375" style="23" customWidth="1"/>
    <col min="15079" max="15079" width="11.85546875" style="23" bestFit="1" customWidth="1"/>
    <col min="15080" max="15080" width="9.85546875" style="23" bestFit="1" customWidth="1"/>
    <col min="15081" max="15081" width="10.5703125" style="23" bestFit="1" customWidth="1"/>
    <col min="15082" max="15084" width="13.42578125" style="23" customWidth="1"/>
    <col min="15085" max="15085" width="19.140625" style="23" customWidth="1"/>
    <col min="15086" max="15086" width="13.42578125" style="23" customWidth="1"/>
    <col min="15087" max="15087" width="19.85546875" style="23" customWidth="1"/>
    <col min="15088" max="15088" width="16" style="23" customWidth="1"/>
    <col min="15089" max="15089" width="24.28515625" style="23" customWidth="1"/>
    <col min="15090" max="15095" width="10.85546875" style="23" customWidth="1"/>
    <col min="15096" max="15096" width="16.28515625" style="23" bestFit="1" customWidth="1"/>
    <col min="15097" max="15097" width="12.140625" style="23" bestFit="1" customWidth="1"/>
    <col min="15098" max="15100" width="10.85546875" style="23" customWidth="1"/>
    <col min="15101" max="15101" width="9.28515625" style="23" bestFit="1" customWidth="1"/>
    <col min="15102" max="15331" width="9.140625" style="23"/>
    <col min="15332" max="15333" width="54" style="23" customWidth="1"/>
    <col min="15334" max="15334" width="16.7109375" style="23" customWidth="1"/>
    <col min="15335" max="15335" width="11.85546875" style="23" bestFit="1" customWidth="1"/>
    <col min="15336" max="15336" width="9.85546875" style="23" bestFit="1" customWidth="1"/>
    <col min="15337" max="15337" width="10.5703125" style="23" bestFit="1" customWidth="1"/>
    <col min="15338" max="15340" width="13.42578125" style="23" customWidth="1"/>
    <col min="15341" max="15341" width="19.140625" style="23" customWidth="1"/>
    <col min="15342" max="15342" width="13.42578125" style="23" customWidth="1"/>
    <col min="15343" max="15343" width="19.85546875" style="23" customWidth="1"/>
    <col min="15344" max="15344" width="16" style="23" customWidth="1"/>
    <col min="15345" max="15345" width="24.28515625" style="23" customWidth="1"/>
    <col min="15346" max="15351" width="10.85546875" style="23" customWidth="1"/>
    <col min="15352" max="15352" width="16.28515625" style="23" bestFit="1" customWidth="1"/>
    <col min="15353" max="15353" width="12.140625" style="23" bestFit="1" customWidth="1"/>
    <col min="15354" max="15356" width="10.85546875" style="23" customWidth="1"/>
    <col min="15357" max="15357" width="9.28515625" style="23" bestFit="1" customWidth="1"/>
    <col min="15358" max="15587" width="9.140625" style="23"/>
    <col min="15588" max="15589" width="54" style="23" customWidth="1"/>
    <col min="15590" max="15590" width="16.7109375" style="23" customWidth="1"/>
    <col min="15591" max="15591" width="11.85546875" style="23" bestFit="1" customWidth="1"/>
    <col min="15592" max="15592" width="9.85546875" style="23" bestFit="1" customWidth="1"/>
    <col min="15593" max="15593" width="10.5703125" style="23" bestFit="1" customWidth="1"/>
    <col min="15594" max="15596" width="13.42578125" style="23" customWidth="1"/>
    <col min="15597" max="15597" width="19.140625" style="23" customWidth="1"/>
    <col min="15598" max="15598" width="13.42578125" style="23" customWidth="1"/>
    <col min="15599" max="15599" width="19.85546875" style="23" customWidth="1"/>
    <col min="15600" max="15600" width="16" style="23" customWidth="1"/>
    <col min="15601" max="15601" width="24.28515625" style="23" customWidth="1"/>
    <col min="15602" max="15607" width="10.85546875" style="23" customWidth="1"/>
    <col min="15608" max="15608" width="16.28515625" style="23" bestFit="1" customWidth="1"/>
    <col min="15609" max="15609" width="12.140625" style="23" bestFit="1" customWidth="1"/>
    <col min="15610" max="15612" width="10.85546875" style="23" customWidth="1"/>
    <col min="15613" max="15613" width="9.28515625" style="23" bestFit="1" customWidth="1"/>
    <col min="15614" max="15843" width="9.140625" style="23"/>
    <col min="15844" max="15845" width="54" style="23" customWidth="1"/>
    <col min="15846" max="15846" width="16.7109375" style="23" customWidth="1"/>
    <col min="15847" max="15847" width="11.85546875" style="23" bestFit="1" customWidth="1"/>
    <col min="15848" max="15848" width="9.85546875" style="23" bestFit="1" customWidth="1"/>
    <col min="15849" max="15849" width="10.5703125" style="23" bestFit="1" customWidth="1"/>
    <col min="15850" max="15852" width="13.42578125" style="23" customWidth="1"/>
    <col min="15853" max="15853" width="19.140625" style="23" customWidth="1"/>
    <col min="15854" max="15854" width="13.42578125" style="23" customWidth="1"/>
    <col min="15855" max="15855" width="19.85546875" style="23" customWidth="1"/>
    <col min="15856" max="15856" width="16" style="23" customWidth="1"/>
    <col min="15857" max="15857" width="24.28515625" style="23" customWidth="1"/>
    <col min="15858" max="15863" width="10.85546875" style="23" customWidth="1"/>
    <col min="15864" max="15864" width="16.28515625" style="23" bestFit="1" customWidth="1"/>
    <col min="15865" max="15865" width="12.140625" style="23" bestFit="1" customWidth="1"/>
    <col min="15866" max="15868" width="10.85546875" style="23" customWidth="1"/>
    <col min="15869" max="15869" width="9.28515625" style="23" bestFit="1" customWidth="1"/>
    <col min="15870" max="16099" width="9.140625" style="23"/>
    <col min="16100" max="16101" width="54" style="23" customWidth="1"/>
    <col min="16102" max="16102" width="16.7109375" style="23" customWidth="1"/>
    <col min="16103" max="16103" width="11.85546875" style="23" bestFit="1" customWidth="1"/>
    <col min="16104" max="16104" width="9.85546875" style="23" bestFit="1" customWidth="1"/>
    <col min="16105" max="16105" width="10.5703125" style="23" bestFit="1" customWidth="1"/>
    <col min="16106" max="16108" width="13.42578125" style="23" customWidth="1"/>
    <col min="16109" max="16109" width="19.140625" style="23" customWidth="1"/>
    <col min="16110" max="16110" width="13.42578125" style="23" customWidth="1"/>
    <col min="16111" max="16111" width="19.85546875" style="23" customWidth="1"/>
    <col min="16112" max="16112" width="16" style="23" customWidth="1"/>
    <col min="16113" max="16113" width="24.28515625" style="23" customWidth="1"/>
    <col min="16114" max="16119" width="10.85546875" style="23" customWidth="1"/>
    <col min="16120" max="16120" width="16.28515625" style="23" bestFit="1" customWidth="1"/>
    <col min="16121" max="16121" width="12.140625" style="23" bestFit="1" customWidth="1"/>
    <col min="16122" max="16124" width="10.85546875" style="23" customWidth="1"/>
    <col min="16125" max="16125" width="9.28515625" style="23" bestFit="1" customWidth="1"/>
    <col min="16126" max="16384" width="9.140625" style="23"/>
  </cols>
  <sheetData>
    <row r="1" spans="1:13" ht="91.5" customHeight="1" x14ac:dyDescent="0.2">
      <c r="A1" s="313" t="s">
        <v>2449</v>
      </c>
      <c r="B1" s="314"/>
      <c r="C1" s="314"/>
      <c r="D1" s="314"/>
      <c r="E1" s="315"/>
      <c r="F1" s="312" t="s">
        <v>0</v>
      </c>
      <c r="G1" s="312"/>
      <c r="H1" s="303" t="s">
        <v>1</v>
      </c>
      <c r="I1" s="303"/>
      <c r="J1" s="303" t="s">
        <v>2</v>
      </c>
      <c r="K1" s="303"/>
      <c r="L1" s="304" t="s">
        <v>16</v>
      </c>
      <c r="M1" s="301" t="s">
        <v>3</v>
      </c>
    </row>
    <row r="2" spans="1:13" ht="36.75" customHeight="1" thickBot="1" x14ac:dyDescent="0.25">
      <c r="A2" s="24" t="s">
        <v>39</v>
      </c>
      <c r="B2" s="25" t="s">
        <v>40</v>
      </c>
      <c r="C2" s="316" t="s">
        <v>4</v>
      </c>
      <c r="D2" s="317"/>
      <c r="E2" s="318"/>
      <c r="F2" s="26" t="s">
        <v>5</v>
      </c>
      <c r="G2" s="27" t="s">
        <v>6</v>
      </c>
      <c r="H2" s="28" t="s">
        <v>14</v>
      </c>
      <c r="I2" s="25" t="s">
        <v>7</v>
      </c>
      <c r="J2" s="28" t="s">
        <v>15</v>
      </c>
      <c r="K2" s="25" t="s">
        <v>8</v>
      </c>
      <c r="L2" s="305"/>
      <c r="M2" s="302"/>
    </row>
    <row r="3" spans="1:13" ht="37.5" customHeight="1" thickTop="1" thickBot="1" x14ac:dyDescent="0.25">
      <c r="A3" s="29"/>
      <c r="B3" s="30" t="s">
        <v>362</v>
      </c>
      <c r="C3" s="272" t="s">
        <v>2450</v>
      </c>
      <c r="D3" s="273"/>
      <c r="E3" s="273"/>
      <c r="F3" s="31"/>
      <c r="G3" s="32"/>
      <c r="H3" s="33"/>
      <c r="I3" s="34">
        <f>+I4</f>
        <v>0</v>
      </c>
      <c r="J3" s="33"/>
      <c r="K3" s="34">
        <f>+K4</f>
        <v>0</v>
      </c>
      <c r="L3" s="35"/>
      <c r="M3" s="34">
        <f>+M4</f>
        <v>0</v>
      </c>
    </row>
    <row r="4" spans="1:13" ht="62.25" customHeight="1" thickTop="1" x14ac:dyDescent="0.2">
      <c r="A4" s="36"/>
      <c r="B4" s="37" t="s">
        <v>41</v>
      </c>
      <c r="C4" s="276" t="s">
        <v>2451</v>
      </c>
      <c r="D4" s="277"/>
      <c r="E4" s="278"/>
      <c r="F4" s="41" t="s">
        <v>2445</v>
      </c>
      <c r="G4" s="42">
        <v>1</v>
      </c>
      <c r="H4" s="1"/>
      <c r="I4" s="43">
        <f t="shared" ref="I4" si="0">+H4*G4</f>
        <v>0</v>
      </c>
      <c r="J4" s="1"/>
      <c r="K4" s="43">
        <f t="shared" ref="K4" si="1">+J4*G4</f>
        <v>0</v>
      </c>
      <c r="L4" s="44">
        <f t="shared" ref="L4" si="2">+H4+J4</f>
        <v>0</v>
      </c>
      <c r="M4" s="43">
        <f t="shared" ref="M4" si="3">L4*G4</f>
        <v>0</v>
      </c>
    </row>
    <row r="5" spans="1:13" ht="15" thickBot="1" x14ac:dyDescent="0.25">
      <c r="A5" s="45"/>
      <c r="B5" s="45"/>
      <c r="C5" s="46"/>
      <c r="D5" s="46"/>
      <c r="E5" s="47"/>
      <c r="F5" s="48"/>
      <c r="G5" s="49"/>
      <c r="H5" s="50"/>
      <c r="I5" s="50"/>
      <c r="J5" s="50"/>
      <c r="K5" s="50"/>
      <c r="L5" s="50"/>
      <c r="M5" s="51"/>
    </row>
    <row r="6" spans="1:13" ht="30" customHeight="1" thickTop="1" x14ac:dyDescent="0.2">
      <c r="F6" s="255" t="s">
        <v>2383</v>
      </c>
      <c r="G6" s="256"/>
      <c r="H6" s="256"/>
      <c r="I6" s="257"/>
      <c r="J6" s="251" t="s">
        <v>1</v>
      </c>
      <c r="K6" s="251"/>
      <c r="L6" s="252">
        <f>+I3</f>
        <v>0</v>
      </c>
      <c r="M6" s="252"/>
    </row>
    <row r="7" spans="1:13" ht="30" customHeight="1" x14ac:dyDescent="0.2">
      <c r="F7" s="258"/>
      <c r="G7" s="259"/>
      <c r="H7" s="259"/>
      <c r="I7" s="260"/>
      <c r="J7" s="251" t="s">
        <v>2</v>
      </c>
      <c r="K7" s="251"/>
      <c r="L7" s="252">
        <f>+K3</f>
        <v>0</v>
      </c>
      <c r="M7" s="252"/>
    </row>
    <row r="8" spans="1:13" ht="38.25" customHeight="1" thickBot="1" x14ac:dyDescent="0.25">
      <c r="F8" s="261"/>
      <c r="G8" s="262"/>
      <c r="H8" s="262"/>
      <c r="I8" s="263"/>
      <c r="J8" s="253" t="s">
        <v>13</v>
      </c>
      <c r="K8" s="253"/>
      <c r="L8" s="254">
        <f>+L6+L7</f>
        <v>0</v>
      </c>
      <c r="M8" s="254"/>
    </row>
    <row r="9" spans="1:13" ht="13.5" thickTop="1" x14ac:dyDescent="0.2"/>
  </sheetData>
  <sheetProtection algorithmName="SHA-512" hashValue="6wv648JnwMyTZwaNZXW40cxyhc1i3J9r00HAt6th1D2CLE7RJzApVJXBZ8ZzpU/2MjyBPx9UwVgKKVG3Q+xFdg==" saltValue="W7+qGd5X7UYqcKNu4ZbB0w==" spinCount="100000" sheet="1" selectLockedCells="1"/>
  <mergeCells count="16">
    <mergeCell ref="C3:E3"/>
    <mergeCell ref="C4:E4"/>
    <mergeCell ref="F6:I8"/>
    <mergeCell ref="J6:K6"/>
    <mergeCell ref="L6:M6"/>
    <mergeCell ref="J7:K7"/>
    <mergeCell ref="L7:M7"/>
    <mergeCell ref="J8:K8"/>
    <mergeCell ref="L8:M8"/>
    <mergeCell ref="M1:M2"/>
    <mergeCell ref="C2:E2"/>
    <mergeCell ref="A1:E1"/>
    <mergeCell ref="F1:G1"/>
    <mergeCell ref="H1:I1"/>
    <mergeCell ref="J1:K1"/>
    <mergeCell ref="L1:L2"/>
  </mergeCells>
  <pageMargins left="0.70866141732283472" right="0.70866141732283472" top="0.74803149606299213" bottom="0.74803149606299213" header="0.31496062992125984" footer="0.31496062992125984"/>
  <pageSetup paperSize="9" scale="49" orientation="landscape"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f94b4f7a-6b1b-4448-87be-4fdc7f0857ae" origin="userSelected"/>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mOTRiNGY3YS02YjFiLTQ0NDgtODdiZS00ZmRjN2YwODU3YWUiIG9yaWdpbj0idXNlclNlbGVjdGVkIiAvPjxVc2VyTmFtZT5IQUJBU0RPTVx6ZWxhbG08L1VzZXJOYW1lPjxEYXRlVGltZT4yOC4wMi4yMDIzIDA4OjAyOjEwPC9EYXRlVGltZT48TGFiZWxTdHJpbmc+Tm8gTWFya2luZzwvTGFiZWxTdHJpbmc+PC9pdGVtPjwvbGFiZWxIaXN0b3J5Pg==</Value>
</WrappedLabelHistory>
</file>

<file path=customXml/itemProps1.xml><?xml version="1.0" encoding="utf-8"?>
<ds:datastoreItem xmlns:ds="http://schemas.openxmlformats.org/officeDocument/2006/customXml" ds:itemID="{79E794B6-6F7F-4408-A1A9-0854A5C3F516}">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9C45D420-87B5-4B4D-A625-AB078CEEF14D}">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7</vt:i4>
      </vt:variant>
      <vt:variant>
        <vt:lpstr>Adlandırılmış Aralıklar</vt:lpstr>
      </vt:variant>
      <vt:variant>
        <vt:i4>5</vt:i4>
      </vt:variant>
    </vt:vector>
  </HeadingPairs>
  <TitlesOfParts>
    <vt:vector size="12" baseType="lpstr">
      <vt:lpstr>İCMAL</vt:lpstr>
      <vt:lpstr>İnşai işler BİNA</vt:lpstr>
      <vt:lpstr>İnşai işler SAHA</vt:lpstr>
      <vt:lpstr>Mekanik</vt:lpstr>
      <vt:lpstr>Elektrik</vt:lpstr>
      <vt:lpstr>Enerji temini</vt:lpstr>
      <vt:lpstr>Asansör</vt:lpstr>
      <vt:lpstr>Elektrik!Yazdırma_Alanı</vt:lpstr>
      <vt:lpstr>İCMAL!Yazdırma_Alanı</vt:lpstr>
      <vt:lpstr>'İnşai işler BİNA'!Yazdırma_Alanı</vt:lpstr>
      <vt:lpstr>'İnşai işler SAHA'!Yazdırma_Alanı</vt:lpstr>
      <vt:lpstr>Mekanik!Yazdırma_Alanı</vt:lpstr>
    </vt:vector>
  </TitlesOfParts>
  <Company>FIRMA-ANONIM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ANONIM</dc:creator>
  <cp:lastModifiedBy>ANONIM</cp:lastModifiedBy>
  <cp:lastPrinted>2025-12-08T08:29:18Z</cp:lastPrinted>
  <dcterms:created xsi:type="dcterms:W3CDTF">2022-08-27T09:17:46Z</dcterms:created>
  <dcterms:modified xsi:type="dcterms:W3CDTF">2026-02-25T14:50:00Z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a49b22b8-9972-4ea3-84b1-6f4fd175d8c3</vt:lpwstr>
  </property>
  <property fmtid="{D5CDD505-2E9C-101B-9397-08002B2CF9AE}" pid="3" name="bjDocumentSecurityLabel">
    <vt:lpwstr>No Marking</vt:lpwstr>
  </property>
  <property fmtid="{D5CDD505-2E9C-101B-9397-08002B2CF9AE}" pid="4" name="bjClsUserRVM">
    <vt:lpwstr>[]</vt:lpwstr>
  </property>
  <property fmtid="{D5CDD505-2E9C-101B-9397-08002B2CF9AE}" pid="5" name="bjSaver">
    <vt:lpwstr>030zop/N8J62J8Z8ZX8UXPEMTMRt7Nd6</vt:lpwstr>
  </property>
  <property fmtid="{D5CDD505-2E9C-101B-9397-08002B2CF9AE}" pid="6" name="bjLabelHistoryID">
    <vt:lpwstr>{9C45D420-87B5-4B4D-A625-AB078CEEF14D}</vt:lpwstr>
  </property>
</Properties>
</file>