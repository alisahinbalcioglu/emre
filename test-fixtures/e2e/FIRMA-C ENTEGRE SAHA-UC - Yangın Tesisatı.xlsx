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080" yWindow="0" windowWidth="20730" windowHeight="11760" tabRatio="942" firstSheet="2" activeTab="8"/>
  </bookViews>
  <sheets>
    <sheet name="İcmal" sheetId="8" r:id="rId1"/>
    <sheet name="Yangın.Pompa.Odası" sheetId="1" r:id="rId2"/>
    <sheet name="Hidrant.Sistemi" sheetId="5" r:id="rId3"/>
    <sheet name="Pres2-3 Çelik Kule" sheetId="15" r:id="rId4"/>
    <sheet name="Trafo.Su.Püskürtme" sheetId="2" r:id="rId5"/>
    <sheet name="Sprinkler.Sistemi" sheetId="3" r:id="rId6"/>
    <sheet name="Konveyör.Sprink" sheetId="13" r:id="rId7"/>
    <sheet name="Toz.Ambarı" sheetId="11" r:id="rId8"/>
    <sheet name="Pompa.Odası.Sprink" sheetId="12" r:id="rId9"/>
    <sheet name="Otomatik.Köpüklü" sheetId="4" r:id="rId10"/>
    <sheet name="Yangın.Durdurucu" sheetId="14" r:id="rId11"/>
  </sheets>
  <externalReferences>
    <externalReference r:id="rId12"/>
  </externalReferences>
  <definedNames>
    <definedName name="_xlnm._FilterDatabase" localSheetId="5" hidden="1">Sprinkler.Sistemi!$B$7:$G$77</definedName>
    <definedName name="ABD_271125">#REF!</definedName>
    <definedName name="AD_271125">#REF!</definedName>
    <definedName name="ATEKSİS_061225">#REF!</definedName>
    <definedName name="AVRP_271125">#REF!</definedName>
    <definedName name="BAKİ_031225">#REF!</definedName>
    <definedName name="BORUSANDİŞ_031225">#REF!</definedName>
    <definedName name="BORUSANYİV_031225">#REF!</definedName>
    <definedName name="BOYA_031225">#REF!</definedName>
    <definedName name="BURİNOKS_031225">#REF!</definedName>
    <definedName name="CLAVAL_031225">#REF!</definedName>
    <definedName name="FETAŞ_031225">#REF!</definedName>
    <definedName name="GALVDİŞFİT_031225">#REF!</definedName>
    <definedName name="GALVFİT_031225">#REF!</definedName>
    <definedName name="HAKAN_031225">#REF!</definedName>
    <definedName name="HDPEFİT_031225">#REF!</definedName>
    <definedName name="İGG_271125">#REF!</definedName>
    <definedName name="İŞÇL_271125">#REF!</definedName>
    <definedName name="KAYSE_051225">#REF!</definedName>
    <definedName name="KOLLEKTÖR_031225">#REF!</definedName>
    <definedName name="KONSOL_031225">#REF!</definedName>
    <definedName name="LİNK_051225">#REF!</definedName>
    <definedName name="MGG_271125">#REF!</definedName>
    <definedName name="PASLFİT_031225">#REF!</definedName>
    <definedName name="PATTERSON_031225">#REF!</definedName>
    <definedName name="PLT_031225">#REF!</definedName>
    <definedName name="SİYAHDİŞFİT_031225">#REF!</definedName>
    <definedName name="SİYAHYİVFİT_031225">#REF!</definedName>
    <definedName name="TYCO_031225">#REF!</definedName>
    <definedName name="VİCTAULİC_031225">#REF!</definedName>
    <definedName name="VİKİNG_260126">[1]Degişken!$E$30</definedName>
    <definedName name="WİKİNG_031225">#REF!</definedName>
    <definedName name="_xlnm.Print_Area" localSheetId="2">Hidrant.Sistemi!$A$1:$H$151</definedName>
    <definedName name="_xlnm.Print_Area" localSheetId="0">İcmal!$A$1:$F$35</definedName>
    <definedName name="_xlnm.Print_Area" localSheetId="6">Konveyör.Sprink!$A$1:$I$284</definedName>
    <definedName name="_xlnm.Print_Area" localSheetId="9">Otomatik.Köpüklü!$A$1:$H$735</definedName>
    <definedName name="_xlnm.Print_Area" localSheetId="8">Pompa.Odası.Sprink!$A$1:$I$20</definedName>
    <definedName name="_xlnm.Print_Area" localSheetId="5">Sprinkler.Sistemi!$A$1:$H$78</definedName>
    <definedName name="_xlnm.Print_Area" localSheetId="7">Toz.Ambarı!$A$1:$H$71</definedName>
    <definedName name="_xlnm.Print_Area" localSheetId="4">Trafo.Su.Püskürtme!$A$1:$H$176</definedName>
    <definedName name="_xlnm.Print_Area" localSheetId="10">Yangın.Durdurucu!$A$1:$I$16</definedName>
    <definedName name="_xlnm.Print_Area" localSheetId="1">Yangın.Pompa.Odası!$A$1:$H$244</definedName>
    <definedName name="YRL_271125">#REF!</definedName>
    <definedName name="ZEKA_031225">#REF!</definedName>
    <definedName name="ZETTLER_031225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8" l="1"/>
  <c r="H16" i="14"/>
  <c r="H11" i="14"/>
  <c r="H12" i="14"/>
  <c r="H13" i="14"/>
  <c r="H14" i="14"/>
  <c r="H15" i="14"/>
  <c r="H10" i="14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H261" i="13"/>
  <c r="H260" i="13"/>
  <c r="H257" i="13"/>
  <c r="H276" i="13"/>
  <c r="H275" i="13"/>
  <c r="H274" i="13"/>
  <c r="H279" i="13"/>
  <c r="H278" i="13"/>
  <c r="H277" i="13"/>
  <c r="H265" i="13"/>
  <c r="H282" i="13"/>
  <c r="H281" i="13"/>
  <c r="H280" i="13"/>
  <c r="H283" i="13"/>
  <c r="H273" i="13"/>
  <c r="H272" i="13"/>
  <c r="H271" i="13"/>
  <c r="H270" i="13"/>
  <c r="H269" i="13"/>
  <c r="H268" i="13"/>
  <c r="H267" i="13"/>
  <c r="H266" i="13"/>
  <c r="H264" i="13"/>
  <c r="H263" i="13"/>
  <c r="H262" i="13"/>
  <c r="H259" i="13"/>
  <c r="H258" i="13"/>
  <c r="H256" i="13"/>
  <c r="H255" i="13"/>
  <c r="G135" i="5"/>
  <c r="G132" i="5"/>
  <c r="G118" i="5"/>
  <c r="G116" i="5"/>
  <c r="G114" i="5"/>
  <c r="G107" i="5"/>
  <c r="G98" i="5"/>
  <c r="G89" i="5"/>
  <c r="G80" i="5"/>
  <c r="G76" i="5"/>
  <c r="G67" i="5"/>
  <c r="G58" i="5"/>
  <c r="G50" i="5"/>
  <c r="G42" i="5"/>
  <c r="G31" i="5"/>
  <c r="G24" i="5"/>
  <c r="G12" i="5"/>
  <c r="G10" i="5"/>
  <c r="G150" i="5" s="1"/>
  <c r="E13" i="8" s="1"/>
  <c r="F17" i="15" l="1"/>
  <c r="E14" i="8" s="1"/>
  <c r="H253" i="13" l="1"/>
  <c r="H236" i="13"/>
  <c r="H216" i="13"/>
  <c r="H196" i="13"/>
  <c r="H179" i="13"/>
  <c r="H159" i="13"/>
  <c r="H139" i="13"/>
  <c r="H99" i="13"/>
  <c r="H83" i="13"/>
  <c r="H46" i="13"/>
  <c r="H119" i="13" l="1"/>
  <c r="H64" i="13"/>
  <c r="G72" i="3" l="1"/>
  <c r="G49" i="3"/>
  <c r="G26" i="3"/>
  <c r="H42" i="13" l="1"/>
  <c r="H210" i="13"/>
  <c r="H171" i="13"/>
  <c r="H132" i="13"/>
  <c r="H35" i="13"/>
  <c r="H152" i="13" l="1"/>
  <c r="H95" i="13"/>
  <c r="H90" i="13"/>
  <c r="H148" i="13"/>
  <c r="H246" i="13"/>
  <c r="H62" i="13"/>
  <c r="H20" i="13"/>
  <c r="H154" i="13"/>
  <c r="H161" i="13"/>
  <c r="H129" i="13"/>
  <c r="H186" i="13"/>
  <c r="H174" i="13"/>
  <c r="H173" i="13"/>
  <c r="H164" i="13"/>
  <c r="H136" i="13"/>
  <c r="H118" i="13"/>
  <c r="H114" i="13"/>
  <c r="H52" i="13"/>
  <c r="H38" i="13"/>
  <c r="H32" i="13"/>
  <c r="H23" i="13"/>
  <c r="H193" i="13"/>
  <c r="H204" i="13"/>
  <c r="H116" i="13"/>
  <c r="H58" i="13"/>
  <c r="H123" i="13"/>
  <c r="H201" i="13"/>
  <c r="H208" i="13"/>
  <c r="H202" i="13"/>
  <c r="H75" i="13"/>
  <c r="H178" i="13"/>
  <c r="H145" i="13"/>
  <c r="H85" i="13"/>
  <c r="H183" i="13"/>
  <c r="H69" i="13" l="1"/>
  <c r="H235" i="13"/>
  <c r="H242" i="13"/>
  <c r="H223" i="13"/>
  <c r="H207" i="13"/>
  <c r="H203" i="13"/>
  <c r="H194" i="13"/>
  <c r="H176" i="13"/>
  <c r="H170" i="13"/>
  <c r="H141" i="13"/>
  <c r="H126" i="13"/>
  <c r="H128" i="13"/>
  <c r="H92" i="13"/>
  <c r="H96" i="13"/>
  <c r="H79" i="13"/>
  <c r="H66" i="13"/>
  <c r="H73" i="13"/>
  <c r="H48" i="13"/>
  <c r="H50" i="13"/>
  <c r="H45" i="13"/>
  <c r="H14" i="13"/>
  <c r="H138" i="13"/>
  <c r="H18" i="13"/>
  <c r="H199" i="13"/>
  <c r="H57" i="13"/>
  <c r="H238" i="13"/>
  <c r="H182" i="13"/>
  <c r="H133" i="13"/>
  <c r="H88" i="13"/>
  <c r="H130" i="13"/>
  <c r="H200" i="13"/>
  <c r="H229" i="13"/>
  <c r="H226" i="13"/>
  <c r="H106" i="13"/>
  <c r="H70" i="13"/>
  <c r="H72" i="13"/>
  <c r="H110" i="13"/>
  <c r="H149" i="13"/>
  <c r="H87" i="13"/>
  <c r="H168" i="13"/>
  <c r="H249" i="13"/>
  <c r="H181" i="13"/>
  <c r="H227" i="13"/>
  <c r="H231" i="13"/>
  <c r="H233" i="13"/>
  <c r="H198" i="13"/>
  <c r="H156" i="13"/>
  <c r="H134" i="13"/>
  <c r="H147" i="13"/>
  <c r="H144" i="13"/>
  <c r="H105" i="13"/>
  <c r="H61" i="13"/>
  <c r="H218" i="13"/>
  <c r="H240" i="13"/>
  <c r="H189" i="13"/>
  <c r="H158" i="13"/>
  <c r="H151" i="13"/>
  <c r="H63" i="13"/>
  <c r="H37" i="13"/>
  <c r="H15" i="12"/>
  <c r="H103" i="13" l="1"/>
  <c r="H214" i="13"/>
  <c r="H150" i="13"/>
  <c r="H109" i="13"/>
  <c r="H107" i="13"/>
  <c r="H94" i="13"/>
  <c r="H89" i="13"/>
  <c r="H78" i="13"/>
  <c r="H74" i="13"/>
  <c r="H13" i="13"/>
  <c r="H26" i="13"/>
  <c r="H49" i="13"/>
  <c r="H98" i="13"/>
  <c r="H36" i="13"/>
  <c r="H19" i="13"/>
  <c r="H31" i="13"/>
  <c r="H248" i="13"/>
  <c r="H34" i="13"/>
  <c r="H225" i="13"/>
  <c r="H195" i="13"/>
  <c r="H16" i="13"/>
  <c r="H215" i="13"/>
  <c r="H146" i="13"/>
  <c r="H28" i="13"/>
  <c r="H175" i="13"/>
  <c r="H40" i="13"/>
  <c r="H91" i="13"/>
  <c r="H12" i="13"/>
  <c r="H125" i="13"/>
  <c r="H76" i="13"/>
  <c r="H219" i="13"/>
  <c r="H142" i="13"/>
  <c r="H241" i="13"/>
  <c r="H212" i="13"/>
  <c r="H108" i="13"/>
  <c r="H220" i="13"/>
  <c r="H43" i="13"/>
  <c r="H228" i="13"/>
  <c r="H77" i="13"/>
  <c r="H251" i="13"/>
  <c r="H177" i="13"/>
  <c r="H68" i="13"/>
  <c r="H157" i="13"/>
  <c r="H191" i="13"/>
  <c r="H245" i="13"/>
  <c r="H33" i="13"/>
  <c r="H127" i="13"/>
  <c r="H167" i="13"/>
  <c r="H247" i="13"/>
  <c r="H222" i="13"/>
  <c r="H55" i="13"/>
  <c r="H53" i="13"/>
  <c r="H234" i="13"/>
  <c r="H187" i="13"/>
  <c r="H172" i="13"/>
  <c r="H165" i="13"/>
  <c r="H30" i="13"/>
  <c r="H122" i="13"/>
  <c r="H169" i="13"/>
  <c r="H155" i="13"/>
  <c r="H39" i="13"/>
  <c r="H93" i="13"/>
  <c r="H213" i="13"/>
  <c r="H211" i="13"/>
  <c r="H97" i="13"/>
  <c r="H56" i="13"/>
  <c r="H166" i="13"/>
  <c r="H163" i="13"/>
  <c r="H221" i="13"/>
  <c r="H82" i="13"/>
  <c r="H44" i="13"/>
  <c r="H41" i="13"/>
  <c r="H51" i="13"/>
  <c r="H67" i="13"/>
  <c r="H22" i="13"/>
  <c r="H80" i="13"/>
  <c r="H239" i="13"/>
  <c r="H206" i="13"/>
  <c r="H86" i="13"/>
  <c r="H224" i="13"/>
  <c r="H137" i="13"/>
  <c r="H192" i="13"/>
  <c r="H131" i="13"/>
  <c r="H112" i="13"/>
  <c r="H252" i="13"/>
  <c r="H17" i="13"/>
  <c r="H113" i="13"/>
  <c r="H124" i="13"/>
  <c r="H21" i="13"/>
  <c r="H54" i="13"/>
  <c r="H205" i="13"/>
  <c r="H185" i="13"/>
  <c r="H81" i="13"/>
  <c r="H101" i="13"/>
  <c r="H59" i="13"/>
  <c r="H29" i="13"/>
  <c r="H250" i="13"/>
  <c r="H230" i="13"/>
  <c r="H209" i="13"/>
  <c r="H153" i="13"/>
  <c r="H24" i="13"/>
  <c r="H15" i="13"/>
  <c r="H121" i="13"/>
  <c r="H60" i="13"/>
  <c r="H104" i="13"/>
  <c r="H162" i="13"/>
  <c r="H71" i="13"/>
  <c r="H117" i="13"/>
  <c r="H244" i="13"/>
  <c r="H111" i="13"/>
  <c r="H102" i="13"/>
  <c r="H188" i="13"/>
  <c r="H135" i="13"/>
  <c r="H184" i="13"/>
  <c r="H25" i="13"/>
  <c r="H190" i="13"/>
  <c r="H243" i="13"/>
  <c r="H232" i="13"/>
  <c r="H143" i="13"/>
  <c r="H115" i="13"/>
  <c r="H11" i="13"/>
  <c r="H17" i="12"/>
  <c r="H13" i="12"/>
  <c r="H12" i="12"/>
  <c r="H14" i="12"/>
  <c r="H18" i="12"/>
  <c r="H16" i="12"/>
  <c r="H19" i="12"/>
  <c r="H11" i="12"/>
  <c r="H10" i="12"/>
  <c r="G64" i="11"/>
  <c r="G57" i="11"/>
  <c r="G50" i="11"/>
  <c r="G47" i="11"/>
  <c r="G39" i="11"/>
  <c r="G21" i="11"/>
  <c r="G19" i="11"/>
  <c r="G10" i="11"/>
  <c r="H20" i="12" l="1"/>
  <c r="E19" i="8" s="1"/>
  <c r="G71" i="11"/>
  <c r="E18" i="8" s="1"/>
  <c r="H284" i="13"/>
  <c r="E17" i="8" s="1"/>
  <c r="G534" i="4"/>
  <c r="G132" i="4"/>
  <c r="G141" i="4"/>
  <c r="G116" i="4"/>
  <c r="G108" i="4"/>
  <c r="G92" i="4"/>
  <c r="G168" i="1"/>
  <c r="G80" i="1" l="1"/>
  <c r="G706" i="4" l="1"/>
  <c r="G227" i="1" l="1"/>
  <c r="G10" i="1" l="1"/>
  <c r="G105" i="1" l="1"/>
  <c r="G69" i="1"/>
  <c r="G47" i="1"/>
  <c r="G13" i="3" l="1"/>
  <c r="G304" i="4"/>
  <c r="G75" i="1"/>
  <c r="G133" i="1"/>
  <c r="G218" i="1"/>
  <c r="G33" i="1"/>
  <c r="G61" i="1"/>
  <c r="G111" i="1"/>
  <c r="G174" i="1"/>
  <c r="G157" i="1"/>
  <c r="G165" i="1"/>
  <c r="G91" i="1"/>
  <c r="G102" i="1"/>
  <c r="G119" i="1"/>
  <c r="G183" i="1"/>
  <c r="G198" i="1"/>
  <c r="G704" i="4"/>
  <c r="G72" i="1"/>
  <c r="G126" i="1"/>
  <c r="G502" i="4"/>
  <c r="G40" i="1"/>
  <c r="G141" i="1"/>
  <c r="G203" i="1"/>
  <c r="G171" i="1"/>
  <c r="G58" i="1"/>
  <c r="G208" i="1"/>
  <c r="G150" i="1"/>
  <c r="G187" i="1"/>
  <c r="G26" i="1"/>
  <c r="G211" i="1"/>
  <c r="G610" i="4"/>
  <c r="G561" i="4"/>
  <c r="G438" i="4"/>
  <c r="G336" i="4"/>
  <c r="G317" i="4"/>
  <c r="G308" i="4"/>
  <c r="G285" i="4"/>
  <c r="G74" i="3"/>
  <c r="G68" i="3"/>
  <c r="G67" i="3"/>
  <c r="G63" i="3"/>
  <c r="G65" i="3"/>
  <c r="G61" i="3"/>
  <c r="G54" i="3"/>
  <c r="G48" i="3"/>
  <c r="G47" i="3"/>
  <c r="G43" i="3"/>
  <c r="G39" i="3"/>
  <c r="G37" i="3"/>
  <c r="G27" i="3"/>
  <c r="G25" i="3"/>
  <c r="G22" i="3"/>
  <c r="G20" i="3"/>
  <c r="G18" i="3"/>
  <c r="G17" i="3"/>
  <c r="G168" i="2"/>
  <c r="G160" i="2"/>
  <c r="G151" i="2"/>
  <c r="G116" i="2"/>
  <c r="G244" i="1" l="1"/>
  <c r="E12" i="8" s="1"/>
  <c r="G369" i="4"/>
  <c r="G147" i="1"/>
  <c r="G693" i="4"/>
  <c r="G685" i="4"/>
  <c r="G675" i="4"/>
  <c r="G669" i="4"/>
  <c r="G660" i="4"/>
  <c r="G646" i="4"/>
  <c r="G640" i="4"/>
  <c r="G633" i="4"/>
  <c r="G623" i="4"/>
  <c r="G613" i="4"/>
  <c r="G607" i="4"/>
  <c r="G604" i="4"/>
  <c r="G592" i="4"/>
  <c r="G581" i="4"/>
  <c r="G571" i="4"/>
  <c r="G548" i="4"/>
  <c r="G542" i="4"/>
  <c r="G514" i="4"/>
  <c r="G505" i="4"/>
  <c r="G491" i="4"/>
  <c r="G483" i="4"/>
  <c r="G473" i="4"/>
  <c r="G467" i="4"/>
  <c r="G458" i="4"/>
  <c r="G444" i="4"/>
  <c r="G431" i="4"/>
  <c r="G421" i="4"/>
  <c r="G411" i="4"/>
  <c r="G408" i="4"/>
  <c r="G405" i="4"/>
  <c r="G402" i="4"/>
  <c r="G390" i="4"/>
  <c r="G379" i="4"/>
  <c r="G359" i="4"/>
  <c r="G346" i="4"/>
  <c r="G293" i="4"/>
  <c r="G275" i="4"/>
  <c r="G269" i="4"/>
  <c r="G260" i="4"/>
  <c r="G246" i="4"/>
  <c r="G240" i="4"/>
  <c r="G233" i="4"/>
  <c r="G222" i="4"/>
  <c r="G212" i="4"/>
  <c r="G209" i="4"/>
  <c r="G206" i="4"/>
  <c r="G203" i="4"/>
  <c r="G200" i="4"/>
  <c r="G192" i="4"/>
  <c r="G180" i="4"/>
  <c r="G169" i="4"/>
  <c r="G159" i="4"/>
  <c r="G150" i="4"/>
  <c r="G124" i="4"/>
  <c r="G105" i="4"/>
  <c r="G102" i="4"/>
  <c r="G79" i="4"/>
  <c r="G76" i="4"/>
  <c r="G73" i="4"/>
  <c r="G63" i="4"/>
  <c r="G43" i="4"/>
  <c r="G39" i="4"/>
  <c r="G19" i="4"/>
  <c r="G10" i="4"/>
  <c r="G735" i="4" s="1"/>
  <c r="E20" i="8" s="1"/>
  <c r="G77" i="3"/>
  <c r="G76" i="3"/>
  <c r="G75" i="3"/>
  <c r="G73" i="3"/>
  <c r="G71" i="3"/>
  <c r="G70" i="3"/>
  <c r="G69" i="3"/>
  <c r="G66" i="3"/>
  <c r="G64" i="3"/>
  <c r="G62" i="3"/>
  <c r="G60" i="3"/>
  <c r="G59" i="3"/>
  <c r="G58" i="3"/>
  <c r="G57" i="3"/>
  <c r="G56" i="3"/>
  <c r="G53" i="3"/>
  <c r="G52" i="3"/>
  <c r="G51" i="3"/>
  <c r="G50" i="3"/>
  <c r="G46" i="3"/>
  <c r="G45" i="3"/>
  <c r="G44" i="3"/>
  <c r="G41" i="3"/>
  <c r="G42" i="3"/>
  <c r="G40" i="3"/>
  <c r="G38" i="3"/>
  <c r="G36" i="3"/>
  <c r="G35" i="3"/>
  <c r="G34" i="3"/>
  <c r="G33" i="3"/>
  <c r="G31" i="3"/>
  <c r="G30" i="3"/>
  <c r="G29" i="3"/>
  <c r="G28" i="3"/>
  <c r="G24" i="3"/>
  <c r="G23" i="3"/>
  <c r="G21" i="3"/>
  <c r="G19" i="3"/>
  <c r="G16" i="3"/>
  <c r="G15" i="3"/>
  <c r="G14" i="3"/>
  <c r="G12" i="3"/>
  <c r="G11" i="3"/>
  <c r="G10" i="3"/>
  <c r="G144" i="2"/>
  <c r="G137" i="2"/>
  <c r="G130" i="2"/>
  <c r="G123" i="2"/>
  <c r="G109" i="2"/>
  <c r="G102" i="2"/>
  <c r="G95" i="2"/>
  <c r="G88" i="2"/>
  <c r="G81" i="2"/>
  <c r="G72" i="2"/>
  <c r="G63" i="2"/>
  <c r="G47" i="2"/>
  <c r="G33" i="2"/>
  <c r="G19" i="2"/>
  <c r="G10" i="2"/>
  <c r="G78" i="3" l="1"/>
  <c r="E16" i="8" s="1"/>
  <c r="G176" i="2"/>
  <c r="E15" i="8" s="1"/>
  <c r="E22" i="8" l="1"/>
</calcChain>
</file>

<file path=xl/sharedStrings.xml><?xml version="1.0" encoding="utf-8"?>
<sst xmlns="http://schemas.openxmlformats.org/spreadsheetml/2006/main" count="2639" uniqueCount="766">
  <si>
    <t>No</t>
  </si>
  <si>
    <t>HİDRANT SİSTEMİ</t>
  </si>
  <si>
    <t>Miktar</t>
  </si>
  <si>
    <t>Birim</t>
  </si>
  <si>
    <t>BİRİM FİYAT
MALZEME</t>
  </si>
  <si>
    <t>BİRİM FİYAT
İŞÇİLİK</t>
  </si>
  <si>
    <t>TOPLAM FİYAT
İŞÇİLİK</t>
  </si>
  <si>
    <t>Dizel Motorlu Yangın Pompası</t>
  </si>
  <si>
    <t>Türü : Tek Kademeli, Yatay, Ayrılabilir Gövdeli (Horizontal Split-Case)</t>
  </si>
  <si>
    <t>Motor Dönüş Yönü : Saat Yönünde (Clockwise)</t>
  </si>
  <si>
    <t>Uygunluk : NFPA 20'ye Uygun</t>
  </si>
  <si>
    <t>Gövde : Eksenel Bölünmüş Tip ve Dökme Demir</t>
  </si>
  <si>
    <t>Anma Debisi (Rated Flow) : 2000 gpm</t>
  </si>
  <si>
    <t>Anma Basıncı (Rated Head): 145 psi</t>
  </si>
  <si>
    <t>Kapalı Basma Basıncı : En Fazla 203 psi (Shut-Off Head)</t>
  </si>
  <si>
    <t>Dizel Motor Türü : Yatay Milli</t>
  </si>
  <si>
    <t>Dizel Motor Soğutması : Su Soğutmalı (Basma Hattı Yangın Suyu)</t>
  </si>
  <si>
    <t>Yakıt Deposu : Kapasitesi NFPA 20’ye Uygun, Seviye Göstergeli</t>
  </si>
  <si>
    <t>Yakıt Deposu Nefesliği : Şapkalı Tip, Korozyon Dayanımlı</t>
  </si>
  <si>
    <t>İçindekiler : Yakıt Deposu, Egzoz, 2 Tk. Kuru Tip Akü, Motor Soğutma Hattı,</t>
  </si>
  <si>
    <t>Manometreler, Hava Atma Ventili,</t>
  </si>
  <si>
    <t>Onay : UL Listeli, FM Onaylı, CE Belgeli</t>
  </si>
  <si>
    <t>Üretici : Patterson, Armstrong</t>
  </si>
  <si>
    <t>Türü : Mikroişlemcili</t>
  </si>
  <si>
    <t>Koruma Sınıfı : Tam Kapalı ve Sızdırmaz Koruma (NEMA 4)</t>
  </si>
  <si>
    <t>Güç Beslemesi : 380 VAC/3-Ph//50Hz</t>
  </si>
  <si>
    <t>İçindekiler : Basınç Kumanda Cihazı, Yedek ve Asıl Aküler, Devresi, Otomatik</t>
  </si>
  <si>
    <t>Zaman Saati, Sistem Basıncı Kayıt Cihazı, Test Devresi, Min. Çalışma Süresi Zamanlayıcısı</t>
  </si>
  <si>
    <t>Türü : Dikey Milli, Çok Kademeli</t>
  </si>
  <si>
    <t>Anma Debisi : 20 gpm</t>
  </si>
  <si>
    <t>Anma Basıncı : 155 psi</t>
  </si>
  <si>
    <t>Elektrik Motor : ODP</t>
  </si>
  <si>
    <t>İçindekiler : Emniyet Ventili, Manometreler, Hava Atma Ventili</t>
  </si>
  <si>
    <t>Onay : TSE Onaylı, CE Belgeli</t>
  </si>
  <si>
    <t>Türü : Röleli</t>
  </si>
  <si>
    <t>Gücü : Pompaya Uygun Olarak Seçilmiş</t>
  </si>
  <si>
    <t>İçindekiler : Basınç Kumanda Cihazı, Min. Çalışma Süresi Zamanlayıcısı,</t>
  </si>
  <si>
    <t>Çalışma Süresi Toplayıcısı (Totaliser)</t>
  </si>
  <si>
    <t>Çap : DN 250</t>
  </si>
  <si>
    <t>Vana Türü : Yükselen Milli Sürgülü</t>
  </si>
  <si>
    <t>Bağlantı Türü : Flanşlı</t>
  </si>
  <si>
    <t>Basınç Sınıfı : 175 psi</t>
  </si>
  <si>
    <t>Açılma : Volanlı</t>
  </si>
  <si>
    <t>Malzeme : - Vana Gövdesi : Dökme Demir</t>
  </si>
  <si>
    <t>Aksesuarlar : İzleme Anahtarlı (TKÇY)</t>
  </si>
  <si>
    <t>Üretici : Fivalco, Kennedy, Globe</t>
  </si>
  <si>
    <t>Onay : UL Listeli, FM Onaylı</t>
  </si>
  <si>
    <t>Disk : EPDM Kaplamalı Döküm Demir</t>
  </si>
  <si>
    <t>Yukarıdaki gibi ancak;</t>
  </si>
  <si>
    <t>Giriş – Çıkış : DN 32</t>
  </si>
  <si>
    <t>Giriş – Çıkış : DN 250</t>
  </si>
  <si>
    <t>Tip : Çalparalı (Swing)</t>
  </si>
  <si>
    <t>Bağlantı : Flanşlı</t>
  </si>
  <si>
    <t>Basınç Sınıfı : 300 psi</t>
  </si>
  <si>
    <t>Montaj Biçimi : Dik veya yatay</t>
  </si>
  <si>
    <t>Onaylar : UL Listeli, FM Onaylı</t>
  </si>
  <si>
    <t>Giriş – Çıkış : DN 100</t>
  </si>
  <si>
    <t>Çap : DN 150</t>
  </si>
  <si>
    <t>Bağlantı : Wafer Tip</t>
  </si>
  <si>
    <t>Montaj Biçimi : Dik-Yatay</t>
  </si>
  <si>
    <t>Açılma : Dişli Kutulu El Volanı ile</t>
  </si>
  <si>
    <t>Malzeme : Döküm Demir Gövdeli, Bronz Diskli</t>
  </si>
  <si>
    <t>Gösterge : Konum Gösteren İbreli</t>
  </si>
  <si>
    <t>Aksesuarlar : TKÇY İzleme Anahtarı ve 2 adet Bağlantı Kelepçesi ile</t>
  </si>
  <si>
    <t>Üretici : Fivalco, Nibco, Tyco, Victualic</t>
  </si>
  <si>
    <t>Çap : DN 200</t>
  </si>
  <si>
    <t>Türü : Annubar veya Venturi</t>
  </si>
  <si>
    <t>Giriş – Çıkış : DN 200</t>
  </si>
  <si>
    <t>Gösterge : 0-2500 gpm</t>
  </si>
  <si>
    <t>İşletme Basıncı : En Fazla 20 Bar (300 psi)</t>
  </si>
  <si>
    <t>İşlevi : Yangın Suyu Sistemine İtfaiye Aracıyla Dışarıdan Yangın Suyu</t>
  </si>
  <si>
    <t>Beslemesini Sağlamak</t>
  </si>
  <si>
    <t>Çıkış Bağlantıları : DN 65 x DN 65</t>
  </si>
  <si>
    <t>Arka Bağlantısı : DN 100</t>
  </si>
  <si>
    <t>Aksesuarlar : Çıkış Ağızlarını Koruyucu Kapak, Bronz Duvar Rozeti ve 2 adet - DN</t>
  </si>
  <si>
    <t>65 Storz Adaptörlü</t>
  </si>
  <si>
    <t>İşlevi : Boru İçinde Kalan Suyu Boşaltma</t>
  </si>
  <si>
    <t>Malzeme : - Gövde: Bronz</t>
  </si>
  <si>
    <t>Tip : Otomatik, Yaylı</t>
  </si>
  <si>
    <t>Giriş : DN 15 Dişli</t>
  </si>
  <si>
    <t>Küre: Paslanmaz Çelik veya Pirinç</t>
  </si>
  <si>
    <t>Giriş-Çıkış : DN 25, Dişli</t>
  </si>
  <si>
    <t>Tip : Paslanmaz Çelik Küresel, Tam Geçişli</t>
  </si>
  <si>
    <t>Tahrik : 90, Kollu</t>
  </si>
  <si>
    <t>Aksesuar : Amacını Gösteren İşaret Plakası ve İşaretlemelerle Birlikte</t>
  </si>
  <si>
    <t>Üretici : ECA</t>
  </si>
  <si>
    <t>Onay : TSE</t>
  </si>
  <si>
    <t>İşlevi : Boru Üzerinde Esnek Bağlantı Noktası Oluşturmak,</t>
  </si>
  <si>
    <t>Türü : Esnek (Flexible)</t>
  </si>
  <si>
    <t>Malzeme : Demir Döküm</t>
  </si>
  <si>
    <t>Kelepçe Contası : EPDM (Yangın Kullanımına Uygun)</t>
  </si>
  <si>
    <t>Üretici : Victaulic</t>
  </si>
  <si>
    <t>Gösterge Aralığı : 0-20 Bar Göstergeli</t>
  </si>
  <si>
    <t>Tip : İbreli, Gliserinli Tip</t>
  </si>
  <si>
    <t>Aksesuar : Vana Altı, 3 Yollu Kesme ve Tahliye Vanası ile</t>
  </si>
  <si>
    <t>Bağlantı : Dişli Bağlantılı</t>
  </si>
  <si>
    <t>Onay : TSE Onaylı</t>
  </si>
  <si>
    <t>Destek Malzemesi : Çelik C120 Profil (Ortalama 1 m Uzunluğunda)</t>
  </si>
  <si>
    <t>Sabitleme Malzemesi : M14 U-Vida (U-Bolt)</t>
  </si>
  <si>
    <t>Çap : DN 15</t>
  </si>
  <si>
    <t>Basınç Sınıfı : PN 16</t>
  </si>
  <si>
    <t>Aksesuar : DN 15 Şiber Vana, DN 15 Çek Vana, Fittingsler</t>
  </si>
  <si>
    <t>Standardı : TSE EN 10216-5,</t>
  </si>
  <si>
    <t>Üretici : Borusan</t>
  </si>
  <si>
    <t>Standardı : TS EN 10217-1’e Uygun</t>
  </si>
  <si>
    <t>Yardımcı Malzeme : Boru Sistemi için Gerekli Her Türlü Dirsek, T, Flanş Vb. Dâhil</t>
  </si>
  <si>
    <t>İmalat : Siyah Çelik Üzeri Standartlara Uygun 1 Kat Antipas ve 2 Kat RAL</t>
  </si>
  <si>
    <t>3000 Yağlı boya</t>
  </si>
  <si>
    <t>Üretici : Borusan veya Çayırova</t>
  </si>
  <si>
    <t>Çap : DN 32</t>
  </si>
  <si>
    <t>Çap : DN 300</t>
  </si>
  <si>
    <t>Malzeme : Dikişli Siyah Çelik Boru</t>
  </si>
  <si>
    <t>Uzunluk : 4 m</t>
  </si>
  <si>
    <t>Giriş-Çıkış : 2 x DN250 + 1 x DN32 Flanşlı Giriş – 2 x HDPE315 + 1 x DN100 Flanşlı</t>
  </si>
  <si>
    <t>Çıkış 1 x DN32 (Gider Vanası), 1 x DN25 (Manometre) Kaynaklı Bağlantı</t>
  </si>
  <si>
    <t>Standardı : TS EN 10217-1</t>
  </si>
  <si>
    <t>İmalat : Antipas + 2 Kat Yağlı Boya + Her Türlü Duvara Asma Elemanı ile</t>
  </si>
  <si>
    <t>Boyutlar : 40 cm x 40 cm</t>
  </si>
  <si>
    <t>Malzeme : Sıcak Daldırma Galvaniz Çelik</t>
  </si>
  <si>
    <t>El ile ve dizel pompanın devreye girmesi ile çalışacak şekilde aşağıda belirtilen özelliklere</t>
  </si>
  <si>
    <t>sahip olacaktır.</t>
  </si>
  <si>
    <t>Debi : 2000 m³/h</t>
  </si>
  <si>
    <t>Cihaz Dışı Basınç Kaybı : 50 Pa</t>
  </si>
  <si>
    <t>Malzeme : Galvaniz Çelik Gövde, Alüminyum Döküm Fan</t>
  </si>
  <si>
    <t>Motor : Direk Akuple, 0,15 kW, 220V/1Ph/50Hz</t>
  </si>
  <si>
    <t>Özellikleri : Motor Korumalı, Koruma Kafesi ile</t>
  </si>
  <si>
    <t>Aksesuar : Geri Dönüşsüz (Backdraft) Damperli</t>
  </si>
  <si>
    <t>Marka : Systemair</t>
  </si>
  <si>
    <t>Onay : CE Belgeli</t>
  </si>
  <si>
    <t>Kullanım Yeri : Egzoz Fanı için Taze Hava Sağlamak</t>
  </si>
  <si>
    <t>Malzeme : 1,2 mm Galvaniz Çelik Plaka</t>
  </si>
  <si>
    <t>Boyut : 20 cm x 20 cm</t>
  </si>
  <si>
    <t>Montaj Şekli : Yerden 50 cm Yükseklikte</t>
  </si>
  <si>
    <t>Ortam sıcaklığının 10°C’nin altına düşmesi durumunda alarm bilgisi alınacaktır.</t>
  </si>
  <si>
    <t>Sıcaklık Aralığı : 0, 50 °C</t>
  </si>
  <si>
    <t>Marka : Siemens</t>
  </si>
  <si>
    <t>Pompa odasına çizimlerde belirtildiği şekilde yer süzgeci kurulumlarıyla en az %4 eğimle</t>
  </si>
  <si>
    <t>doğal cazibeyle oda dışına atılması</t>
  </si>
  <si>
    <t>Basınç Sınıfı : PN 10</t>
  </si>
  <si>
    <t>Malzeme : Sfero Döküm</t>
  </si>
  <si>
    <t>Üretici : Doğuş Vana, DKY, Duyar</t>
  </si>
  <si>
    <t>Onaylar : TSE Onaylı, CE Belgeli</t>
  </si>
  <si>
    <t>Standardı : TS 8507’e Uygun</t>
  </si>
  <si>
    <t>Et Kalınlığı : En az 1,2 mm - şeffaf</t>
  </si>
  <si>
    <t>Yardımcı Malzeme : Gösterge gerekli her türlü dirsek, hortum kelepçesi , duvara</t>
  </si>
  <si>
    <t>montaj aparatı, boşaltma vanası vb. dâhil</t>
  </si>
  <si>
    <t>Üretici : Polimer Kauçuk veya Sertsan</t>
  </si>
  <si>
    <t>yapılmalıdır. Galvanizlemeden sonra kesinlikle kaynak işlemi yapılmamalıdır.</t>
  </si>
  <si>
    <t>Her türlü bağlantı elemanları, tesisat malzemeleri,</t>
  </si>
  <si>
    <t>Sabitleme amaçlı imalat ve hazır elemanları,</t>
  </si>
  <si>
    <t>Fittings, kaynak, sızdırmalık malzemeleri,</t>
  </si>
  <si>
    <t>Korozyona karşı koruyucular, tesisat boya işleri,</t>
  </si>
  <si>
    <t>Etiketleme ve işaretlemeleri, montaj kutuları, gider aparatları,</t>
  </si>
  <si>
    <t>Klemens, bağlantı kutusu, kablo ve kablolama işleri metal kondüit,</t>
  </si>
  <si>
    <t>Kablo tavası, kablo giriş çıkış işaretleri,</t>
  </si>
  <si>
    <t>Egzost borulaması, paslanmaz çelik boru ile yakıt tankı besleme-geri dönüş borulaması ve</t>
  </si>
  <si>
    <t>çevre ekipmanları,</t>
  </si>
  <si>
    <t>Havalık borulaması, soğutma suyu borulaması ve gideri,</t>
  </si>
  <si>
    <t>Kalıcı gider borulaması,</t>
  </si>
  <si>
    <t>Beton pompa kaidesi yapımı,</t>
  </si>
  <si>
    <t>İşin tamamlanması için gerekli her türlü tesisat malzemesi, inşai kırma, delme ve onarım işleri,</t>
  </si>
  <si>
    <t>Tekniğine uygun işin yapımı için çalışmalar ve şartname gereklerine göre her türlü</t>
  </si>
  <si>
    <t>mühendislik hizmetleri,</t>
  </si>
  <si>
    <t>İşin gerçekleştirilmesi için her türlü çalışma.</t>
  </si>
  <si>
    <t>Türü : Açık (Open</t>
  </si>
  <si>
    <t>Montaj Biçimi : Açılı veya Yatay</t>
  </si>
  <si>
    <t>Malzeme : Pirinç veya Çelik</t>
  </si>
  <si>
    <t>Püskürtme Yapısı : Konik</t>
  </si>
  <si>
    <t>Bağlantı : ½” NPT</t>
  </si>
  <si>
    <t>Aksesuar : Koruma Kapağı</t>
  </si>
  <si>
    <t>Onay : FM Onaylı</t>
  </si>
  <si>
    <t>Üretici : Reliable, Tyco, Victaulic, Viking</t>
  </si>
  <si>
    <t xml:space="preserve"> Su Sprayi Püskürtme Memesi, (Spray Nozul )  125° </t>
  </si>
  <si>
    <t>Baskın Vana İstasyonu, DN 65</t>
  </si>
  <si>
    <t>Tür : Diyaframlı veya Klapeli</t>
  </si>
  <si>
    <t>Tahrik Şekli : Elektrik Aktivasyonlu veya Elle</t>
  </si>
  <si>
    <t>Tahrik Ünitesi : Yangın Algılama Sistemi</t>
  </si>
  <si>
    <t>Kapanma : Elle Yerinden</t>
  </si>
  <si>
    <t>Tip : Değişken Basınçlı</t>
  </si>
  <si>
    <t>Bağlantı : Giriş – Çıkış Yivli veya Flanşlı Bağlantılı</t>
  </si>
  <si>
    <t>Çapı : DN65</t>
  </si>
  <si>
    <t>Montaj Biçim : Dik</t>
  </si>
  <si>
    <t>- Su Motorlu Gong ve Aksamı, Basınç Anahtarı,</t>
  </si>
  <si>
    <t>Onay : UL Listeli veya FM Onaylı</t>
  </si>
  <si>
    <t>Üretici : Tyco, Victaulic, Viking</t>
  </si>
  <si>
    <t>Aksesuar : Her Türlü Aksamlarıyla (Trim) Birlikte</t>
  </si>
  <si>
    <t>Giriş-Çıkış Manometreleriyle Birlikte</t>
  </si>
  <si>
    <t>Su Motorlu Gong ve Aksamı, Basınç Anahtarı,</t>
  </si>
  <si>
    <t xml:space="preserve"> ad.</t>
  </si>
  <si>
    <t>Çapı : DN80</t>
  </si>
  <si>
    <t>Baskın Vana İstasyonu, DN 80</t>
  </si>
  <si>
    <t>Baskın Vana Dolabı</t>
  </si>
  <si>
    <t>Uygulama Amacı : Baskın Vanasını Dış Etkilerden Korumak</t>
  </si>
  <si>
    <t>Malzeme : En Az 2,5-3 mm Çelik Sacdan İmal</t>
  </si>
  <si>
    <t>Koruma Sınıfı : IP 65 - TSE 3033</t>
  </si>
  <si>
    <t>Hazırlanmış Montaja Hazır</t>
  </si>
  <si>
    <t>İç Tarafta Çelikten İmal Belge Cebi</t>
  </si>
  <si>
    <t>Elektriksel Topraklama Noktası</t>
  </si>
  <si>
    <t>4 Yollu Deprem Koruması İçin Çelik Taşıyıcılı</t>
  </si>
  <si>
    <t>Baskın Vanası Montajı İçin Her Türlü Bağlantı Noktası Hazırlanmış</t>
  </si>
  <si>
    <t>İmalat Çizimleri Hazırlanmış</t>
  </si>
  <si>
    <t>Uzaktan Elle Tahrik Vanası İçin Dışarıda Sabitleme Noktası Bulunan</t>
  </si>
  <si>
    <t>Her Türlü Boru Giriş Çıkışı İçin (Algılama Hattı vb. ) Delikleri Önceden</t>
  </si>
  <si>
    <t>Diğer Özellikler : İzleme MODÜLERİ İÇİN MONTAJ YERİ (50cm en x 20 cm yük.)</t>
  </si>
  <si>
    <t>Elektrostatik Epoksi Polyester Toz Boyalı (RAL 3000, 70 μm</t>
  </si>
  <si>
    <t>Kelebek Vana, DN 65</t>
  </si>
  <si>
    <t>Türü : Yivli veya Wafer</t>
  </si>
  <si>
    <t>Montaj Biçimi : Dik veya Yatay</t>
  </si>
  <si>
    <t>Basınç Sınıfı : En Az 175 psi</t>
  </si>
  <si>
    <t>Aksesuarlar : TKÇY İzleme Anahtarı ve Sıkıştırma Vida Somunlarıyla Birlikte</t>
  </si>
  <si>
    <t>Kelebek Vana, DN 80</t>
  </si>
  <si>
    <t>Dikişli Siyah Çelik Boru DN25</t>
  </si>
  <si>
    <t>Standardı : TSE EN 10255 Orta Seri</t>
  </si>
  <si>
    <t>Yardımcı Malzeme : Boru Sistemi için Gerekli Her Türlü Dirsek, T, Flanş, Kaynak vb.</t>
  </si>
  <si>
    <t>İmalat : Siyah Çelik Üzeri Standartlara Uygun 1 Kat Antipas ve 2 Kat RAL 3000</t>
  </si>
  <si>
    <t>Yağlı Boya</t>
  </si>
  <si>
    <t>İşlevi : Borunun Boruya Bağlanmasını Sağlamak</t>
  </si>
  <si>
    <t>Malzeme : Dökme Demir</t>
  </si>
  <si>
    <t>Üretici : Shurjoint, Victaulic</t>
  </si>
  <si>
    <t>Türü : Sert (Rigid)</t>
  </si>
  <si>
    <t>Kullanım Amacı : Hiçbir Yöne Harekete Müsaade Etmeyen Askı, Borulamayı Sismik</t>
  </si>
  <si>
    <t>Hareketlere Karşı Korumak</t>
  </si>
  <si>
    <t>Sehpa Malzemesi : Galvanize Çelikten İmal</t>
  </si>
  <si>
    <t>Dayanım : En Az 9500 N Çekme Kuvvetine Dayanıklı</t>
  </si>
  <si>
    <t>Aksesuarlar : Ayarlama ve Kontra Somunu, Vida, Somun ve Tüm Montaj</t>
  </si>
  <si>
    <t>Elemanlarıyla</t>
  </si>
  <si>
    <t>Onay : UL Listeli</t>
  </si>
  <si>
    <t>Üretici : Tolco veya Erico</t>
  </si>
  <si>
    <t>Çap : DN 80</t>
  </si>
  <si>
    <t>Giriş-Çıkış : 1xHDPE225 Flanşlı Giriş - 1xDN65 Flanşlı Çıkış</t>
  </si>
  <si>
    <t>İmalat : Antipas + 2 Kat Yağlı Boya + Her Türlü Duvara Asma Elemanıyla</t>
  </si>
  <si>
    <t>Marka : Borusan veya Çayırova</t>
  </si>
  <si>
    <t>Çap : DN 100</t>
  </si>
  <si>
    <r>
      <rPr>
        <b/>
        <sz val="9"/>
        <rFont val="Tahoma"/>
        <family val="2"/>
      </rPr>
      <t>A.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Melamin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Pres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Zımpara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ve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Boya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Hattı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Otomatik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Sprinkler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Sistemi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Kurulumu</t>
    </r>
  </si>
  <si>
    <r>
      <rPr>
        <sz val="9"/>
        <rFont val="Verdana"/>
        <family val="2"/>
      </rPr>
      <t>Otomatik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Sprinkler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Kafası,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(Sarkık,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K=240)</t>
    </r>
  </si>
  <si>
    <r>
      <rPr>
        <sz val="9"/>
        <rFont val="Verdana"/>
        <family val="2"/>
      </rPr>
      <t>Ad.</t>
    </r>
  </si>
  <si>
    <r>
      <rPr>
        <sz val="9"/>
        <rFont val="Verdana"/>
        <family val="2"/>
      </rPr>
      <t>Deneme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ve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Gider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Vanası,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DN32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veya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DN40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K=240</t>
    </r>
  </si>
  <si>
    <r>
      <rPr>
        <sz val="9"/>
        <rFont val="Verdana"/>
        <family val="2"/>
      </rPr>
      <t>Branşman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Kelepçesi,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x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DN65</t>
    </r>
  </si>
  <si>
    <r>
      <rPr>
        <sz val="9"/>
        <rFont val="Verdana"/>
        <family val="2"/>
      </rPr>
      <t>Branşman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Kelepçesi,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DN65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x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DN25</t>
    </r>
  </si>
  <si>
    <r>
      <rPr>
        <sz val="9"/>
        <rFont val="Verdana"/>
        <family val="2"/>
      </rPr>
      <t>Esnek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Yivli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Bağlantı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Kelepçesi,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</si>
  <si>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Sert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Yivli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Bağlantı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Kelepçesi,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</si>
  <si>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Sert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Yivli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Bağlantı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Kelepçesi,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DN65</t>
    </r>
  </si>
  <si>
    <r>
      <rPr>
        <sz val="9"/>
        <rFont val="Verdana"/>
        <family val="2"/>
      </rPr>
      <t>Dikişli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Siyah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Çelik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</si>
  <si>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m</t>
    </r>
  </si>
  <si>
    <r>
      <rPr>
        <sz val="9"/>
        <rFont val="Verdana"/>
        <family val="2"/>
      </rPr>
      <t>Dikişli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Siyah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Çelik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DN65</t>
    </r>
  </si>
  <si>
    <r>
      <rPr>
        <sz val="9"/>
        <rFont val="Verdana"/>
        <family val="2"/>
      </rPr>
      <t>Dikişli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Siyah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Çelik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DN25</t>
    </r>
  </si>
  <si>
    <r>
      <rPr>
        <sz val="9"/>
        <rFont val="Verdana"/>
        <family val="2"/>
      </rPr>
      <t>4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Yollu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Askısı,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</si>
  <si>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2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Yollu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Askısı,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(Enine)</t>
    </r>
  </si>
  <si>
    <r>
      <rPr>
        <sz val="9"/>
        <rFont val="Verdana"/>
        <family val="2"/>
      </rPr>
      <t>2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Yollu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Askısı,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(Boyuna)</t>
    </r>
  </si>
  <si>
    <r>
      <rPr>
        <sz val="9"/>
        <rFont val="Verdana"/>
        <family val="2"/>
      </rPr>
      <t>Sprinkler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Askısı,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</si>
  <si>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Sprinkler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Boru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Askısı,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DN65</t>
    </r>
  </si>
  <si>
    <r>
      <rPr>
        <sz val="9"/>
        <rFont val="Verdana"/>
        <family val="2"/>
      </rPr>
      <t>Hat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Sonu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Yıkama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Vanası,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</si>
  <si>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Kelebek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Vana,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</si>
  <si>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Akış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Anahtarı,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</si>
  <si>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Yangın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Hortum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Dolabı</t>
    </r>
  </si>
  <si>
    <r>
      <rPr>
        <sz val="9"/>
        <rFont val="Verdana"/>
        <family val="2"/>
      </rPr>
      <t>Islak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Alarm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Vanası,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DN150</t>
    </r>
  </si>
  <si>
    <r>
      <rPr>
        <sz val="9"/>
        <rFont val="Verdana"/>
        <family val="2"/>
      </rPr>
      <t>Kolektör,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DN200</t>
    </r>
  </si>
  <si>
    <r>
      <rPr>
        <b/>
        <sz val="9"/>
        <rFont val="Tahoma"/>
        <family val="2"/>
      </rPr>
      <t>B.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Variodor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Tesisi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Otomatik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Sprinkler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Sistemi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Kurulumu</t>
    </r>
  </si>
  <si>
    <r>
      <rPr>
        <sz val="9"/>
        <rFont val="Verdana"/>
        <family val="2"/>
      </rPr>
      <t>Deneme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ve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Gider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Vanası,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K=240</t>
    </r>
  </si>
  <si>
    <r>
      <rPr>
        <b/>
        <sz val="9"/>
        <rFont val="Tahoma"/>
        <family val="2"/>
      </rPr>
      <t>C.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MDF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3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Otomatik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Sprinkler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Sistemi</t>
    </r>
    <r>
      <rPr>
        <sz val="9"/>
        <rFont val="Times New Roman"/>
        <family val="1"/>
      </rPr>
      <t xml:space="preserve"> </t>
    </r>
    <r>
      <rPr>
        <b/>
        <sz val="9"/>
        <rFont val="Tahoma"/>
        <family val="2"/>
      </rPr>
      <t>Kurulumu</t>
    </r>
  </si>
  <si>
    <t>Türü : Açık (Open)</t>
  </si>
  <si>
    <t>Bağlantı : 1/2" NPT</t>
  </si>
  <si>
    <t>K Faktörü : 40 Metrik (2.8 ANSI)</t>
  </si>
  <si>
    <t>Üretici : Reliable, Tyco, Viking</t>
  </si>
  <si>
    <t>Çapı : DN100 (4”)</t>
  </si>
  <si>
    <t>Tahrik Şekli : Elektrik ve Elle</t>
  </si>
  <si>
    <t>Bağlantı Türü : Yivli veya Flanşlı</t>
  </si>
  <si>
    <t>Yeniden Kurma : Tamamen Dışarıdan, Açmadan</t>
  </si>
  <si>
    <t>Basınç sınıfı : 175 psi</t>
  </si>
  <si>
    <t>Kurulum Biçimi : Dikey – Düz veya Açılı</t>
  </si>
  <si>
    <t>Tahrik Ünite : - Türü : Algılama Hattından</t>
  </si>
  <si>
    <t>: - Çalışma Şekli : Elektrik - Tüm Aparat (Trim)Leri ve Solenoid</t>
  </si>
  <si>
    <t>Vanası ile</t>
  </si>
  <si>
    <t>Elle Tahrik Ünitesi : - Türü : Küresel Vana</t>
  </si>
  <si>
    <t>: - Çapı : ½”</t>
  </si>
  <si>
    <t>: - Koruma Kutusu : Çelik Sac veya Onaylı Sert Plastik</t>
  </si>
  <si>
    <t>: - Renk : RAL 3000</t>
  </si>
  <si>
    <t>: Giriş-Çıkış Manometreleri, Basınç Anahtarı ve Motor Gongu ile</t>
  </si>
  <si>
    <t>Çapı : DN80 (3”)</t>
  </si>
  <si>
    <t>Çapı : DN50 (2”)</t>
  </si>
  <si>
    <t>Türü : Yivli veya Wafer veya Kulaklı (Lug Tipi)</t>
  </si>
  <si>
    <t>Giriş – Çıkış : DN250 (10”)</t>
  </si>
  <si>
    <t>Çap : DN80 (3”)</t>
  </si>
  <si>
    <t>Çap : DN50 (2”)</t>
  </si>
  <si>
    <t>Türü : Rijit (U-Bolt veya Kelepçe)</t>
  </si>
  <si>
    <t>Kelepçe/U-Bolt Çapı : Muhtelif (DN100, DN80, DN65)</t>
  </si>
  <si>
    <t>Kelepçe Malzemesi : 2 mm Kalınlığında, 25 mm Eninde Galvanize Sacdan İmal</t>
  </si>
  <si>
    <t>Sabitleme Malzemesi : M12 U-vida (U-bolt)</t>
  </si>
  <si>
    <t>Taşıyıcıya Tutturma : Beton Dübeli veya Taşıyıcıya Uygun</t>
  </si>
  <si>
    <t>Montaj Biçimi : Duvardan veya Çelik Profillerden</t>
  </si>
  <si>
    <t>Taşıyıcıya Tutturma : Taşıyıcıya Açılacak Deliklere Somun + Pul ve Kontra Somun + Pul</t>
  </si>
  <si>
    <t>Taşıma Kapasitesi : Borunun Su Dolu Ağırlığı + 115 kg</t>
  </si>
  <si>
    <t>Aksesuarlar : Ayarlama ve Kontra Somunu, Vida, Somun ve Taban Elemanı</t>
  </si>
  <si>
    <t>Üretici : Hilti, İnka veya Link</t>
  </si>
  <si>
    <t>Kullanım Amacı : Hiçbir Yöne Harekete İzin Vermeyen Askı, Borulamayı Sismik</t>
  </si>
  <si>
    <t>Kelepçe Çapı : Taşıdığı Boru Çapına Eşit</t>
  </si>
  <si>
    <t>Elemanlarıyla Birlikte</t>
  </si>
  <si>
    <t>Üretici : Link, Erico, Hilti, Tolco</t>
  </si>
  <si>
    <t>Onay : FM Onaylı,UL Listeli</t>
  </si>
  <si>
    <t>Üretici : Shurjoint, Victaulic, Grinnell</t>
  </si>
  <si>
    <t>Özellik : Model Numarası Yazan Ya Da Dışarıdan Tipi Anlaşılabilen</t>
  </si>
  <si>
    <t>Onay : UL Listeli, FM onaylı</t>
  </si>
  <si>
    <t>Kullanım Amacı : Tek Yönlü Harekete Müsaade Eden Askı, Borulamayı Sismik</t>
  </si>
  <si>
    <t>Sehpa Malzemesi : Galvanize Çelik</t>
  </si>
  <si>
    <t>Askı Çubuğu : DN 25 Boru</t>
  </si>
  <si>
    <t>Boruya Tutturma : Çelik U-Vida (U-Bolt)</t>
  </si>
  <si>
    <t>Aksesuarlar : Çelik Konstrüksiyon için Evrensel Bağlantı Elemanları, Ayarlama</t>
  </si>
  <si>
    <t>ve Kontra Somunu, Vida, Somun ve Tüm Montaj Elemanlarıyla Birlikte</t>
  </si>
  <si>
    <t>Boruya Tutturma : Ağır Yük Kelepçesi</t>
  </si>
  <si>
    <t>Üretici : Hilti, Link, Inka</t>
  </si>
  <si>
    <t>Türü : Fabrikasyon Kelepçe veya Armut Sprinkler Askısı</t>
  </si>
  <si>
    <t>Armut Çapı : Muhtelif (DN 150, DN 80, DN 65, DN 50, DN 40, DN 32, DN 25)</t>
  </si>
  <si>
    <t>Askı Çubuğu : M10</t>
  </si>
  <si>
    <t>Taşıyıcıya Tutturma : Beton Dübelli ve/veya Kiriş Kenedi + Muhafaza Bandı</t>
  </si>
  <si>
    <t>Malzeme : % 0,6 Elektrogalvaniz Kaplı Çelik</t>
  </si>
  <si>
    <t>Aksesuarlar : Ayarlama ve Kontra Somunu, Vida, Somun ve Taban Elemanı,</t>
  </si>
  <si>
    <t>Muhafaza Bandı</t>
  </si>
  <si>
    <t>Çap : DN100 (4”)</t>
  </si>
  <si>
    <t>Basınç Sınıfı : PN16</t>
  </si>
  <si>
    <t>Yardımcı Malzeme : Boru Sistemi İçin Gerekli Her Türlü Dirsek, T, Flanş, Kaynak Vb. Dâhil</t>
  </si>
  <si>
    <t>3000 Yağlı Boya</t>
  </si>
  <si>
    <t>Yukarıdaki gibi ancak</t>
  </si>
  <si>
    <t>Çap : DN40 (11/2 ”)</t>
  </si>
  <si>
    <t>Çap : DN25 (1”)</t>
  </si>
  <si>
    <t>Çap : DN200 (8”)</t>
  </si>
  <si>
    <t>Boy : 4 m</t>
  </si>
  <si>
    <t>Giriş-Çıkış : 1HDPE160 Giriş + 1xDN100(4”) Flanşlı Çıkış + 1xDN80(3”) Flanşlı Çıkış</t>
  </si>
  <si>
    <t>Standardı : TS EN 10217-1, En Az 5,4 mm Et Kalınlıklı</t>
  </si>
  <si>
    <t>Çap : DN150 (6”)</t>
  </si>
  <si>
    <t>Giriş-Çıkış : 1xDN100(4”) Giriş + 2xDN80(3”) Flanşlı Çıkış + 2xDN80(3”) Flanşlı</t>
  </si>
  <si>
    <t>Çıkış</t>
  </si>
  <si>
    <t>Giriş-Çıkış : DN25 (1”), Dişli</t>
  </si>
  <si>
    <t>Üretici : ECA veya Duyar</t>
  </si>
  <si>
    <t>Gösterge Aralığı : 0-16 Bar Göstergeli</t>
  </si>
  <si>
    <t>Tip : İbreli, Gliserinli tip</t>
  </si>
  <si>
    <t>Kullanım : Köpüklü Depolama</t>
  </si>
  <si>
    <t>Tank : - Biçimi : Dikey, Silindirik</t>
  </si>
  <si>
    <t>- Basınç Sınıfı : En Az 175 psi</t>
  </si>
  <si>
    <t>- Hacim : 106 Us Gal (400 L)</t>
  </si>
  <si>
    <t>- Renk : Kırmızı (RAL 3000)</t>
  </si>
  <si>
    <t>Aksesuarlar : - Köpük Seviye Göstergesi</t>
  </si>
  <si>
    <t>Uygunluk : EN 13445</t>
  </si>
  <si>
    <t>Onay : CE 0408, UL Listeli, FM onaylı</t>
  </si>
  <si>
    <t>Üretici : Tyco, Viking, Fas</t>
  </si>
  <si>
    <t>Türü : Flor İçermeyen Köpük Konsantresi</t>
  </si>
  <si>
    <t>Karışım Oranı : %3</t>
  </si>
  <si>
    <t>PH : 6,5…7,5</t>
  </si>
  <si>
    <t>Depolama Sıcaklığı : 5ºC...50ºC</t>
  </si>
  <si>
    <t>Raf Ömrü : En Az 10 yıl</t>
  </si>
  <si>
    <t>Uygunluk : TS EN 13565, NFPA 11</t>
  </si>
  <si>
    <t>Onaylar : TS EN 1568-3, UL Listeli, FM onaylı</t>
  </si>
  <si>
    <t>Üretici : Tyco, Viking, Solberg</t>
  </si>
  <si>
    <t>Türü : Düşük Genleşme, AR-AFFF</t>
  </si>
  <si>
    <t>Onaylar : UL Listeli, FM onaylı</t>
  </si>
  <si>
    <t>Üretici : Chemguard, Tyco, Viking</t>
  </si>
  <si>
    <t>İşlevi : Islak Alarm Vanasının Açılması ile Köpük Hattını Aktive Etmek</t>
  </si>
  <si>
    <t>Tahrik Şekli : Hidrolik (Basınç Tahrikli)</t>
  </si>
  <si>
    <t>Giriş-Çıkış : DN80</t>
  </si>
  <si>
    <t>Bağlantı Türü : Dişli</t>
  </si>
  <si>
    <t>Hid. Tahrik Ünite : Çalışma Şekli : Mekanik - Tüm Aparat (Trim)Leri ile</t>
  </si>
  <si>
    <t>Malzeme : Köpük Kullanımına Uygun (Uygun Kaplama Yapılmış)</t>
  </si>
  <si>
    <t>Giriş – Çıkış : DN80</t>
  </si>
  <si>
    <t>Kaplama : Saf Köpüğe Karşı Dayanımlı Kaplamalı</t>
  </si>
  <si>
    <t>Bağlantı : Flanşlı veya Yivli</t>
  </si>
  <si>
    <t>Türü : Yivli, Flanşlı veya Dişli</t>
  </si>
  <si>
    <t>İşlevi : Tüm Köpük Sisteminin Borulamasını Topraklamak</t>
  </si>
  <si>
    <t>Malzeme Listesi ve Teknik Özellikleri (2. Kolektör)</t>
  </si>
  <si>
    <t>Giriş – Çıkış : DN50 (2”)</t>
  </si>
  <si>
    <t>Kullanım Amacı :Tek Yönlü Harekete Müsaade Eden Askı, Borulamayı Sismik</t>
  </si>
  <si>
    <t>Giriş-Çıkış : 1xDN150(6”) Giriş + 1xDN50(2”) Flanşlı Çıkış</t>
  </si>
  <si>
    <t>Malzeme Listesi ve Teknik Özellikleri (3. Kolektör)</t>
  </si>
  <si>
    <t>Giriş-Çıkış : 1xDN150(6”) Giriş + 1xDN80(3”) Flanşlı Çıkış</t>
  </si>
  <si>
    <t>Giriş – Çıkış : DN50</t>
  </si>
  <si>
    <t>Not: Şartname gereklerine göre her türlü yardımcı malzemeler, işçilik, nakliye, kaldırma makineleri</t>
  </si>
  <si>
    <t>ve mühendislik hizmetleri, birim fiyatların içerisinde düşünülecektir. bu kalemler, aşağıdakilerle</t>
  </si>
  <si>
    <t>sınırlı olmamak kaydıyla şunlardır:</t>
  </si>
  <si>
    <t>- İşin gerçekleştirilmesi için her türlü çalışma bağlantı elemanları, yardımcı malzemeler, işçilik</t>
  </si>
  <si>
    <t>hizmetleri</t>
  </si>
  <si>
    <t>- Her türlü bağlantı elemanları, tesisat malzemeleri</t>
  </si>
  <si>
    <t>- Sabitleme amaçlı imalat ve hazır elemanları</t>
  </si>
  <si>
    <t>- Fittings, kaynak, sızdırmazlık malzemeleri</t>
  </si>
  <si>
    <t>- Korozyona karşı koruyucular, tesisat boya işleri</t>
  </si>
  <si>
    <t>- Karotla delme, onarım vb. işin gerektirdiği tüm inşa işler</t>
  </si>
  <si>
    <t>- Etiketleme ve işaretleme</t>
  </si>
  <si>
    <t>- İmalat çizimlerinin (shop drawings ve as-built çizimleri) hazırlanması</t>
  </si>
  <si>
    <t>- Gerekli tüm hesaplamaların (hidrolik, statik vb.) yapılması</t>
  </si>
  <si>
    <t>- Deneme ve işletmeye alma çalışmaları ve bu çalışmalar için gerekli malzemeler (köpük dahil)</t>
  </si>
  <si>
    <t>- İşin gerçekleştirilmesi için her türlü çalışma ve ekipman</t>
  </si>
  <si>
    <t>- İşveren izninde ilgili sistemlerin kurulması adına tüm değişiklerin/yer değiştirmelerin yapılması,</t>
  </si>
  <si>
    <t>çalışır şekilde bırakılması</t>
  </si>
  <si>
    <t>- İşin tamamlanması için gerekli her türlü tesisat malzemesi, inşa çalışmalar, kazı, dolgu, kırma,</t>
  </si>
  <si>
    <t>delme ve onarım İşleri,</t>
  </si>
  <si>
    <t>- Tekniğine uygun işin yapımı için çalışmalar ve şartname gereklerine göre her türlü</t>
  </si>
  <si>
    <t>Malzeme : Çelik</t>
  </si>
  <si>
    <t>Doldurma Kabı</t>
  </si>
  <si>
    <t>Basınç Emniyet Vanası</t>
  </si>
  <si>
    <t>Boşaltma Vanası</t>
  </si>
  <si>
    <t xml:space="preserve"> Çalışma Şekli : Elektrik - Tüm Aparat (Trim)Leri ve Solenoid Vanası ile</t>
  </si>
  <si>
    <t>İşin tamamlanması İçin gerekli Her Türlü tesisat malzemesi</t>
  </si>
  <si>
    <t>Şartname gereklerine göre Her Türlü mühendislik hizmetleri</t>
  </si>
  <si>
    <t>Çizimlerde gösterilen ancak Malzeme listesinde belirtilmeyen tüm malzemeler</t>
  </si>
  <si>
    <t>Türü : Yer Üstü Hidrantı</t>
  </si>
  <si>
    <t>Giriş Çapı : DN100</t>
  </si>
  <si>
    <t>Çıkış Çapı : 2 x DN 65 Storz</t>
  </si>
  <si>
    <t>Giriş Bağlantısı : Flanşlı</t>
  </si>
  <si>
    <t>Çıkış Bağlantısı : Flanşlı</t>
  </si>
  <si>
    <t>Montaj Biçimi : Yer Üstü</t>
  </si>
  <si>
    <t>Açılma : Elle</t>
  </si>
  <si>
    <t>Aksesuarlar : 1 adet Açma Anahtarı ve Hidrant Dirseği ile</t>
  </si>
  <si>
    <t>Onaylar : TSE Onaylı</t>
  </si>
  <si>
    <t>Yedekler : -</t>
  </si>
  <si>
    <t>Üretici : Klinger, Fetaş veya Valftek</t>
  </si>
  <si>
    <t>Türü : Yer Üstü, Çelik Yere Sabitlenmiş Ayak</t>
  </si>
  <si>
    <t>Koruma : Dış Hava Koşullarına, Paslanmaya Dayanıklı ve Korumalı</t>
  </si>
  <si>
    <t>Montaj Yeri : Hidrant Yakınına</t>
  </si>
  <si>
    <t>Malzeme : DN 80 Borudan İmal</t>
  </si>
  <si>
    <t>Renk : Sarı ve Siyah Boyalı</t>
  </si>
  <si>
    <t>Üretici : Yerinde İmalat</t>
  </si>
  <si>
    <t>Türü : Yer Üstü, Ayaklı</t>
  </si>
  <si>
    <t>Koruma : Dış Hava Koşullarına Dayanıklı ve Korumalı</t>
  </si>
  <si>
    <t>Malzeme : Fosfatlanmış Galvanize Saç (Üzeri Epoksi Kaplı)</t>
  </si>
  <si>
    <t>Renk : RAL3000 Kırmızı</t>
  </si>
  <si>
    <t>Aksesuarlar : 1 adet Hidrant Açma Anahtarı, 2 adet DN65 PVC Kaplı 30 m Bez Hortum</t>
  </si>
  <si>
    <t>ve Tekerli ve 2 adet Ayarlı Nozul ve Nozul Tutturma Kelepçesiyle</t>
  </si>
  <si>
    <t>Onaylar : TSE Belgeli</t>
  </si>
  <si>
    <t>Üretici : Fetaş veya Normeks</t>
  </si>
  <si>
    <t>Türü : Gömme NRS</t>
  </si>
  <si>
    <t>Vana Çapı : DN 315</t>
  </si>
  <si>
    <t>Montaj biçimi : Beton Takviyeli</t>
  </si>
  <si>
    <t>Vana Bağlantı : ANSI/DIN Flanşlı</t>
  </si>
  <si>
    <t>Kullanım Amacı : Su Kontrol, Kesme Vanası</t>
  </si>
  <si>
    <t>Üretici : Kennedy veya Volon veya Weflo</t>
  </si>
  <si>
    <t>Türü : Boyunlu Gösterge (Indicator Post)</t>
  </si>
  <si>
    <t>Vana Çapı : Bağlandığı Boru Çapına Göre</t>
  </si>
  <si>
    <t>Boyun Derinliği : Sahada Ayarlanabilir</t>
  </si>
  <si>
    <t>Gömme Derinliği : 100-150 cm</t>
  </si>
  <si>
    <t>Tamamlayıcı Malz. : Açma Kolu (1 Ad.)</t>
  </si>
  <si>
    <t>Malzeme : PE-100 (HDPE), SDR 9</t>
  </si>
  <si>
    <t>Çap : DN 315</t>
  </si>
  <si>
    <t>Ek Türü : Elektrofüzyon veya Alın Kaynaklı</t>
  </si>
  <si>
    <t>Ek veya Fittings : Her Türlü Yardımcı Malzeme ve Fittings Dahil</t>
  </si>
  <si>
    <t>Uygunluk : TS 418-2 EN 12201-2</t>
  </si>
  <si>
    <t>Malzeme : PE-100 (HDPE), SDR 11</t>
  </si>
  <si>
    <t>Çap : DN160</t>
  </si>
  <si>
    <t>Malzeme : Siyah Çelik Üzeri Standartlara Uygun 1 Kat Antipas ve 2 Kat RAL 3000 Yağlı</t>
  </si>
  <si>
    <t>Boya</t>
  </si>
  <si>
    <t>Ek veya Fittings : Boru Sistemi için Gerekli Her Türlü Dirsek, T, Flanş, Kaynak vb.</t>
  </si>
  <si>
    <t>Uygunluk : TSE EN 10217 Ağır Seri</t>
  </si>
  <si>
    <t>Türü : Siyah Çelik Üzeri Standartlara Uygun 1 Kat Antipas ve 2 Kat RAL 3000 Yağlı</t>
  </si>
  <si>
    <t>Uygunluk : TSE EN 10255 Orta Seri</t>
  </si>
  <si>
    <t>Türü : Otomatik Uzaktan Kumandalı Su Monitörü</t>
  </si>
  <si>
    <t>Basınç Sınıfı : 7 bar</t>
  </si>
  <si>
    <t>Su Debisi : 4000 L/dk</t>
  </si>
  <si>
    <t>Gövde : Paslanmaz Çelik ASME SA-312 TP316</t>
  </si>
  <si>
    <t>Üretici : Tyco, Viking, TFT</t>
  </si>
  <si>
    <t>- Su monitörü için taşıyıcı çelik konstrüksiyon kurulumu,</t>
  </si>
  <si>
    <t>- Statik hesapların ve gerekli tüm hesapların yapılması, onaylatılması</t>
  </si>
  <si>
    <t>Not: Aşağıdaki tüm kalemler, yukarıdaki birim fiyatlara dahil olarak teklif edilmelidir:</t>
  </si>
  <si>
    <t>- Bağlantı elemanları ve yardımcı malzemeler,</t>
  </si>
  <si>
    <t>- Her türlü boru birleşimi için kaynak işlemi, boru kesimi, delimi vb. işler,</t>
  </si>
  <si>
    <t>- Yer altı boruları için her türlü dirsek, Te, yivli kep vb. yardımcı malzemeler,</t>
  </si>
  <si>
    <t>- Yer üstü hortum bağlantı ağızları için kolektör ve manşonlu kaynak imalatı,</t>
  </si>
  <si>
    <t>mevcut kolektörlerine bağlanması, bina girişlerindeki her türlü döşeme kırma ve onarma işleri,</t>
  </si>
  <si>
    <t>- Borulamanın 1 kat antipas ve en az 2 kat yağlı boya ile boyanması,</t>
  </si>
  <si>
    <t>- Yer altında kalan kimi çelik boruların PE sargı ile korozyon korumasının yapılması,</t>
  </si>
  <si>
    <t>- İşin tamamlanması için her türlü çalışma, mühendislik hizmetleri.</t>
  </si>
  <si>
    <t xml:space="preserve"> -Yapılan yer altı bina girişlerinin mevcut otomatik sprinkler sistemi kolon borularına veya</t>
  </si>
  <si>
    <t xml:space="preserve"> -Yeni yapılacak sistemin yangın pompa odasındaki kolektöre bağlanması</t>
  </si>
  <si>
    <t>Adet</t>
  </si>
  <si>
    <t>Metre</t>
  </si>
  <si>
    <t>Takım</t>
  </si>
  <si>
    <t>Dizel Motorlu Yangın Pompası Kontrol Paneli</t>
  </si>
  <si>
    <t>Elektrik Motorlu Kaçak Pompası (Jokey Pompa)</t>
  </si>
  <si>
    <t>Elektrik Motorlu Kaçak Giderme Pompası (Jokey Pompa) Kontrol Paneli</t>
  </si>
  <si>
    <t>Yükselen Milli Vana (OS&amp;Y Valve)</t>
  </si>
  <si>
    <t>Çek Vana</t>
  </si>
  <si>
    <t>Kelebek Vana, DN 250</t>
  </si>
  <si>
    <t>Basınç Rahatlatma Vanası (Pressure Relief Valve)</t>
  </si>
  <si>
    <t>Kelebek Vana, DN 200</t>
  </si>
  <si>
    <t>Test Akış Ölçme Cihazı</t>
  </si>
  <si>
    <t>İtfaiye Bağlantı Ağzı</t>
  </si>
  <si>
    <t>Otomatik Damlatma Vanası</t>
  </si>
  <si>
    <t>Küresel Vana</t>
  </si>
  <si>
    <t>Yivli Boru Bağlantı Kelepçesi, Esnek</t>
  </si>
  <si>
    <t>0-20 Bar Manometre ve Kesme Vanası</t>
  </si>
  <si>
    <t xml:space="preserve">Boru Desteği </t>
  </si>
  <si>
    <t>Paslanmaz Çelik Boru</t>
  </si>
  <si>
    <t>Dikişli Siyah Çelik Boru, DN 250</t>
  </si>
  <si>
    <t>Dikişli Siyah Çelik Boru, DN 200</t>
  </si>
  <si>
    <t>Dikişli Siyah Çelik Boru, DN32</t>
  </si>
  <si>
    <t>Kolektör İmalatı (DN300)</t>
  </si>
  <si>
    <t>Vorteks Plakası</t>
  </si>
  <si>
    <t>Duvar Tipi Eksenel Egzoz Fanı</t>
  </si>
  <si>
    <t>Bağlantı Elemanları ve Yardımcı Malzemeler</t>
  </si>
  <si>
    <t>Su Seviye Gösterge Hortumu ve Aksesuarları Temini</t>
  </si>
  <si>
    <t>Şamandıralı Seviye Kontrol Vanası</t>
  </si>
  <si>
    <t>Pompa Odası Gider Sistemi</t>
  </si>
  <si>
    <t>Oda Tipi Termostat</t>
  </si>
  <si>
    <t>Geri Dönüşsüz (Backdraft) Damper</t>
  </si>
  <si>
    <t>Dikişli Siyah Çelik Boru DN32</t>
  </si>
  <si>
    <t>Dikişli Siyah Çelik Boru DN40</t>
  </si>
  <si>
    <t>Dikişli Siyah Çelik Boru DN50</t>
  </si>
  <si>
    <t>Dikişli Siyah Çelik Boru DN65</t>
  </si>
  <si>
    <t>Dikişli Siyah Çelik Boru DN80</t>
  </si>
  <si>
    <t>Esnek Yivli Boru Bağlantı Kelepçesi DN65</t>
  </si>
  <si>
    <t>Esnek Yivli Boru Bağlantı Kelepçesi DN80</t>
  </si>
  <si>
    <t>Sert Yivli Boru Bağlantı Kelepçesi DN65</t>
  </si>
  <si>
    <t>Sert Yivli Boru Bağlantı Kelepçesi DN80</t>
  </si>
  <si>
    <t>4 Yollu Boru Askısı</t>
  </si>
  <si>
    <t>Sulu Kolektör İmalatı (DN 80)</t>
  </si>
  <si>
    <t>Litre</t>
  </si>
  <si>
    <t>Dış Saha Yerüstü Hidrantı (Mevcut)</t>
  </si>
  <si>
    <t>Dış Saha Yerüstü Hidrantı (Yeni Planlanan)</t>
  </si>
  <si>
    <t>Hidrant Koruyucu İmalatı (Yeni Planlanan)</t>
  </si>
  <si>
    <t>Yerüstü Hidrant Dolabı (Yeni Planlanan)</t>
  </si>
  <si>
    <t>Gömme Tip Kesme Vanası (Burried NRS), DN315 (Yeni Planlanan)</t>
  </si>
  <si>
    <t>Gömme Kesme Vanası Gösterge Boynu (Indicator Post Mevcut Kullanılabilir)</t>
  </si>
  <si>
    <t>PE Yeraltı Yangın Suyu Borusu, (DN315) (Yeni Planlanan)</t>
  </si>
  <si>
    <t>PE Yeraltı Yangın Suyu Borusu, (DN160) (Yeni Planlanan)</t>
  </si>
  <si>
    <t>Dikişli Siyah Çelik Yangın Suyu Borusu, (DN200) (Yeni Planlanan)</t>
  </si>
  <si>
    <t>Dikişli Siyah Çelik Yangın Suyu Borusu, (DN150) (Yeni Planlanan)</t>
  </si>
  <si>
    <t>Su Monitörü (Yeni Planlanan)</t>
  </si>
  <si>
    <t>Çelik Konstrüksiyon Kurulumu</t>
  </si>
  <si>
    <t>Su Püskürtme Memesi, (Spray Nozzle)</t>
  </si>
  <si>
    <t>Baskın Vana İstasyonu (Elektrik Tahrikli), DN100 (4”)</t>
  </si>
  <si>
    <t>Baskın Vana İstasyonu (Elektrik Tahrikli), DN80 (3”)</t>
  </si>
  <si>
    <t>Baskın Vana İstasyonu (Elektrik Tahrikli), DN50 (2”)</t>
  </si>
  <si>
    <t>Kelebek Vana, DN100 (4”)</t>
  </si>
  <si>
    <t>Kelebek Vana, DN80 (3”)</t>
  </si>
  <si>
    <t>Kelebek Vana, DN50 (2”)</t>
  </si>
  <si>
    <t>Boru Desteği</t>
  </si>
  <si>
    <t>4 Yollu Boru Askısı, DN80 (3”)</t>
  </si>
  <si>
    <t>4 Yollu Boru Askısı, DN50 (2”)</t>
  </si>
  <si>
    <t>Sert Yivli Boru Bağlantı Kelepçesi, DN80 (3”)</t>
  </si>
  <si>
    <t>Esnek Yivli Boru Bağlantı Kelepçesi, DN80 (3”)</t>
  </si>
  <si>
    <t>2 Yollu Boru Askısı, (Enine)</t>
  </si>
  <si>
    <t>2 Yollu Boru Askısı, (Boyuna)</t>
  </si>
  <si>
    <t>Sprinkler Boru Askısı</t>
  </si>
  <si>
    <t>Dikişli Siyah Çelik Boru, DN100 (4”)</t>
  </si>
  <si>
    <t>Dikişli Siyah Çelik Boru, DN80 (3”)</t>
  </si>
  <si>
    <t>Dikişli Siyah Çelik Boru, DN50 (2”)</t>
  </si>
  <si>
    <t>Dikişli Siyah Çelik Boru, DN40 (1 1/2”)</t>
  </si>
  <si>
    <t>Dikişli Siyah Çelik Boru, DN25 (1”)</t>
  </si>
  <si>
    <t>Kolektör Revizyonu (DN200)</t>
  </si>
  <si>
    <t>Yeni Köpük Kolektörü (DN150) (6”)</t>
  </si>
  <si>
    <t>Küresel Vana, DN25 (1”)</t>
  </si>
  <si>
    <t>0-16 Bar Manometre ve Kesme Vanası</t>
  </si>
  <si>
    <t>Dikey Dengelenmiş Basınçlı Diyafram Tankı – 1000 L</t>
  </si>
  <si>
    <t>Köpük Sıvısı, Düşük Genleşmeli, %3</t>
  </si>
  <si>
    <t>Köpük Oranlayıcı (Ratio-Flow Controller), DN100</t>
  </si>
  <si>
    <t>Köpük Sıvısı Hidrolik Tahrikli Vanası, Köpük Kullanımına Uygun</t>
  </si>
  <si>
    <t>Çek Vana, Saf Köpük Kullanımına Uygun</t>
  </si>
  <si>
    <t>Kelebek Vana, Saf Köpük Kullanımına Uygun</t>
  </si>
  <si>
    <t>Borulamanın ve Tüm Çelik Konstrüksiyon Topraklaması</t>
  </si>
  <si>
    <t>4 Yollu Boru Askısı, DN80 (2”)</t>
  </si>
  <si>
    <t>Yeni Köpük Kolektörü (DN150)</t>
  </si>
  <si>
    <t>Dikey Dengelenmiş Basınçlı Diyafram Tankı – 400 L</t>
  </si>
  <si>
    <t xml:space="preserve">FİRMA: </t>
  </si>
  <si>
    <r>
      <rPr>
        <b/>
        <sz val="10"/>
        <rFont val="Arial"/>
        <family val="2"/>
        <charset val="162"/>
      </rPr>
      <t>İLGİLİ</t>
    </r>
    <r>
      <rPr>
        <b/>
        <i/>
        <sz val="10"/>
        <rFont val="Arial"/>
        <family val="2"/>
        <charset val="162"/>
      </rPr>
      <t>:</t>
    </r>
    <r>
      <rPr>
        <i/>
        <sz val="10"/>
        <rFont val="Arial"/>
        <family val="2"/>
        <charset val="162"/>
      </rPr>
      <t xml:space="preserve"> </t>
    </r>
  </si>
  <si>
    <t xml:space="preserve">KONU: </t>
  </si>
  <si>
    <r>
      <rPr>
        <b/>
        <sz val="10"/>
        <rFont val="Arial"/>
        <family val="2"/>
        <charset val="162"/>
      </rPr>
      <t>TARİH:</t>
    </r>
    <r>
      <rPr>
        <b/>
        <i/>
        <sz val="10"/>
        <rFont val="Arial"/>
        <family val="2"/>
        <charset val="162"/>
      </rPr>
      <t xml:space="preserve"> </t>
    </r>
  </si>
  <si>
    <t>TEKLİF NO:</t>
  </si>
  <si>
    <t xml:space="preserve">ADRES: </t>
  </si>
  <si>
    <t>S.N</t>
  </si>
  <si>
    <t>AÇIKLAMA</t>
  </si>
  <si>
    <t>İŞÇİLİK 
TOPLAM</t>
  </si>
  <si>
    <t>Yangın Pompası</t>
  </si>
  <si>
    <t>Hidrant Sistemi</t>
  </si>
  <si>
    <t>Otomatik Sprinkler</t>
  </si>
  <si>
    <t>Otomatik Sprinkler Sistemi</t>
  </si>
  <si>
    <t>Genel Toplam</t>
  </si>
  <si>
    <t>Otomatik Köpüklü Söndürme Sistemi</t>
  </si>
  <si>
    <t>Trafo Su Püskürtme Sistemi</t>
  </si>
  <si>
    <t>Sulu Kolektör İmalatı (DN 100)</t>
  </si>
  <si>
    <t>Kelebek Vana, DN50</t>
  </si>
  <si>
    <t>Dikey Dengelenmiş Basınçlı Diyafram Tankı - 200 L</t>
  </si>
  <si>
    <t xml:space="preserve">Kelebek Vana, DN50 </t>
  </si>
  <si>
    <t>Aksesuar : Kapı Üzeri Elle Kumandalı Menfez (30x30 cm)</t>
  </si>
  <si>
    <t>HASAN SEVİNDİK</t>
  </si>
  <si>
    <t>YANGIN TESİSATI</t>
  </si>
  <si>
    <t>KOCAELİ/SAHA-UC</t>
  </si>
  <si>
    <t xml:space="preserve">Drenaj Vanası </t>
  </si>
  <si>
    <t>DN50</t>
  </si>
  <si>
    <t>Otomatik Sprinkler Kafası, Standart Tepkili (Sarkık, K=115)</t>
  </si>
  <si>
    <t>Esnek Yivli Boru Bağlantı Kelepçesi, DN80</t>
  </si>
  <si>
    <t>Sert Yivli Boru Bağlantı Kelepçesi, DN80</t>
  </si>
  <si>
    <t>4 Yollu Boru Askısı, DN80</t>
  </si>
  <si>
    <t>Kelebek Vana, DN80</t>
  </si>
  <si>
    <t>Akış Anahtarı, DN80</t>
  </si>
  <si>
    <t>Islak Alarm Vanası, DN80</t>
  </si>
  <si>
    <t>Yivli Çelik Boru, DN50</t>
  </si>
  <si>
    <t>Islak Alarm Vanası, DN50</t>
  </si>
  <si>
    <t>Branşman Kelepçesi, DN65 x DN25</t>
  </si>
  <si>
    <t>Esnek Yivli Boru Bağlantı Kelepçesi, DN65</t>
  </si>
  <si>
    <t>Sert Yivli Boru Bağlantı Kelepçesi, DN65</t>
  </si>
  <si>
    <t>Yivli Çelik Boru, DN100</t>
  </si>
  <si>
    <t>Esnek Yivli Boru Bağlantı Kelepçesi, DN100</t>
  </si>
  <si>
    <t>Sert Yivli Boru Bağlantı Kelepçesi, DN100</t>
  </si>
  <si>
    <t>4 Yollu Boru Askısı, DN100</t>
  </si>
  <si>
    <t>Kelebek Vana, DN100</t>
  </si>
  <si>
    <t>Islak Alarm Vanası, DN100</t>
  </si>
  <si>
    <t>Akış Anahtarı, DN100</t>
  </si>
  <si>
    <t>Akış Anahtarı, DN50</t>
  </si>
  <si>
    <t>Konveyör Sprinkler Sistemi</t>
  </si>
  <si>
    <t xml:space="preserve">KORUGE BORU </t>
  </si>
  <si>
    <t>DN355 - SN4</t>
  </si>
  <si>
    <t>DN200 - SN4</t>
  </si>
  <si>
    <t>Darbe Bloğu</t>
  </si>
  <si>
    <t>İşlevi : Boru Hareketine Engel Olmak, Akışkan Gücünü Dağıtmak</t>
  </si>
  <si>
    <t>Türü : Donatısız veya Hafif Donatılı Beton</t>
  </si>
  <si>
    <t>Beton Tipi : BS25 (C25)</t>
  </si>
  <si>
    <t>Boyut : İşlevine Göre Hesaplanmış</t>
  </si>
  <si>
    <t>Onaylar : -</t>
  </si>
  <si>
    <t>Set</t>
  </si>
  <si>
    <t>Kelebek Vana, DN 300</t>
  </si>
  <si>
    <t>Giriş – Çıkış : DN 300</t>
  </si>
  <si>
    <t>Dikişli Siyah Çelik Boru, DN100</t>
  </si>
  <si>
    <t>4 Yollu Boru Askısı, DN100 (4”)</t>
  </si>
  <si>
    <t>Sert Yivli Boru Bağlantı Kelepçesi, DN100 (4”)</t>
  </si>
  <si>
    <t>Sert Yivli Boru Bağlantı Kelepçesi, DN50 (2”)</t>
  </si>
  <si>
    <t>Esnek Yivli Boru Bağlantı Kelepçesi, DN100 (4”)</t>
  </si>
  <si>
    <t>Esnek Yivli Boru Bağlantı Kelepçesi, DN50 (2”)</t>
  </si>
  <si>
    <t>Tüm kazı,kumlama,beton,asfalt,kepçe,jsb vb. işler işverene aittir.</t>
  </si>
  <si>
    <t>Gözetleme Camı : Vardır</t>
  </si>
  <si>
    <t>Manometre : 0-20 Bar, Gliserinli ve Kesme Vanalı</t>
  </si>
  <si>
    <t>Üretici : AGF, Giacomini veya Eşdeğeri</t>
  </si>
  <si>
    <t>Deneme ve Gider Vanası, DN32 veya DN40</t>
  </si>
  <si>
    <t>Branşman Kelepçesi, DN100 x DN50</t>
  </si>
  <si>
    <t>Aksesuarlar : TKÇY İzleme Anahtarı ve Sıkıştırma Vida</t>
  </si>
  <si>
    <t>Somunlarıyla Birlikte</t>
  </si>
  <si>
    <t>Giriş – Çıkış : DN100 (4”)</t>
  </si>
  <si>
    <t>Baskın Vana İstasyonu (Elektrik Tahrikli), DN100 (4”) 1 ad.</t>
  </si>
  <si>
    <t>: Giriş-Çıkış Manometreleri, Basınç Anahtarı ve Motor Gongu</t>
  </si>
  <si>
    <t>Esnek Yivli Boru Bağlantı Kelepçesi DN100</t>
  </si>
  <si>
    <t>İşlevi : Borudan Branşman Almak</t>
  </si>
  <si>
    <t>Türü : Kelepçeli, Boru Üstü Deliğe Geçmeli</t>
  </si>
  <si>
    <t>Üretici : Shurjoint, Victaulic veya Eşdeğeri</t>
  </si>
  <si>
    <t>Sert Yivli Boru Bağlantı Kelepçesi DN100</t>
  </si>
  <si>
    <t>Otomatik Sprinkler Kafası, (Sarkık, K=80)</t>
  </si>
  <si>
    <t>Deneme ve Gider Vanası, K=80</t>
  </si>
  <si>
    <t>Sprinkler Askısı</t>
  </si>
  <si>
    <t>Sprinkler Askı Çubuğu</t>
  </si>
  <si>
    <t>Dikişli Çelik Boru, DN50</t>
  </si>
  <si>
    <t>Dikişli Çelik Boru, DN25</t>
  </si>
  <si>
    <t>Ad.</t>
  </si>
  <si>
    <t>m</t>
  </si>
  <si>
    <t>MARKA</t>
  </si>
  <si>
    <t>Tyco,
Victualic, Viking</t>
  </si>
  <si>
    <t>AGF, Giacomini</t>
  </si>
  <si>
    <t>Shurjoint, Grinnell,
Victaulic</t>
  </si>
  <si>
    <t>Hilti, İnka
veya Link</t>
  </si>
  <si>
    <t>Borusan
veya Çayırova</t>
  </si>
  <si>
    <t>System Sensor,
Potter,Roemer,Safe Sıgnal</t>
  </si>
  <si>
    <t>1-BETON SİLO-1-2 REFİNER 1 KONVEYÖRÜ</t>
  </si>
  <si>
    <t>Deneme ve Gider Vanası, DN32 veya DN40, K=115</t>
  </si>
  <si>
    <t>Branşman Kelepçesi, DN50 x DN32</t>
  </si>
  <si>
    <t>Branşman Kelepçesi, DN32 x DN25</t>
  </si>
  <si>
    <t>Esnek Yivli Boru Bağlantı Kelepçesi, DN50</t>
  </si>
  <si>
    <t>Sert Yivli Boru Bağlantı Kelepçesi, DN50</t>
  </si>
  <si>
    <t>Sert Yivli Boru Bağlantı Kelepçesi, DN32</t>
  </si>
  <si>
    <t>Yivli Çelik Boru, DN50 - 3.2 mm</t>
  </si>
  <si>
    <t>Yivli Çelik Boru, DN32 - 3.2 mm</t>
  </si>
  <si>
    <t>Yivli Çelik Boru, DN25 - 3.2 mm</t>
  </si>
  <si>
    <t>Hat Sonu Yıkama Vanası, DN32</t>
  </si>
  <si>
    <t>Çelik Konstrüksiyon_x000D_
Uygulama Amacı: Trafolar Sprinkler Boru Desteği_x000D_
Malzeme: En az 6 mm Çelik Sacdan İmal, U ve L Profiller</t>
  </si>
  <si>
    <t>2-BETON SİLO-1-2 REFİNER 2 KONVEYÖRÜ</t>
  </si>
  <si>
    <t>Yivli Çelik Boru, DN80 - 4 mm</t>
  </si>
  <si>
    <t>3-KAZAN YERDEN YAKIT BESLEME TKF KONVEYÖRLERİ -1</t>
  </si>
  <si>
    <t>Çelik Konstrüksiyon
Uygulama Amacı: Trafolar Sprinkler Boru Desteği
Malzeme: En az 6 mm Çelik Sacdan İmal, U ve L Profiller</t>
  </si>
  <si>
    <t>4-KAZAN YERDEN YAKIT BESLEME TKF KONVEYÖRLERİ -2</t>
  </si>
  <si>
    <t>4 Yollu Boru Askısı, DN</t>
  </si>
  <si>
    <t>5-KAZAN YERDEN YAKIT BESLEME TKF KONVEYÖRLERİ -3</t>
  </si>
  <si>
    <t>6-DRUM HAKER - BETON SİLO1-2 KONVEYÖRÜ</t>
  </si>
  <si>
    <t>Branşman Kelepçesi, DN80 x DN50</t>
  </si>
  <si>
    <t>Branşman Kelepçesi, DN50 x DN25</t>
  </si>
  <si>
    <t>7-ORTA KULE DRUM HAKER ARA KONVEYÖR</t>
  </si>
  <si>
    <t>8-ORTA KULE YÖNLENDİRME KONVEYÖRÜ</t>
  </si>
  <si>
    <t>Kelebek Vana, DN80 (1258 Numaralı Konveyör ile Ortak)</t>
  </si>
  <si>
    <t>Akış Anahtarı, DN80 (1258 Numaralı Konveyör ile Ortak)</t>
  </si>
  <si>
    <t>Islak Alarm Vanası, DN80 (1258 Numaralı Konveyör ile Ortak)</t>
  </si>
  <si>
    <t>9-ORTA KULE - BETON SİLO 3 KONVEYÖRÜ</t>
  </si>
  <si>
    <t>Branşman Kelepçesi, DN100 x DN65</t>
  </si>
  <si>
    <t>Esnek Yivli Boru Bağlantı Kelepçesi, DN150</t>
  </si>
  <si>
    <t>Sert Yivli Boru Bağlantı Kelepçesi, DN150</t>
  </si>
  <si>
    <t>Yivli Çelik Boru, DN150</t>
  </si>
  <si>
    <t>Yivli Çelik Boru, DN65 - 3.6 mm</t>
  </si>
  <si>
    <t>4 Yollu Boru Askısı, DN150</t>
  </si>
  <si>
    <t>Kelebek Vana, DN150</t>
  </si>
  <si>
    <t>Akış Anahtarı, DN150</t>
  </si>
  <si>
    <t>Islak Alarm Vanası, DN150</t>
  </si>
  <si>
    <t>10-BETON SİLO-3 REFİNER 3 KONVEYÖRÜ</t>
  </si>
  <si>
    <t>11-DİSK HAKER VE ORTA KULE AKTARIM KONVEYÖRÜ</t>
  </si>
  <si>
    <t>12-DİSK HAKER ZİNCİRLİ KONVEYÖR</t>
  </si>
  <si>
    <t>13-PANEL KAPI REFİNER KONVEYÖRÜ (PASİF)</t>
  </si>
  <si>
    <t>8</t>
  </si>
  <si>
    <t>1</t>
  </si>
  <si>
    <t>2</t>
  </si>
  <si>
    <t>24</t>
  </si>
  <si>
    <t>6</t>
  </si>
  <si>
    <t>42</t>
  </si>
  <si>
    <t>36</t>
  </si>
  <si>
    <t>38</t>
  </si>
  <si>
    <t>18</t>
  </si>
  <si>
    <t>11</t>
  </si>
  <si>
    <t>3</t>
  </si>
  <si>
    <t>14</t>
  </si>
  <si>
    <t>12</t>
  </si>
  <si>
    <t>30</t>
  </si>
  <si>
    <t>27</t>
  </si>
  <si>
    <t>22</t>
  </si>
  <si>
    <t>Reliable, Tyco,_x000D_
Victaulic,Viking</t>
  </si>
  <si>
    <t>Shurjoint, Grinnell,_x000D_
Victaulic</t>
  </si>
  <si>
    <t>Borusan_x000D_
veya Çayırova</t>
  </si>
  <si>
    <t>Hilti, İnka_x000D_
veya Link</t>
  </si>
  <si>
    <t>ECA, Duyar</t>
  </si>
  <si>
    <t>Tyco,_x000D_
Victualic, Viking</t>
  </si>
  <si>
    <t>SYSTEM SENSOR,_x000D_
POTTER ROEMER,_x000D_
SAFE SIGNAL</t>
  </si>
  <si>
    <t>İMALAT</t>
  </si>
  <si>
    <t>Link, Erico, Hilti,_x000D_
Tolco,</t>
  </si>
  <si>
    <t>SYSTEM SENSOR,_x000D_
POTTER ROEMER,</t>
  </si>
  <si>
    <t>Link, Erico, Hilti,
Tolco,</t>
  </si>
  <si>
    <t>SYSTEM SENSOR,
POTTER ROEMER,</t>
  </si>
  <si>
    <t>Reliable, Tyco,
Victaulic,Viking</t>
  </si>
  <si>
    <t>SYSTEM SENSOR,
POTTER ROEMER,
SAFE SIGNAL</t>
  </si>
  <si>
    <t>Toz Ambarı Södürme Sistemi</t>
  </si>
  <si>
    <t>Pompa Odası Söndürme Sistemi</t>
  </si>
  <si>
    <r>
      <rPr>
        <sz val="9"/>
        <rFont val="Verdana"/>
        <family val="2"/>
      </rPr>
      <t>Kelebek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Vana,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DN300</t>
    </r>
  </si>
  <si>
    <t>Baskın Alarm Vanası</t>
  </si>
  <si>
    <t>DN150</t>
  </si>
  <si>
    <t>NOTLAR ;</t>
  </si>
  <si>
    <t>Üretici : Arılı (Pipelife)</t>
  </si>
  <si>
    <r>
      <t xml:space="preserve">Akrilik Mastik 
</t>
    </r>
    <r>
      <rPr>
        <sz val="9"/>
        <color theme="1"/>
        <rFont val="Arial"/>
        <family val="2"/>
        <charset val="162"/>
      </rPr>
      <t>CP 606 Yangın Durdurucu Akustik Mastik - 580ml Beyaz</t>
    </r>
  </si>
  <si>
    <t>HİLTİ / FISCHER</t>
  </si>
  <si>
    <r>
      <t xml:space="preserve">İntümesan Mastik
</t>
    </r>
    <r>
      <rPr>
        <sz val="9"/>
        <color theme="1"/>
        <rFont val="Arial"/>
        <family val="2"/>
        <charset val="162"/>
      </rPr>
      <t>FS ONE Max Yangın Durdurucu İntümesan Mastik- Sosis</t>
    </r>
  </si>
  <si>
    <r>
      <t xml:space="preserve">Köpük
</t>
    </r>
    <r>
      <rPr>
        <sz val="9"/>
        <color theme="1"/>
        <rFont val="Arial"/>
        <family val="2"/>
        <charset val="162"/>
      </rPr>
      <t>CP 660 Yangın Durdurucu Köpük</t>
    </r>
  </si>
  <si>
    <r>
      <t xml:space="preserve">Harç
</t>
    </r>
    <r>
      <rPr>
        <sz val="9"/>
        <color theme="1"/>
        <rFont val="Arial"/>
        <family val="2"/>
        <charset val="162"/>
      </rPr>
      <t>CP 636 Yangın Durdurucu Harç</t>
    </r>
  </si>
  <si>
    <r>
      <t xml:space="preserve">Sonsuz Sargı
</t>
    </r>
    <r>
      <rPr>
        <sz val="9"/>
        <color theme="1"/>
        <rFont val="Arial"/>
        <family val="2"/>
        <charset val="162"/>
      </rPr>
      <t>CP 648-E-W45/1.8" Yangın Durdurucu Çoklu Sargı - 10 metre</t>
    </r>
  </si>
  <si>
    <r>
      <t xml:space="preserve">Panel Boyası
</t>
    </r>
    <r>
      <rPr>
        <sz val="9"/>
        <color theme="1"/>
        <rFont val="Arial"/>
        <family val="2"/>
        <charset val="162"/>
      </rPr>
      <t>CP 673 Yangın Durdurucu Taşyünü Panel Boyası</t>
    </r>
  </si>
  <si>
    <t>PASİF YANGIN DURDURUCU</t>
  </si>
  <si>
    <t>Pasif Yangın Durdurucu</t>
  </si>
  <si>
    <t>OTOMATİK KÖPÜKLÜ SÖNDÜRME SİSTEMİ</t>
  </si>
  <si>
    <t>SPRİNKLER SİSTEMİ</t>
  </si>
  <si>
    <t>TRAFO SU PÜSKÜRTME SİSTEMİ</t>
  </si>
  <si>
    <t>YANGIN POMPA ODASI</t>
  </si>
  <si>
    <t>KONVEYÖR SPRİNK SİSTEMİ</t>
  </si>
  <si>
    <t>TOZ AMBARI SÖNDÜRME SİSTEMİ</t>
  </si>
  <si>
    <t>POMPA ODASI SPRİNK SİSTEMİ</t>
  </si>
  <si>
    <t>FIRMA-C ENTEGRE SAHA-UC YANGIN TESİSATI TEKLİFİ</t>
  </si>
  <si>
    <t>FIRMA-C ENTEGRE SAHA-UC TEİSİSİ YANGIN TESİSATI</t>
  </si>
  <si>
    <t>FIRMA-C ENTEGRE</t>
  </si>
  <si>
    <t>Dikişli Siyah Çelik Yangın Suyu Borusu İzolasyonu</t>
  </si>
  <si>
    <t>Alüminyum Kalınlık : 0,60 mm</t>
  </si>
  <si>
    <t>Taşyünü Kalınlık : 80 mm ( Rabitz Telli Taşyünü )</t>
  </si>
  <si>
    <t>Üretici : İzocam,Ode</t>
  </si>
  <si>
    <r>
      <t>Dikişli Siyah Çelik Yangın Suyu Borusu, (DN300) (Yeni Planlanan)</t>
    </r>
    <r>
      <rPr>
        <b/>
        <sz val="9"/>
        <color rgb="FFFF0000"/>
        <rFont val="Arial"/>
        <family val="2"/>
        <charset val="162"/>
      </rPr>
      <t xml:space="preserve"> - 8,00 mm</t>
    </r>
  </si>
  <si>
    <t>14-GENEL KONVEYÖR SPRİNK</t>
  </si>
  <si>
    <t>Kollektör DN150</t>
  </si>
  <si>
    <t>Kollektör DN100</t>
  </si>
  <si>
    <t>Kollektör DN65</t>
  </si>
  <si>
    <t>Branşman Kelepçesi, DN100 x DN32</t>
  </si>
  <si>
    <t>Pres2-3 Çelik Kule Yangın Dolabı</t>
  </si>
  <si>
    <t>Pres-2 ve Pres-3 - Çelik Yangın Dolabı Sistemi Kurulumu</t>
  </si>
  <si>
    <t>GENEL TOPLAM :</t>
  </si>
  <si>
    <t xml:space="preserve">GENEL TOPLAM : </t>
  </si>
  <si>
    <t xml:space="preserve">GENEL TOPLAM  :  </t>
  </si>
  <si>
    <t xml:space="preserve">GENEL TOPLAM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</si>
</sst>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\ [$$-C0C]"/>
    <numFmt numFmtId="165" formatCode="[$-809]General"/>
    <numFmt numFmtId="166" formatCode="_-* #,##0.00_-\T\L;\-* #,##0.00_-;_-* &quot;-&quot;??_-;_-@_-"/>
    <numFmt numFmtId="167" formatCode="_-* #,##0.00\ &quot;TL&quot;_-;\-* #,##0.00\ &quot;TL&quot;_-;_-* &quot;-&quot;??\ &quot;TL&quot;_-;_-@_-"/>
    <numFmt numFmtId="168" formatCode="#,##0.00&quot;TL&quot;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b/>
      <sz val="9"/>
      <name val="Arial tour"/>
      <charset val="162"/>
    </font>
    <font>
      <sz val="9"/>
      <color theme="1"/>
      <name val="Arial"/>
      <family val="2"/>
      <charset val="162"/>
    </font>
    <font>
      <sz val="9"/>
      <color theme="1"/>
      <name val="Arial tour"/>
      <charset val="162"/>
    </font>
    <font>
      <b/>
      <sz val="9"/>
      <color theme="1"/>
      <name val="Arial tour"/>
      <charset val="162"/>
    </font>
    <font>
      <sz val="9"/>
      <name val="Arial tour"/>
      <charset val="162"/>
    </font>
    <font>
      <b/>
      <sz val="9"/>
      <name val="Tahoma"/>
      <family val="2"/>
    </font>
    <font>
      <sz val="9"/>
      <name val="Times New Roman"/>
      <family val="1"/>
    </font>
    <font>
      <sz val="9"/>
      <name val="Verdana"/>
      <family val="2"/>
    </font>
    <font>
      <sz val="10"/>
      <color theme="1"/>
      <name val="Arial"/>
      <family val="2"/>
      <charset val="162"/>
    </font>
    <font>
      <sz val="9"/>
      <name val="Arial"/>
      <family val="2"/>
      <charset val="162"/>
    </font>
    <font>
      <sz val="9"/>
      <name val="Tahoma"/>
      <family val="2"/>
      <charset val="162"/>
    </font>
    <font>
      <sz val="11"/>
      <name val="Arial"/>
      <family val="2"/>
      <charset val="162"/>
    </font>
    <font>
      <b/>
      <sz val="10"/>
      <color theme="1"/>
      <name val="Arial"/>
      <family val="2"/>
      <charset val="162"/>
    </font>
    <font>
      <sz val="9"/>
      <color theme="1"/>
      <name val="Calibri"/>
      <family val="2"/>
      <scheme val="minor"/>
    </font>
    <font>
      <b/>
      <sz val="10"/>
      <name val="Arial"/>
      <family val="2"/>
      <charset val="162"/>
    </font>
    <font>
      <b/>
      <i/>
      <sz val="10"/>
      <name val="Arial"/>
      <family val="2"/>
      <charset val="162"/>
    </font>
    <font>
      <i/>
      <sz val="10"/>
      <name val="Arial"/>
      <family val="2"/>
      <charset val="162"/>
    </font>
    <font>
      <sz val="10"/>
      <name val="Arial"/>
      <family val="2"/>
      <charset val="162"/>
    </font>
    <font>
      <b/>
      <sz val="8"/>
      <color theme="1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  <font>
      <sz val="8"/>
      <color theme="1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theme="1"/>
      <name val="Ariak"/>
      <charset val="162"/>
    </font>
    <font>
      <b/>
      <sz val="18"/>
      <color theme="1"/>
      <name val="Ariak"/>
      <charset val="162"/>
    </font>
    <font>
      <b/>
      <sz val="12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9"/>
      <color rgb="FFFF0000"/>
      <name val="Arial"/>
      <family val="2"/>
      <charset val="162"/>
    </font>
    <font>
      <b/>
      <sz val="9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6">
    <xf numFmtId="0" fontId="0" fillId="0" borderId="0"/>
    <xf numFmtId="165" fontId="12" fillId="0" borderId="0"/>
    <xf numFmtId="167" fontId="14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2" fillId="0" borderId="0"/>
    <xf numFmtId="0" fontId="1" fillId="0" borderId="0"/>
  </cellStyleXfs>
  <cellXfs count="17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7" fillId="3" borderId="8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2" fillId="2" borderId="0" xfId="0" applyFont="1" applyFill="1"/>
    <xf numFmtId="0" fontId="12" fillId="2" borderId="0" xfId="0" applyFont="1" applyFill="1" applyAlignment="1">
      <alignment horizontal="center" vertical="center"/>
    </xf>
    <xf numFmtId="0" fontId="12" fillId="0" borderId="0" xfId="0" applyFont="1"/>
    <xf numFmtId="0" fontId="16" fillId="2" borderId="2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7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/>
    </xf>
    <xf numFmtId="0" fontId="22" fillId="0" borderId="0" xfId="0" applyFont="1"/>
    <xf numFmtId="0" fontId="24" fillId="0" borderId="0" xfId="0" applyFont="1"/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center" vertical="center"/>
    </xf>
    <xf numFmtId="0" fontId="25" fillId="0" borderId="1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0" fillId="0" borderId="56" xfId="0" applyBorder="1"/>
    <xf numFmtId="0" fontId="0" fillId="0" borderId="25" xfId="0" applyBorder="1"/>
    <xf numFmtId="0" fontId="3" fillId="0" borderId="14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31" fillId="0" borderId="23" xfId="0" applyFont="1" applyBorder="1" applyAlignment="1">
      <alignment vertical="center"/>
    </xf>
    <xf numFmtId="0" fontId="3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left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8" fontId="5" fillId="0" borderId="11" xfId="0" applyNumberFormat="1" applyFont="1" applyBorder="1" applyAlignment="1">
      <alignment horizontal="center" vertical="center"/>
    </xf>
    <xf numFmtId="168" fontId="5" fillId="0" borderId="13" xfId="0" applyNumberFormat="1" applyFont="1" applyBorder="1" applyAlignment="1">
      <alignment horizontal="center" vertical="center"/>
    </xf>
    <xf numFmtId="168" fontId="8" fillId="0" borderId="16" xfId="0" applyNumberFormat="1" applyFont="1" applyBorder="1" applyAlignment="1" applyProtection="1">
      <alignment horizontal="center" vertical="center"/>
      <protection hidden="1"/>
    </xf>
    <xf numFmtId="168" fontId="8" fillId="0" borderId="17" xfId="0" applyNumberFormat="1" applyFont="1" applyBorder="1" applyAlignment="1" applyProtection="1">
      <alignment horizontal="center" vertical="center"/>
      <protection hidden="1"/>
    </xf>
    <xf numFmtId="168" fontId="5" fillId="0" borderId="30" xfId="0" applyNumberFormat="1" applyFont="1" applyBorder="1" applyAlignment="1">
      <alignment horizontal="center" vertical="center"/>
    </xf>
    <xf numFmtId="168" fontId="5" fillId="0" borderId="28" xfId="0" applyNumberFormat="1" applyFont="1" applyBorder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168" fontId="21" fillId="2" borderId="49" xfId="0" applyNumberFormat="1" applyFont="1" applyFill="1" applyBorder="1" applyAlignment="1" applyProtection="1">
      <alignment horizontal="center" vertical="center"/>
      <protection hidden="1"/>
    </xf>
    <xf numFmtId="168" fontId="21" fillId="2" borderId="23" xfId="0" applyNumberFormat="1" applyFont="1" applyFill="1" applyBorder="1" applyAlignment="1" applyProtection="1">
      <alignment horizontal="center" vertical="center"/>
      <protection hidden="1"/>
    </xf>
    <xf numFmtId="168" fontId="21" fillId="2" borderId="55" xfId="0" applyNumberFormat="1" applyFont="1" applyFill="1" applyBorder="1" applyAlignment="1" applyProtection="1">
      <alignment horizontal="center" vertical="center"/>
      <protection hidden="1"/>
    </xf>
    <xf numFmtId="168" fontId="16" fillId="4" borderId="32" xfId="0" applyNumberFormat="1" applyFont="1" applyFill="1" applyBorder="1" applyAlignment="1">
      <alignment horizontal="center" vertical="center"/>
    </xf>
    <xf numFmtId="168" fontId="7" fillId="0" borderId="7" xfId="0" applyNumberFormat="1" applyFont="1" applyBorder="1" applyAlignment="1">
      <alignment horizontal="center" vertical="center"/>
    </xf>
    <xf numFmtId="168" fontId="7" fillId="0" borderId="10" xfId="0" applyNumberFormat="1" applyFont="1" applyBorder="1" applyAlignment="1">
      <alignment horizontal="center" vertical="center"/>
    </xf>
    <xf numFmtId="168" fontId="0" fillId="0" borderId="0" xfId="0" applyNumberFormat="1"/>
    <xf numFmtId="168" fontId="29" fillId="0" borderId="0" xfId="0" applyNumberFormat="1" applyFont="1"/>
    <xf numFmtId="168" fontId="5" fillId="0" borderId="69" xfId="0" applyNumberFormat="1" applyFont="1" applyBorder="1" applyAlignment="1">
      <alignment horizontal="center" vertical="center"/>
    </xf>
    <xf numFmtId="168" fontId="5" fillId="0" borderId="68" xfId="0" applyNumberFormat="1" applyFont="1" applyBorder="1" applyAlignment="1">
      <alignment horizontal="center" vertical="center"/>
    </xf>
    <xf numFmtId="168" fontId="29" fillId="0" borderId="0" xfId="0" applyNumberFormat="1" applyFont="1" applyAlignment="1">
      <alignment horizontal="center" vertical="center"/>
    </xf>
    <xf numFmtId="168" fontId="34" fillId="0" borderId="0" xfId="0" applyNumberFormat="1" applyFont="1" applyAlignment="1">
      <alignment vertical="center"/>
    </xf>
    <xf numFmtId="168" fontId="29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168" fontId="34" fillId="0" borderId="0" xfId="0" applyNumberFormat="1" applyFont="1" applyAlignment="1">
      <alignment horizontal="center" vertical="center"/>
    </xf>
    <xf numFmtId="168" fontId="5" fillId="0" borderId="51" xfId="0" applyNumberFormat="1" applyFont="1" applyBorder="1" applyAlignment="1">
      <alignment horizontal="center" vertical="center"/>
    </xf>
    <xf numFmtId="168" fontId="5" fillId="0" borderId="64" xfId="0" applyNumberFormat="1" applyFont="1" applyBorder="1" applyAlignment="1">
      <alignment horizontal="center" vertical="center"/>
    </xf>
    <xf numFmtId="168" fontId="7" fillId="3" borderId="8" xfId="0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168" fontId="5" fillId="0" borderId="14" xfId="0" applyNumberFormat="1" applyFont="1" applyBorder="1" applyAlignment="1">
      <alignment horizontal="center" vertical="center"/>
    </xf>
    <xf numFmtId="168" fontId="5" fillId="0" borderId="27" xfId="0" applyNumberFormat="1" applyFont="1" applyBorder="1" applyAlignment="1">
      <alignment horizontal="center" vertical="center"/>
    </xf>
    <xf numFmtId="168" fontId="35" fillId="0" borderId="13" xfId="0" applyNumberFormat="1" applyFont="1" applyBorder="1" applyAlignment="1">
      <alignment horizontal="center" vertical="center"/>
    </xf>
    <xf numFmtId="166" fontId="18" fillId="2" borderId="50" xfId="0" applyNumberFormat="1" applyFont="1" applyFill="1" applyBorder="1" applyAlignment="1" applyProtection="1">
      <alignment horizontal="left" vertical="center"/>
      <protection hidden="1"/>
    </xf>
    <xf numFmtId="166" fontId="18" fillId="2" borderId="12" xfId="0" applyNumberFormat="1" applyFont="1" applyFill="1" applyBorder="1" applyAlignment="1" applyProtection="1">
      <alignment horizontal="left" vertical="center"/>
      <protection hidden="1"/>
    </xf>
    <xf numFmtId="0" fontId="16" fillId="2" borderId="47" xfId="4" applyFont="1" applyFill="1" applyBorder="1" applyAlignment="1">
      <alignment horizontal="left" vertical="center" wrapText="1"/>
    </xf>
    <xf numFmtId="0" fontId="16" fillId="2" borderId="63" xfId="4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166" fontId="18" fillId="2" borderId="52" xfId="0" applyNumberFormat="1" applyFont="1" applyFill="1" applyBorder="1" applyAlignment="1" applyProtection="1">
      <alignment horizontal="left" vertical="center"/>
      <protection hidden="1"/>
    </xf>
    <xf numFmtId="166" fontId="18" fillId="2" borderId="53" xfId="0" applyNumberFormat="1" applyFont="1" applyFill="1" applyBorder="1" applyAlignment="1" applyProtection="1">
      <alignment horizontal="left" vertical="center"/>
      <protection hidden="1"/>
    </xf>
    <xf numFmtId="0" fontId="16" fillId="2" borderId="1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166" fontId="18" fillId="2" borderId="20" xfId="0" applyNumberFormat="1" applyFont="1" applyFill="1" applyBorder="1" applyAlignment="1" applyProtection="1">
      <alignment horizontal="left" vertical="center"/>
      <protection hidden="1"/>
    </xf>
    <xf numFmtId="0" fontId="3" fillId="2" borderId="0" xfId="0" applyFont="1" applyFill="1" applyAlignment="1">
      <alignment horizontal="left" vertical="center" indent="4"/>
    </xf>
    <xf numFmtId="0" fontId="16" fillId="2" borderId="5" xfId="0" applyFont="1" applyFill="1" applyBorder="1" applyAlignment="1">
      <alignment horizontal="center" vertical="center"/>
    </xf>
    <xf numFmtId="0" fontId="28" fillId="2" borderId="34" xfId="4" applyFont="1" applyFill="1" applyBorder="1" applyAlignment="1">
      <alignment horizontal="center" vertical="center"/>
    </xf>
    <xf numFmtId="0" fontId="28" fillId="2" borderId="35" xfId="4" applyFont="1" applyFill="1" applyBorder="1" applyAlignment="1">
      <alignment horizontal="center" vertical="center"/>
    </xf>
    <xf numFmtId="0" fontId="28" fillId="2" borderId="36" xfId="4" applyFont="1" applyFill="1" applyBorder="1" applyAlignment="1">
      <alignment horizontal="center" vertical="center"/>
    </xf>
    <xf numFmtId="0" fontId="28" fillId="2" borderId="37" xfId="4" applyFont="1" applyFill="1" applyBorder="1" applyAlignment="1">
      <alignment horizontal="center" vertical="center"/>
    </xf>
    <xf numFmtId="0" fontId="28" fillId="2" borderId="38" xfId="4" applyFont="1" applyFill="1" applyBorder="1" applyAlignment="1">
      <alignment horizontal="center" vertical="center"/>
    </xf>
    <xf numFmtId="0" fontId="28" fillId="2" borderId="39" xfId="4" applyFont="1" applyFill="1" applyBorder="1" applyAlignment="1">
      <alignment horizontal="center" vertical="center"/>
    </xf>
    <xf numFmtId="0" fontId="16" fillId="2" borderId="40" xfId="4" applyFont="1" applyFill="1" applyBorder="1" applyAlignment="1">
      <alignment horizontal="left" vertical="center"/>
    </xf>
    <xf numFmtId="0" fontId="16" fillId="2" borderId="41" xfId="4" applyFont="1" applyFill="1" applyBorder="1" applyAlignment="1">
      <alignment horizontal="left" vertical="center"/>
    </xf>
    <xf numFmtId="0" fontId="16" fillId="2" borderId="36" xfId="4" applyFont="1" applyFill="1" applyBorder="1" applyAlignment="1">
      <alignment horizontal="left" vertical="center"/>
    </xf>
    <xf numFmtId="0" fontId="16" fillId="2" borderId="43" xfId="4" applyFont="1" applyFill="1" applyBorder="1" applyAlignment="1">
      <alignment horizontal="left" vertical="center"/>
    </xf>
    <xf numFmtId="0" fontId="18" fillId="2" borderId="36" xfId="4" applyFont="1" applyFill="1" applyBorder="1" applyAlignment="1">
      <alignment horizontal="left" vertical="center"/>
    </xf>
    <xf numFmtId="0" fontId="16" fillId="2" borderId="45" xfId="4" applyFont="1" applyFill="1" applyBorder="1" applyAlignment="1">
      <alignment horizontal="left" vertical="center"/>
    </xf>
    <xf numFmtId="0" fontId="16" fillId="2" borderId="46" xfId="4" applyFont="1" applyFill="1" applyBorder="1" applyAlignment="1">
      <alignment horizontal="left" vertical="center"/>
    </xf>
    <xf numFmtId="166" fontId="18" fillId="2" borderId="48" xfId="0" applyNumberFormat="1" applyFont="1" applyFill="1" applyBorder="1" applyAlignment="1" applyProtection="1">
      <alignment horizontal="left" vertical="center"/>
      <protection hidden="1"/>
    </xf>
    <xf numFmtId="166" fontId="18" fillId="2" borderId="15" xfId="0" applyNumberFormat="1" applyFont="1" applyFill="1" applyBorder="1" applyAlignment="1" applyProtection="1">
      <alignment horizontal="left" vertical="center"/>
      <protection hidden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/>
    </xf>
    <xf numFmtId="0" fontId="16" fillId="2" borderId="42" xfId="4" applyFont="1" applyFill="1" applyBorder="1" applyAlignment="1">
      <alignment horizontal="left" vertical="center" wrapText="1"/>
    </xf>
    <xf numFmtId="0" fontId="16" fillId="2" borderId="61" xfId="4" applyFont="1" applyFill="1" applyBorder="1" applyAlignment="1">
      <alignment horizontal="left" vertical="center" wrapText="1"/>
    </xf>
    <xf numFmtId="0" fontId="16" fillId="2" borderId="44" xfId="4" applyFont="1" applyFill="1" applyBorder="1" applyAlignment="1">
      <alignment horizontal="left" vertical="center" wrapText="1"/>
    </xf>
    <xf numFmtId="0" fontId="16" fillId="2" borderId="62" xfId="4" applyFont="1" applyFill="1" applyBorder="1" applyAlignment="1">
      <alignment horizontal="left" vertical="center" wrapText="1"/>
    </xf>
    <xf numFmtId="14" fontId="16" fillId="2" borderId="44" xfId="4" applyNumberFormat="1" applyFont="1" applyFill="1" applyBorder="1" applyAlignment="1">
      <alignment horizontal="left" vertical="center" wrapText="1"/>
    </xf>
    <xf numFmtId="14" fontId="16" fillId="2" borderId="62" xfId="4" applyNumberFormat="1" applyFont="1" applyFill="1" applyBorder="1" applyAlignment="1">
      <alignment horizontal="left" vertical="center" wrapTex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68" fontId="33" fillId="0" borderId="58" xfId="0" applyNumberFormat="1" applyFont="1" applyBorder="1" applyAlignment="1">
      <alignment horizontal="center" vertical="center"/>
    </xf>
    <xf numFmtId="168" fontId="34" fillId="0" borderId="58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168" fontId="29" fillId="0" borderId="58" xfId="0" applyNumberFormat="1" applyFont="1" applyBorder="1" applyAlignment="1">
      <alignment horizontal="center" vertical="center"/>
    </xf>
    <xf numFmtId="168" fontId="34" fillId="0" borderId="58" xfId="0" applyNumberFormat="1" applyFont="1" applyBorder="1" applyAlignment="1">
      <alignment horizontal="center" vertical="center"/>
    </xf>
  </cellXfs>
  <cellStyles count="6">
    <cellStyle name="Normal" xfId="0" builtinId="0"/>
    <cellStyle name="Normal 2" xfId="4"/>
    <cellStyle name="Normal 2 2" xfId="5"/>
    <cellStyle name="ParaBirimi 2" xfId="3"/>
    <cellStyle name="ParaBirimi 3 4" xfId="2"/>
    <cellStyle name="Stil 1 2 3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Uzunbey%20Tesisi%20Yang&#305;n%20Tesisat&#305;%20Teklif%20&#199;al&#305;&#351;mas&#305;%2012.02.2026%20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İcmal"/>
      <sheetName val="Notlar"/>
      <sheetName val="Yangın.Pompası"/>
      <sheetName val="Hidrant.Sistemi"/>
      <sheetName val="Otomatik.Sprinkler.Sistemi"/>
      <sheetName val="Konveyör.Sprinkler"/>
      <sheetName val="Köpüklü.Söndürme"/>
      <sheetName val="Trafo.Su.Püskürtme.Sistemi"/>
      <sheetName val="Yangın.Algılama.Anons"/>
      <sheetName val="Yangın.Durdurcu"/>
      <sheetName val="Degişk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0">
          <cell r="E30">
            <v>0.95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view="pageBreakPreview" zoomScaleNormal="100" zoomScaleSheetLayoutView="100" workbookViewId="0">
      <selection activeCell="C29" sqref="C29:E29"/>
    </sheetView>
  </sheetViews>
  <sheetFormatPr defaultColWidth="8.7109375" defaultRowHeight="12.75"/>
  <cols>
    <col min="1" max="1" width="4.140625" style="44" customWidth="1"/>
    <col min="2" max="2" width="7.7109375" style="30" bestFit="1" customWidth="1"/>
    <col min="3" max="3" width="6.140625" style="30" customWidth="1"/>
    <col min="4" max="4" width="51.140625" style="30" customWidth="1"/>
    <col min="5" max="5" width="21.5703125" style="30" customWidth="1"/>
    <col min="6" max="6" width="4.140625" style="44" customWidth="1"/>
    <col min="7" max="16384" width="8.7109375" style="44"/>
  </cols>
  <sheetData>
    <row r="1" spans="1:6" ht="13.5" thickBot="1">
      <c r="A1" s="42"/>
      <c r="B1" s="43"/>
      <c r="C1" s="43"/>
      <c r="D1" s="43"/>
      <c r="E1" s="43"/>
      <c r="F1" s="42"/>
    </row>
    <row r="2" spans="1:6">
      <c r="A2" s="42"/>
      <c r="B2" s="136" t="s">
        <v>748</v>
      </c>
      <c r="C2" s="137"/>
      <c r="D2" s="137"/>
      <c r="E2" s="137"/>
      <c r="F2" s="42"/>
    </row>
    <row r="3" spans="1:6">
      <c r="A3" s="42"/>
      <c r="B3" s="138"/>
      <c r="C3" s="139"/>
      <c r="D3" s="139"/>
      <c r="E3" s="139"/>
      <c r="F3" s="42"/>
    </row>
    <row r="4" spans="1:6" ht="13.5" thickBot="1">
      <c r="A4" s="42"/>
      <c r="B4" s="140"/>
      <c r="C4" s="141"/>
      <c r="D4" s="141"/>
      <c r="E4" s="141"/>
      <c r="F4" s="42"/>
    </row>
    <row r="5" spans="1:6" ht="14.45" customHeight="1">
      <c r="A5" s="42"/>
      <c r="B5" s="142" t="s">
        <v>557</v>
      </c>
      <c r="C5" s="143"/>
      <c r="D5" s="154" t="s">
        <v>749</v>
      </c>
      <c r="E5" s="155"/>
      <c r="F5" s="42"/>
    </row>
    <row r="6" spans="1:6">
      <c r="A6" s="42"/>
      <c r="B6" s="144" t="s">
        <v>558</v>
      </c>
      <c r="C6" s="145"/>
      <c r="D6" s="156" t="s">
        <v>578</v>
      </c>
      <c r="E6" s="157"/>
      <c r="F6" s="42"/>
    </row>
    <row r="7" spans="1:6">
      <c r="A7" s="42"/>
      <c r="B7" s="144" t="s">
        <v>559</v>
      </c>
      <c r="C7" s="145"/>
      <c r="D7" s="156" t="s">
        <v>579</v>
      </c>
      <c r="E7" s="157"/>
      <c r="F7" s="42"/>
    </row>
    <row r="8" spans="1:6">
      <c r="A8" s="42"/>
      <c r="B8" s="144" t="s">
        <v>560</v>
      </c>
      <c r="C8" s="145"/>
      <c r="D8" s="158"/>
      <c r="E8" s="159"/>
      <c r="F8" s="42"/>
    </row>
    <row r="9" spans="1:6">
      <c r="A9" s="42"/>
      <c r="B9" s="146" t="s">
        <v>561</v>
      </c>
      <c r="C9" s="145"/>
      <c r="D9" s="156"/>
      <c r="E9" s="157"/>
      <c r="F9" s="42"/>
    </row>
    <row r="10" spans="1:6" ht="15" customHeight="1" thickBot="1">
      <c r="A10" s="42"/>
      <c r="B10" s="147" t="s">
        <v>562</v>
      </c>
      <c r="C10" s="148"/>
      <c r="D10" s="126" t="s">
        <v>580</v>
      </c>
      <c r="E10" s="127"/>
      <c r="F10" s="42"/>
    </row>
    <row r="11" spans="1:6" ht="26.25" thickBot="1">
      <c r="A11" s="42"/>
      <c r="B11" s="45" t="s">
        <v>563</v>
      </c>
      <c r="C11" s="135" t="s">
        <v>564</v>
      </c>
      <c r="D11" s="132"/>
      <c r="E11" s="46" t="s">
        <v>565</v>
      </c>
      <c r="F11" s="42"/>
    </row>
    <row r="12" spans="1:6">
      <c r="A12" s="42"/>
      <c r="B12" s="47">
        <v>1</v>
      </c>
      <c r="C12" s="149" t="s">
        <v>566</v>
      </c>
      <c r="D12" s="150"/>
      <c r="E12" s="99">
        <f>Yangın.Pompa.Odası!G244</f>
        <v>270850</v>
      </c>
      <c r="F12" s="42"/>
    </row>
    <row r="13" spans="1:6">
      <c r="A13" s="42"/>
      <c r="B13" s="48">
        <v>2</v>
      </c>
      <c r="C13" s="124" t="s">
        <v>567</v>
      </c>
      <c r="D13" s="125" t="s">
        <v>568</v>
      </c>
      <c r="E13" s="100">
        <f>Hidrant.Sistemi!G150</f>
        <v>8303150</v>
      </c>
      <c r="F13" s="42"/>
    </row>
    <row r="14" spans="1:6" ht="14.45" customHeight="1">
      <c r="A14" s="42"/>
      <c r="B14" s="48">
        <v>3</v>
      </c>
      <c r="C14" s="125" t="s">
        <v>760</v>
      </c>
      <c r="D14" s="133"/>
      <c r="E14" s="100">
        <f>'Pres2-3 Çelik Kule'!F17</f>
        <v>1153500</v>
      </c>
      <c r="F14" s="42"/>
    </row>
    <row r="15" spans="1:6">
      <c r="A15" s="42"/>
      <c r="B15" s="48">
        <v>4</v>
      </c>
      <c r="C15" s="124" t="s">
        <v>572</v>
      </c>
      <c r="D15" s="125" t="s">
        <v>568</v>
      </c>
      <c r="E15" s="100">
        <f>Trafo.Su.Püskürtme!G176</f>
        <v>751120</v>
      </c>
      <c r="F15" s="42"/>
    </row>
    <row r="16" spans="1:6" ht="13.9" customHeight="1">
      <c r="A16" s="42"/>
      <c r="B16" s="48">
        <v>5</v>
      </c>
      <c r="C16" s="124" t="s">
        <v>569</v>
      </c>
      <c r="D16" s="125" t="s">
        <v>568</v>
      </c>
      <c r="E16" s="100">
        <f>Sprinkler.Sistemi!G78</f>
        <v>49111550</v>
      </c>
      <c r="F16" s="42"/>
    </row>
    <row r="17" spans="1:6" ht="13.9" customHeight="1">
      <c r="A17" s="42"/>
      <c r="B17" s="48">
        <v>6</v>
      </c>
      <c r="C17" s="124" t="s">
        <v>603</v>
      </c>
      <c r="D17" s="125" t="s">
        <v>568</v>
      </c>
      <c r="E17" s="100">
        <f>Konveyör.Sprink!H284</f>
        <v>2343160</v>
      </c>
      <c r="F17" s="42"/>
    </row>
    <row r="18" spans="1:6" ht="13.9" customHeight="1">
      <c r="A18" s="42"/>
      <c r="B18" s="48">
        <v>7</v>
      </c>
      <c r="C18" s="124" t="s">
        <v>724</v>
      </c>
      <c r="D18" s="125" t="s">
        <v>568</v>
      </c>
      <c r="E18" s="100">
        <f>Toz.Ambarı!G71</f>
        <v>92190</v>
      </c>
      <c r="F18" s="42"/>
    </row>
    <row r="19" spans="1:6" ht="13.9" customHeight="1">
      <c r="A19" s="42"/>
      <c r="B19" s="48">
        <v>8</v>
      </c>
      <c r="C19" s="124" t="s">
        <v>725</v>
      </c>
      <c r="D19" s="125" t="s">
        <v>568</v>
      </c>
      <c r="E19" s="100">
        <f>Pompa.Odası.Sprink!H20</f>
        <v>18180</v>
      </c>
      <c r="F19" s="42"/>
    </row>
    <row r="20" spans="1:6">
      <c r="A20" s="42"/>
      <c r="B20" s="48">
        <v>9</v>
      </c>
      <c r="C20" s="124" t="s">
        <v>571</v>
      </c>
      <c r="D20" s="125" t="s">
        <v>568</v>
      </c>
      <c r="E20" s="100">
        <f>Otomatik.Köpüklü!G735</f>
        <v>0</v>
      </c>
      <c r="F20" s="42"/>
    </row>
    <row r="21" spans="1:6" ht="13.5" thickBot="1">
      <c r="A21" s="42"/>
      <c r="B21" s="48">
        <v>11</v>
      </c>
      <c r="C21" s="129" t="s">
        <v>739</v>
      </c>
      <c r="D21" s="130"/>
      <c r="E21" s="101">
        <f>Yangın.Durdurucu!H16</f>
        <v>0</v>
      </c>
      <c r="F21" s="42"/>
    </row>
    <row r="22" spans="1:6" ht="24" customHeight="1" thickBot="1">
      <c r="A22" s="42"/>
      <c r="B22" s="131" t="s">
        <v>570</v>
      </c>
      <c r="C22" s="132"/>
      <c r="D22" s="132"/>
      <c r="E22" s="102">
        <f>SUM(E12:E21)</f>
        <v>62043700</v>
      </c>
      <c r="F22" s="42"/>
    </row>
    <row r="23" spans="1:6">
      <c r="A23" s="42"/>
      <c r="B23" s="49"/>
      <c r="C23" s="49"/>
      <c r="D23" s="49"/>
      <c r="E23" s="49"/>
      <c r="F23" s="42"/>
    </row>
    <row r="24" spans="1:6">
      <c r="A24" s="42"/>
      <c r="B24" s="134" t="s">
        <v>729</v>
      </c>
      <c r="C24" s="134"/>
      <c r="D24" s="134"/>
      <c r="E24" s="134"/>
      <c r="F24" s="42"/>
    </row>
    <row r="25" spans="1:6">
      <c r="A25" s="42"/>
      <c r="B25" s="50"/>
      <c r="C25" s="128"/>
      <c r="D25" s="128"/>
      <c r="E25" s="128"/>
      <c r="F25" s="42"/>
    </row>
    <row r="26" spans="1:6">
      <c r="A26" s="42"/>
      <c r="B26" s="50"/>
      <c r="C26" s="128"/>
      <c r="D26" s="128"/>
      <c r="E26" s="128"/>
      <c r="F26" s="42"/>
    </row>
    <row r="27" spans="1:6">
      <c r="A27" s="42"/>
      <c r="B27" s="50"/>
      <c r="C27" s="128"/>
      <c r="D27" s="128"/>
      <c r="E27" s="128"/>
      <c r="F27" s="42"/>
    </row>
    <row r="28" spans="1:6">
      <c r="A28" s="42"/>
      <c r="B28" s="50"/>
      <c r="C28" s="128"/>
      <c r="D28" s="128"/>
      <c r="E28" s="128"/>
      <c r="F28" s="42"/>
    </row>
    <row r="29" spans="1:6">
      <c r="A29" s="42"/>
      <c r="B29" s="50"/>
      <c r="C29" s="128"/>
      <c r="D29" s="128"/>
      <c r="E29" s="128"/>
      <c r="F29" s="42"/>
    </row>
    <row r="30" spans="1:6" ht="25.15" customHeight="1">
      <c r="A30" s="42"/>
      <c r="B30" s="50"/>
      <c r="C30" s="151"/>
      <c r="D30" s="151"/>
      <c r="E30" s="151"/>
      <c r="F30" s="42"/>
    </row>
    <row r="31" spans="1:6">
      <c r="A31" s="42"/>
      <c r="B31" s="50"/>
      <c r="C31" s="128"/>
      <c r="D31" s="128"/>
      <c r="E31" s="128"/>
      <c r="F31" s="42"/>
    </row>
    <row r="32" spans="1:6">
      <c r="A32" s="42"/>
      <c r="B32" s="50"/>
      <c r="C32" s="151"/>
      <c r="D32" s="151"/>
      <c r="E32" s="151"/>
      <c r="F32" s="42"/>
    </row>
    <row r="33" spans="1:6">
      <c r="A33" s="42"/>
      <c r="B33" s="152"/>
      <c r="C33" s="151"/>
      <c r="D33" s="151"/>
      <c r="E33" s="151"/>
      <c r="F33" s="42"/>
    </row>
    <row r="34" spans="1:6">
      <c r="A34" s="42"/>
      <c r="B34" s="153"/>
      <c r="C34" s="151"/>
      <c r="D34" s="151"/>
      <c r="E34" s="151"/>
      <c r="F34" s="42"/>
    </row>
    <row r="35" spans="1:6">
      <c r="A35" s="42"/>
      <c r="B35" s="43"/>
      <c r="C35" s="43"/>
      <c r="D35" s="43"/>
      <c r="E35" s="43"/>
      <c r="F35" s="42"/>
    </row>
    <row r="37" spans="1:6">
      <c r="D37" s="44"/>
    </row>
  </sheetData>
  <mergeCells count="36">
    <mergeCell ref="D6:E6"/>
    <mergeCell ref="D7:E7"/>
    <mergeCell ref="D8:E8"/>
    <mergeCell ref="D9:E9"/>
    <mergeCell ref="C32:E32"/>
    <mergeCell ref="B33:B34"/>
    <mergeCell ref="C33:E34"/>
    <mergeCell ref="C29:E29"/>
    <mergeCell ref="C30:E30"/>
    <mergeCell ref="C31:E31"/>
    <mergeCell ref="C27:E27"/>
    <mergeCell ref="C28:E28"/>
    <mergeCell ref="B24:E24"/>
    <mergeCell ref="C11:D11"/>
    <mergeCell ref="B2:E4"/>
    <mergeCell ref="B5:C5"/>
    <mergeCell ref="B6:C6"/>
    <mergeCell ref="B7:C7"/>
    <mergeCell ref="B8:C8"/>
    <mergeCell ref="B9:C9"/>
    <mergeCell ref="B10:C10"/>
    <mergeCell ref="C13:D13"/>
    <mergeCell ref="C20:D20"/>
    <mergeCell ref="C12:D12"/>
    <mergeCell ref="C16:D16"/>
    <mergeCell ref="D5:E5"/>
    <mergeCell ref="C17:D17"/>
    <mergeCell ref="D10:E10"/>
    <mergeCell ref="C26:E26"/>
    <mergeCell ref="C21:D21"/>
    <mergeCell ref="B22:D22"/>
    <mergeCell ref="C25:E25"/>
    <mergeCell ref="C15:D15"/>
    <mergeCell ref="C18:D18"/>
    <mergeCell ref="C19:D19"/>
    <mergeCell ref="C14:D14"/>
  </mergeCells>
  <printOptions horizontalCentered="1" verticalCentered="1"/>
  <pageMargins left="0" right="0" top="0" bottom="1.1811023622047245" header="0.31496062992125984" footer="0.31496062992125984"/>
  <pageSetup paperSize="9" fitToHeight="0" orientation="landscape" horizontalDpi="360" verticalDpi="360" r:id="rId1"/>
  <headerFooter>
    <oddFooter>&amp;CMerkez Ofis : Üçevler Mh. Esra Sk. No:6/21 Polat Plaza
Nilüfer / BURSA
Fabrika : Minareliçavuş Mah. 106(290)Sok. No:44 Kapı No:1
Nilüfer / BURSA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44"/>
  <sheetViews>
    <sheetView view="pageBreakPreview" zoomScaleNormal="100" zoomScaleSheetLayoutView="100" workbookViewId="0">
      <pane ySplit="8" topLeftCell="A228" activePane="bottomLeft" state="frozen"/>
      <selection pane="bottomLeft" activeCell="F245" sqref="F245"/>
    </sheetView>
  </sheetViews>
  <sheetFormatPr defaultColWidth="8.85546875" defaultRowHeight="12" outlineLevelCol="1"/>
  <cols>
    <col min="1" max="1" width="3.85546875" style="53" customWidth="1"/>
    <col min="2" max="2" width="5.28515625" style="53" customWidth="1"/>
    <col min="3" max="3" width="80.42578125" style="53" customWidth="1"/>
    <col min="4" max="4" width="5.7109375" style="53" bestFit="1" customWidth="1"/>
    <col min="5" max="5" width="5.42578125" style="53" bestFit="1" customWidth="1"/>
    <col min="6" max="6" width="14.7109375" style="53" customWidth="1" outlineLevel="1"/>
    <col min="7" max="7" width="24" style="53" customWidth="1" outlineLevel="1"/>
    <col min="8" max="8" width="2.85546875" style="53" customWidth="1"/>
    <col min="9" max="16384" width="8.85546875" style="53"/>
  </cols>
  <sheetData>
    <row r="1" spans="2:7" ht="12.75" thickBot="1"/>
    <row r="2" spans="2:7" s="41" customFormat="1" ht="12.4" customHeight="1">
      <c r="B2" s="160" t="s">
        <v>747</v>
      </c>
      <c r="C2" s="161"/>
      <c r="D2" s="161"/>
      <c r="E2" s="161"/>
      <c r="F2" s="161"/>
      <c r="G2" s="162"/>
    </row>
    <row r="3" spans="2:7" s="41" customFormat="1" ht="12.4" customHeight="1">
      <c r="B3" s="163"/>
      <c r="C3" s="164"/>
      <c r="D3" s="164"/>
      <c r="E3" s="164"/>
      <c r="F3" s="164"/>
      <c r="G3" s="165"/>
    </row>
    <row r="4" spans="2:7" s="41" customFormat="1" ht="12.4" customHeight="1">
      <c r="B4" s="163"/>
      <c r="C4" s="164"/>
      <c r="D4" s="164"/>
      <c r="E4" s="164"/>
      <c r="F4" s="164"/>
      <c r="G4" s="165"/>
    </row>
    <row r="5" spans="2:7" s="41" customFormat="1" ht="12.4" customHeight="1">
      <c r="B5" s="163"/>
      <c r="C5" s="164"/>
      <c r="D5" s="164"/>
      <c r="E5" s="164"/>
      <c r="F5" s="164"/>
      <c r="G5" s="165"/>
    </row>
    <row r="6" spans="2:7" s="41" customFormat="1" ht="13.15" customHeight="1" thickBot="1">
      <c r="B6" s="166"/>
      <c r="C6" s="167"/>
      <c r="D6" s="167"/>
      <c r="E6" s="167"/>
      <c r="F6" s="167"/>
      <c r="G6" s="168"/>
    </row>
    <row r="7" spans="2:7" ht="24.75" thickBot="1">
      <c r="B7" s="1" t="s">
        <v>0</v>
      </c>
      <c r="C7" s="1" t="s">
        <v>743</v>
      </c>
      <c r="D7" s="2" t="s">
        <v>2</v>
      </c>
      <c r="E7" s="3" t="s">
        <v>3</v>
      </c>
      <c r="F7" s="55" t="s">
        <v>5</v>
      </c>
      <c r="G7" s="54" t="s">
        <v>6</v>
      </c>
    </row>
    <row r="8" spans="2:7" ht="12.75" thickBot="1">
      <c r="B8" s="7"/>
      <c r="C8" s="57"/>
      <c r="D8" s="8"/>
      <c r="E8" s="9"/>
      <c r="F8" s="11"/>
      <c r="G8" s="58"/>
    </row>
    <row r="9" spans="2:7">
      <c r="B9" s="12"/>
      <c r="C9" s="51"/>
      <c r="D9" s="12"/>
      <c r="E9" s="13"/>
      <c r="F9" s="15"/>
      <c r="G9" s="16"/>
    </row>
    <row r="10" spans="2:7">
      <c r="B10" s="12">
        <v>1</v>
      </c>
      <c r="C10" s="51" t="s">
        <v>7</v>
      </c>
      <c r="D10" s="12">
        <v>2</v>
      </c>
      <c r="E10" s="13" t="s">
        <v>468</v>
      </c>
      <c r="F10" s="92">
        <v>40000</v>
      </c>
      <c r="G10" s="93">
        <f>F10*D10</f>
        <v>80000</v>
      </c>
    </row>
    <row r="11" spans="2:7">
      <c r="B11" s="12"/>
      <c r="C11" s="52" t="s">
        <v>8</v>
      </c>
      <c r="D11" s="12"/>
      <c r="E11" s="13"/>
      <c r="F11" s="94"/>
      <c r="G11" s="95"/>
    </row>
    <row r="12" spans="2:7">
      <c r="B12" s="12"/>
      <c r="C12" s="52" t="s">
        <v>12</v>
      </c>
      <c r="D12" s="12"/>
      <c r="E12" s="13"/>
      <c r="F12" s="92"/>
      <c r="G12" s="93"/>
    </row>
    <row r="13" spans="2:7">
      <c r="B13" s="12"/>
      <c r="C13" s="52" t="s">
        <v>13</v>
      </c>
      <c r="D13" s="12"/>
      <c r="E13" s="13"/>
      <c r="F13" s="92"/>
      <c r="G13" s="93"/>
    </row>
    <row r="14" spans="2:7">
      <c r="B14" s="12"/>
      <c r="C14" s="52" t="s">
        <v>14</v>
      </c>
      <c r="D14" s="12"/>
      <c r="E14" s="13"/>
      <c r="F14" s="92"/>
      <c r="G14" s="93"/>
    </row>
    <row r="15" spans="2:7">
      <c r="B15" s="12"/>
      <c r="C15" s="52" t="s">
        <v>9</v>
      </c>
      <c r="D15" s="12"/>
      <c r="E15" s="13"/>
      <c r="F15" s="92"/>
      <c r="G15" s="93"/>
    </row>
    <row r="16" spans="2:7">
      <c r="B16" s="12"/>
      <c r="C16" s="52" t="s">
        <v>10</v>
      </c>
      <c r="D16" s="12"/>
      <c r="E16" s="13"/>
      <c r="F16" s="92"/>
      <c r="G16" s="93"/>
    </row>
    <row r="17" spans="2:7">
      <c r="B17" s="12"/>
      <c r="C17" s="52" t="s">
        <v>11</v>
      </c>
      <c r="D17" s="12"/>
      <c r="E17" s="13"/>
      <c r="F17" s="92"/>
      <c r="G17" s="93"/>
    </row>
    <row r="18" spans="2:7">
      <c r="B18" s="12"/>
      <c r="C18" s="52" t="s">
        <v>15</v>
      </c>
      <c r="D18" s="12"/>
      <c r="E18" s="13"/>
      <c r="F18" s="92"/>
      <c r="G18" s="93"/>
    </row>
    <row r="19" spans="2:7">
      <c r="B19" s="12"/>
      <c r="C19" s="52" t="s">
        <v>16</v>
      </c>
      <c r="D19" s="12"/>
      <c r="E19" s="13"/>
      <c r="F19" s="92"/>
      <c r="G19" s="93"/>
    </row>
    <row r="20" spans="2:7">
      <c r="B20" s="12"/>
      <c r="C20" s="52" t="s">
        <v>17</v>
      </c>
      <c r="D20" s="12"/>
      <c r="E20" s="13"/>
      <c r="F20" s="92"/>
      <c r="G20" s="93"/>
    </row>
    <row r="21" spans="2:7">
      <c r="B21" s="12"/>
      <c r="C21" s="52" t="s">
        <v>18</v>
      </c>
      <c r="D21" s="12"/>
      <c r="E21" s="13"/>
      <c r="F21" s="92"/>
      <c r="G21" s="93"/>
    </row>
    <row r="22" spans="2:7">
      <c r="B22" s="12"/>
      <c r="C22" s="52" t="s">
        <v>19</v>
      </c>
      <c r="D22" s="12"/>
      <c r="E22" s="13"/>
      <c r="F22" s="92"/>
      <c r="G22" s="93"/>
    </row>
    <row r="23" spans="2:7">
      <c r="B23" s="12"/>
      <c r="C23" s="52" t="s">
        <v>20</v>
      </c>
      <c r="D23" s="12"/>
      <c r="E23" s="13"/>
      <c r="F23" s="92"/>
      <c r="G23" s="93"/>
    </row>
    <row r="24" spans="2:7">
      <c r="B24" s="12"/>
      <c r="C24" s="52" t="s">
        <v>21</v>
      </c>
      <c r="D24" s="12"/>
      <c r="E24" s="13"/>
      <c r="F24" s="92"/>
      <c r="G24" s="93"/>
    </row>
    <row r="25" spans="2:7">
      <c r="B25" s="12"/>
      <c r="C25" s="52" t="s">
        <v>22</v>
      </c>
      <c r="D25" s="12"/>
      <c r="E25" s="13"/>
      <c r="F25" s="92"/>
      <c r="G25" s="93"/>
    </row>
    <row r="26" spans="2:7">
      <c r="B26" s="12">
        <v>2</v>
      </c>
      <c r="C26" s="51" t="s">
        <v>471</v>
      </c>
      <c r="D26" s="12">
        <v>2</v>
      </c>
      <c r="E26" s="13" t="s">
        <v>468</v>
      </c>
      <c r="F26" s="92"/>
      <c r="G26" s="93">
        <f>F26*D26</f>
        <v>0</v>
      </c>
    </row>
    <row r="27" spans="2:7">
      <c r="B27" s="12"/>
      <c r="C27" s="52" t="s">
        <v>23</v>
      </c>
      <c r="D27" s="12"/>
      <c r="E27" s="13"/>
      <c r="F27" s="92"/>
      <c r="G27" s="93"/>
    </row>
    <row r="28" spans="2:7">
      <c r="B28" s="12"/>
      <c r="C28" s="52" t="s">
        <v>24</v>
      </c>
      <c r="D28" s="12"/>
      <c r="E28" s="13"/>
      <c r="F28" s="92"/>
      <c r="G28" s="93"/>
    </row>
    <row r="29" spans="2:7">
      <c r="B29" s="12"/>
      <c r="C29" s="52" t="s">
        <v>25</v>
      </c>
      <c r="D29" s="12"/>
      <c r="E29" s="13"/>
      <c r="F29" s="92"/>
      <c r="G29" s="93"/>
    </row>
    <row r="30" spans="2:7">
      <c r="B30" s="12"/>
      <c r="C30" s="52" t="s">
        <v>26</v>
      </c>
      <c r="D30" s="12"/>
      <c r="E30" s="13"/>
      <c r="F30" s="92"/>
      <c r="G30" s="93"/>
    </row>
    <row r="31" spans="2:7">
      <c r="B31" s="12"/>
      <c r="C31" s="52" t="s">
        <v>27</v>
      </c>
      <c r="D31" s="12"/>
      <c r="E31" s="13"/>
      <c r="F31" s="92"/>
      <c r="G31" s="93"/>
    </row>
    <row r="32" spans="2:7">
      <c r="B32" s="12"/>
      <c r="C32" s="52" t="s">
        <v>21</v>
      </c>
      <c r="D32" s="12"/>
      <c r="E32" s="13"/>
      <c r="F32" s="92"/>
      <c r="G32" s="93"/>
    </row>
    <row r="33" spans="2:7">
      <c r="B33" s="12">
        <v>3</v>
      </c>
      <c r="C33" s="51" t="s">
        <v>472</v>
      </c>
      <c r="D33" s="12">
        <v>1</v>
      </c>
      <c r="E33" s="13" t="s">
        <v>468</v>
      </c>
      <c r="F33" s="92">
        <v>20000</v>
      </c>
      <c r="G33" s="93">
        <f>F33*D33</f>
        <v>20000</v>
      </c>
    </row>
    <row r="34" spans="2:7">
      <c r="B34" s="12"/>
      <c r="C34" s="52" t="s">
        <v>28</v>
      </c>
      <c r="D34" s="12"/>
      <c r="E34" s="13"/>
      <c r="F34" s="92"/>
      <c r="G34" s="93"/>
    </row>
    <row r="35" spans="2:7">
      <c r="B35" s="12"/>
      <c r="C35" s="52" t="s">
        <v>29</v>
      </c>
      <c r="D35" s="12"/>
      <c r="E35" s="13"/>
      <c r="F35" s="92"/>
      <c r="G35" s="93"/>
    </row>
    <row r="36" spans="2:7">
      <c r="B36" s="12"/>
      <c r="C36" s="52" t="s">
        <v>30</v>
      </c>
      <c r="D36" s="12"/>
      <c r="E36" s="13"/>
      <c r="F36" s="92"/>
      <c r="G36" s="93"/>
    </row>
    <row r="37" spans="2:7">
      <c r="B37" s="12"/>
      <c r="C37" s="52" t="s">
        <v>31</v>
      </c>
      <c r="D37" s="12"/>
      <c r="E37" s="13"/>
      <c r="F37" s="92"/>
      <c r="G37" s="93"/>
    </row>
    <row r="38" spans="2:7">
      <c r="B38" s="12"/>
      <c r="C38" s="52" t="s">
        <v>32</v>
      </c>
      <c r="D38" s="12"/>
      <c r="E38" s="13"/>
      <c r="F38" s="92"/>
      <c r="G38" s="93"/>
    </row>
    <row r="39" spans="2:7">
      <c r="B39" s="12"/>
      <c r="C39" s="52" t="s">
        <v>33</v>
      </c>
      <c r="D39" s="12"/>
      <c r="E39" s="13"/>
      <c r="F39" s="92"/>
      <c r="G39" s="93"/>
    </row>
    <row r="40" spans="2:7">
      <c r="B40" s="12">
        <v>4</v>
      </c>
      <c r="C40" s="51" t="s">
        <v>473</v>
      </c>
      <c r="D40" s="12">
        <v>1</v>
      </c>
      <c r="E40" s="13" t="s">
        <v>468</v>
      </c>
      <c r="F40" s="92"/>
      <c r="G40" s="93">
        <f>F40*D40</f>
        <v>0</v>
      </c>
    </row>
    <row r="41" spans="2:7">
      <c r="B41" s="12"/>
      <c r="C41" s="52" t="s">
        <v>34</v>
      </c>
      <c r="D41" s="12"/>
      <c r="E41" s="13"/>
      <c r="F41" s="92"/>
      <c r="G41" s="93"/>
    </row>
    <row r="42" spans="2:7">
      <c r="B42" s="12"/>
      <c r="C42" s="52" t="s">
        <v>24</v>
      </c>
      <c r="D42" s="12"/>
      <c r="E42" s="13"/>
      <c r="F42" s="92"/>
      <c r="G42" s="93"/>
    </row>
    <row r="43" spans="2:7">
      <c r="B43" s="12"/>
      <c r="C43" s="52" t="s">
        <v>35</v>
      </c>
      <c r="D43" s="12"/>
      <c r="E43" s="13"/>
      <c r="F43" s="92"/>
      <c r="G43" s="93"/>
    </row>
    <row r="44" spans="2:7">
      <c r="B44" s="12"/>
      <c r="C44" s="52" t="s">
        <v>36</v>
      </c>
      <c r="D44" s="12"/>
      <c r="E44" s="13"/>
      <c r="F44" s="92"/>
      <c r="G44" s="93"/>
    </row>
    <row r="45" spans="2:7">
      <c r="B45" s="12"/>
      <c r="C45" s="52" t="s">
        <v>37</v>
      </c>
      <c r="D45" s="12"/>
      <c r="E45" s="13"/>
      <c r="F45" s="92"/>
      <c r="G45" s="93"/>
    </row>
    <row r="46" spans="2:7">
      <c r="B46" s="12"/>
      <c r="C46" s="52" t="s">
        <v>33</v>
      </c>
      <c r="D46" s="12"/>
      <c r="E46" s="13"/>
      <c r="F46" s="92"/>
      <c r="G46" s="93"/>
    </row>
    <row r="47" spans="2:7">
      <c r="B47" s="12">
        <v>5</v>
      </c>
      <c r="C47" s="51" t="s">
        <v>474</v>
      </c>
      <c r="D47" s="12">
        <v>2</v>
      </c>
      <c r="E47" s="13" t="s">
        <v>468</v>
      </c>
      <c r="F47" s="92">
        <v>6000</v>
      </c>
      <c r="G47" s="93">
        <f>F47*D47</f>
        <v>12000</v>
      </c>
    </row>
    <row r="48" spans="2:7">
      <c r="B48" s="12"/>
      <c r="C48" s="52" t="s">
        <v>38</v>
      </c>
      <c r="D48" s="12"/>
      <c r="E48" s="13"/>
      <c r="F48" s="92"/>
      <c r="G48" s="93"/>
    </row>
    <row r="49" spans="2:7">
      <c r="B49" s="12"/>
      <c r="C49" s="52" t="s">
        <v>39</v>
      </c>
      <c r="D49" s="12"/>
      <c r="E49" s="13"/>
      <c r="F49" s="92"/>
      <c r="G49" s="93"/>
    </row>
    <row r="50" spans="2:7">
      <c r="B50" s="12"/>
      <c r="C50" s="52" t="s">
        <v>40</v>
      </c>
      <c r="D50" s="12"/>
      <c r="E50" s="13"/>
      <c r="F50" s="92"/>
      <c r="G50" s="93"/>
    </row>
    <row r="51" spans="2:7">
      <c r="B51" s="12"/>
      <c r="C51" s="52" t="s">
        <v>41</v>
      </c>
      <c r="D51" s="12"/>
      <c r="E51" s="13"/>
      <c r="F51" s="92"/>
      <c r="G51" s="93"/>
    </row>
    <row r="52" spans="2:7">
      <c r="B52" s="12"/>
      <c r="C52" s="52" t="s">
        <v>42</v>
      </c>
      <c r="D52" s="12"/>
      <c r="E52" s="13"/>
      <c r="F52" s="92"/>
      <c r="G52" s="93"/>
    </row>
    <row r="53" spans="2:7">
      <c r="B53" s="12"/>
      <c r="C53" s="52" t="s">
        <v>43</v>
      </c>
      <c r="D53" s="12"/>
      <c r="E53" s="13"/>
      <c r="F53" s="92"/>
      <c r="G53" s="93"/>
    </row>
    <row r="54" spans="2:7">
      <c r="B54" s="12"/>
      <c r="C54" s="52" t="s">
        <v>47</v>
      </c>
      <c r="D54" s="12"/>
      <c r="E54" s="13"/>
      <c r="F54" s="92"/>
      <c r="G54" s="93"/>
    </row>
    <row r="55" spans="2:7">
      <c r="B55" s="12"/>
      <c r="C55" s="52" t="s">
        <v>44</v>
      </c>
      <c r="D55" s="12"/>
      <c r="E55" s="13"/>
      <c r="F55" s="92"/>
      <c r="G55" s="93"/>
    </row>
    <row r="56" spans="2:7">
      <c r="B56" s="12"/>
      <c r="C56" s="52" t="s">
        <v>45</v>
      </c>
      <c r="D56" s="12"/>
      <c r="E56" s="13"/>
      <c r="F56" s="92"/>
      <c r="G56" s="93"/>
    </row>
    <row r="57" spans="2:7">
      <c r="B57" s="12"/>
      <c r="C57" s="52" t="s">
        <v>46</v>
      </c>
      <c r="D57" s="12"/>
      <c r="E57" s="13"/>
      <c r="F57" s="92"/>
      <c r="G57" s="93"/>
    </row>
    <row r="58" spans="2:7">
      <c r="B58" s="12">
        <v>6</v>
      </c>
      <c r="C58" s="51" t="s">
        <v>474</v>
      </c>
      <c r="D58" s="12">
        <v>1</v>
      </c>
      <c r="E58" s="13" t="s">
        <v>468</v>
      </c>
      <c r="F58" s="92">
        <v>1500</v>
      </c>
      <c r="G58" s="93">
        <f>F58*D58</f>
        <v>1500</v>
      </c>
    </row>
    <row r="59" spans="2:7">
      <c r="B59" s="12"/>
      <c r="C59" s="52" t="s">
        <v>48</v>
      </c>
      <c r="D59" s="12"/>
      <c r="E59" s="13"/>
      <c r="F59" s="92"/>
      <c r="G59" s="93"/>
    </row>
    <row r="60" spans="2:7">
      <c r="B60" s="12"/>
      <c r="C60" s="52" t="s">
        <v>49</v>
      </c>
      <c r="D60" s="12"/>
      <c r="E60" s="13"/>
      <c r="F60" s="92"/>
      <c r="G60" s="93"/>
    </row>
    <row r="61" spans="2:7">
      <c r="B61" s="12">
        <v>7</v>
      </c>
      <c r="C61" s="51" t="s">
        <v>475</v>
      </c>
      <c r="D61" s="12">
        <v>2</v>
      </c>
      <c r="E61" s="13" t="s">
        <v>468</v>
      </c>
      <c r="F61" s="92">
        <v>4000</v>
      </c>
      <c r="G61" s="93">
        <f>F61*D61</f>
        <v>8000</v>
      </c>
    </row>
    <row r="62" spans="2:7">
      <c r="B62" s="12"/>
      <c r="C62" s="52" t="s">
        <v>50</v>
      </c>
      <c r="D62" s="12"/>
      <c r="E62" s="13"/>
      <c r="F62" s="92"/>
      <c r="G62" s="93"/>
    </row>
    <row r="63" spans="2:7">
      <c r="B63" s="12"/>
      <c r="C63" s="52" t="s">
        <v>51</v>
      </c>
      <c r="D63" s="12"/>
      <c r="E63" s="13"/>
      <c r="F63" s="92"/>
      <c r="G63" s="93"/>
    </row>
    <row r="64" spans="2:7">
      <c r="B64" s="12"/>
      <c r="C64" s="52" t="s">
        <v>52</v>
      </c>
      <c r="D64" s="12"/>
      <c r="E64" s="13"/>
      <c r="F64" s="92"/>
      <c r="G64" s="93"/>
    </row>
    <row r="65" spans="2:7">
      <c r="B65" s="12"/>
      <c r="C65" s="52" t="s">
        <v>53</v>
      </c>
      <c r="D65" s="12"/>
      <c r="E65" s="13"/>
      <c r="F65" s="92"/>
      <c r="G65" s="93"/>
    </row>
    <row r="66" spans="2:7">
      <c r="B66" s="12"/>
      <c r="C66" s="52" t="s">
        <v>54</v>
      </c>
      <c r="D66" s="12"/>
      <c r="E66" s="13"/>
      <c r="F66" s="92"/>
      <c r="G66" s="93"/>
    </row>
    <row r="67" spans="2:7">
      <c r="B67" s="12"/>
      <c r="C67" s="52" t="s">
        <v>45</v>
      </c>
      <c r="D67" s="12"/>
      <c r="E67" s="13"/>
      <c r="F67" s="92"/>
      <c r="G67" s="93"/>
    </row>
    <row r="68" spans="2:7">
      <c r="B68" s="12"/>
      <c r="C68" s="52" t="s">
        <v>55</v>
      </c>
      <c r="D68" s="12"/>
      <c r="E68" s="13"/>
      <c r="F68" s="92"/>
      <c r="G68" s="93"/>
    </row>
    <row r="69" spans="2:7">
      <c r="B69" s="12">
        <v>8</v>
      </c>
      <c r="C69" s="51" t="s">
        <v>475</v>
      </c>
      <c r="D69" s="12">
        <v>1</v>
      </c>
      <c r="E69" s="13" t="s">
        <v>468</v>
      </c>
      <c r="F69" s="92">
        <v>2000</v>
      </c>
      <c r="G69" s="93">
        <f>F69*D69</f>
        <v>2000</v>
      </c>
    </row>
    <row r="70" spans="2:7">
      <c r="B70" s="12"/>
      <c r="C70" s="52" t="s">
        <v>48</v>
      </c>
      <c r="D70" s="12"/>
      <c r="E70" s="13"/>
      <c r="F70" s="92"/>
      <c r="G70" s="93"/>
    </row>
    <row r="71" spans="2:7">
      <c r="B71" s="12"/>
      <c r="C71" s="52" t="s">
        <v>56</v>
      </c>
      <c r="D71" s="12"/>
      <c r="E71" s="13"/>
      <c r="F71" s="92"/>
      <c r="G71" s="93"/>
    </row>
    <row r="72" spans="2:7">
      <c r="B72" s="12">
        <v>9</v>
      </c>
      <c r="C72" s="51" t="s">
        <v>475</v>
      </c>
      <c r="D72" s="12">
        <v>1</v>
      </c>
      <c r="E72" s="13" t="s">
        <v>468</v>
      </c>
      <c r="F72" s="92">
        <v>750</v>
      </c>
      <c r="G72" s="93">
        <f>F72*D72</f>
        <v>750</v>
      </c>
    </row>
    <row r="73" spans="2:7">
      <c r="B73" s="12"/>
      <c r="C73" s="52" t="s">
        <v>48</v>
      </c>
      <c r="D73" s="12"/>
      <c r="E73" s="13"/>
      <c r="F73" s="92"/>
      <c r="G73" s="93"/>
    </row>
    <row r="74" spans="2:7">
      <c r="B74" s="12"/>
      <c r="C74" s="52" t="s">
        <v>49</v>
      </c>
      <c r="D74" s="12"/>
      <c r="E74" s="13"/>
      <c r="F74" s="92"/>
      <c r="G74" s="93"/>
    </row>
    <row r="75" spans="2:7">
      <c r="B75" s="12">
        <v>10</v>
      </c>
      <c r="C75" s="51" t="s">
        <v>477</v>
      </c>
      <c r="D75" s="12">
        <v>2</v>
      </c>
      <c r="E75" s="13" t="s">
        <v>468</v>
      </c>
      <c r="F75" s="92">
        <v>3000</v>
      </c>
      <c r="G75" s="93">
        <f>F75*D75</f>
        <v>6000</v>
      </c>
    </row>
    <row r="76" spans="2:7">
      <c r="B76" s="12"/>
      <c r="C76" s="52" t="s">
        <v>57</v>
      </c>
      <c r="D76" s="12"/>
      <c r="E76" s="13"/>
      <c r="F76" s="92"/>
      <c r="G76" s="93"/>
    </row>
    <row r="77" spans="2:7">
      <c r="B77" s="12"/>
      <c r="C77" s="52" t="s">
        <v>40</v>
      </c>
      <c r="D77" s="12"/>
      <c r="E77" s="13"/>
      <c r="F77" s="92"/>
      <c r="G77" s="93"/>
    </row>
    <row r="78" spans="2:7">
      <c r="B78" s="12"/>
      <c r="C78" s="52" t="s">
        <v>53</v>
      </c>
      <c r="D78" s="12"/>
      <c r="E78" s="13"/>
      <c r="F78" s="92"/>
      <c r="G78" s="93"/>
    </row>
    <row r="79" spans="2:7">
      <c r="B79" s="12"/>
      <c r="C79" s="52" t="s">
        <v>46</v>
      </c>
      <c r="D79" s="12"/>
      <c r="E79" s="13"/>
      <c r="F79" s="92"/>
      <c r="G79" s="93"/>
    </row>
    <row r="80" spans="2:7">
      <c r="B80" s="12">
        <v>11</v>
      </c>
      <c r="C80" s="51" t="s">
        <v>614</v>
      </c>
      <c r="D80" s="12">
        <v>2</v>
      </c>
      <c r="E80" s="13" t="s">
        <v>468</v>
      </c>
      <c r="F80" s="92">
        <v>4500</v>
      </c>
      <c r="G80" s="93">
        <f>F80*D80</f>
        <v>9000</v>
      </c>
    </row>
    <row r="81" spans="2:7">
      <c r="B81" s="12"/>
      <c r="C81" s="52" t="s">
        <v>615</v>
      </c>
      <c r="D81" s="12"/>
      <c r="E81" s="13"/>
      <c r="F81" s="92"/>
      <c r="G81" s="93"/>
    </row>
    <row r="82" spans="2:7">
      <c r="B82" s="12"/>
      <c r="C82" s="52" t="s">
        <v>58</v>
      </c>
      <c r="D82" s="12"/>
      <c r="E82" s="13"/>
      <c r="F82" s="92"/>
      <c r="G82" s="93"/>
    </row>
    <row r="83" spans="2:7">
      <c r="B83" s="12"/>
      <c r="C83" s="52" t="s">
        <v>53</v>
      </c>
      <c r="D83" s="12"/>
      <c r="E83" s="13"/>
      <c r="F83" s="92"/>
      <c r="G83" s="93"/>
    </row>
    <row r="84" spans="2:7">
      <c r="B84" s="12"/>
      <c r="C84" s="52" t="s">
        <v>59</v>
      </c>
      <c r="D84" s="12"/>
      <c r="E84" s="13"/>
      <c r="F84" s="92"/>
      <c r="G84" s="93"/>
    </row>
    <row r="85" spans="2:7">
      <c r="B85" s="12"/>
      <c r="C85" s="52" t="s">
        <v>60</v>
      </c>
      <c r="D85" s="12"/>
      <c r="E85" s="13"/>
      <c r="F85" s="92"/>
      <c r="G85" s="93"/>
    </row>
    <row r="86" spans="2:7">
      <c r="B86" s="12"/>
      <c r="C86" s="52" t="s">
        <v>61</v>
      </c>
      <c r="D86" s="12"/>
      <c r="E86" s="13"/>
      <c r="F86" s="92"/>
      <c r="G86" s="93"/>
    </row>
    <row r="87" spans="2:7">
      <c r="B87" s="12"/>
      <c r="C87" s="52" t="s">
        <v>62</v>
      </c>
      <c r="D87" s="12"/>
      <c r="E87" s="13"/>
      <c r="F87" s="92"/>
      <c r="G87" s="93"/>
    </row>
    <row r="88" spans="2:7">
      <c r="B88" s="12"/>
      <c r="C88" s="52" t="s">
        <v>63</v>
      </c>
      <c r="D88" s="12"/>
      <c r="E88" s="13"/>
      <c r="F88" s="92"/>
      <c r="G88" s="93"/>
    </row>
    <row r="89" spans="2:7">
      <c r="B89" s="12"/>
      <c r="C89" s="52" t="s">
        <v>64</v>
      </c>
      <c r="D89" s="12"/>
      <c r="E89" s="13"/>
      <c r="F89" s="92"/>
      <c r="G89" s="93"/>
    </row>
    <row r="90" spans="2:7">
      <c r="B90" s="12"/>
      <c r="C90" s="52" t="s">
        <v>55</v>
      </c>
      <c r="D90" s="12"/>
      <c r="E90" s="13"/>
      <c r="F90" s="92"/>
      <c r="G90" s="93"/>
    </row>
    <row r="91" spans="2:7">
      <c r="B91" s="12">
        <v>11</v>
      </c>
      <c r="C91" s="51" t="s">
        <v>476</v>
      </c>
      <c r="D91" s="12">
        <v>2</v>
      </c>
      <c r="E91" s="13" t="s">
        <v>468</v>
      </c>
      <c r="F91" s="92">
        <v>4000</v>
      </c>
      <c r="G91" s="93">
        <f>F91*D91</f>
        <v>8000</v>
      </c>
    </row>
    <row r="92" spans="2:7">
      <c r="B92" s="12"/>
      <c r="C92" s="52" t="s">
        <v>50</v>
      </c>
      <c r="D92" s="12"/>
      <c r="E92" s="13"/>
      <c r="F92" s="92"/>
      <c r="G92" s="93"/>
    </row>
    <row r="93" spans="2:7">
      <c r="B93" s="12"/>
      <c r="C93" s="52" t="s">
        <v>58</v>
      </c>
      <c r="D93" s="12"/>
      <c r="E93" s="13"/>
      <c r="F93" s="92"/>
      <c r="G93" s="93"/>
    </row>
    <row r="94" spans="2:7">
      <c r="B94" s="12"/>
      <c r="C94" s="52" t="s">
        <v>53</v>
      </c>
      <c r="D94" s="12"/>
      <c r="E94" s="13"/>
      <c r="F94" s="92"/>
      <c r="G94" s="93"/>
    </row>
    <row r="95" spans="2:7">
      <c r="B95" s="12"/>
      <c r="C95" s="52" t="s">
        <v>59</v>
      </c>
      <c r="D95" s="12"/>
      <c r="E95" s="13"/>
      <c r="F95" s="92"/>
      <c r="G95" s="93"/>
    </row>
    <row r="96" spans="2:7">
      <c r="B96" s="12"/>
      <c r="C96" s="52" t="s">
        <v>60</v>
      </c>
      <c r="D96" s="12"/>
      <c r="E96" s="13"/>
      <c r="F96" s="92"/>
      <c r="G96" s="93"/>
    </row>
    <row r="97" spans="2:7">
      <c r="B97" s="12"/>
      <c r="C97" s="52" t="s">
        <v>61</v>
      </c>
      <c r="D97" s="12"/>
      <c r="E97" s="13"/>
      <c r="F97" s="92"/>
      <c r="G97" s="93"/>
    </row>
    <row r="98" spans="2:7">
      <c r="B98" s="12"/>
      <c r="C98" s="52" t="s">
        <v>62</v>
      </c>
      <c r="D98" s="12"/>
      <c r="E98" s="13"/>
      <c r="F98" s="92"/>
      <c r="G98" s="93"/>
    </row>
    <row r="99" spans="2:7">
      <c r="B99" s="12"/>
      <c r="C99" s="52" t="s">
        <v>63</v>
      </c>
      <c r="D99" s="12"/>
      <c r="E99" s="13"/>
      <c r="F99" s="92"/>
      <c r="G99" s="93"/>
    </row>
    <row r="100" spans="2:7">
      <c r="B100" s="12"/>
      <c r="C100" s="52" t="s">
        <v>64</v>
      </c>
      <c r="D100" s="12"/>
      <c r="E100" s="13"/>
      <c r="F100" s="92"/>
      <c r="G100" s="93"/>
    </row>
    <row r="101" spans="2:7">
      <c r="B101" s="12"/>
      <c r="C101" s="52" t="s">
        <v>55</v>
      </c>
      <c r="D101" s="12"/>
      <c r="E101" s="13"/>
      <c r="F101" s="92"/>
      <c r="G101" s="93"/>
    </row>
    <row r="102" spans="2:7">
      <c r="B102" s="12">
        <v>12</v>
      </c>
      <c r="C102" s="51" t="s">
        <v>478</v>
      </c>
      <c r="D102" s="12">
        <v>3</v>
      </c>
      <c r="E102" s="13" t="s">
        <v>468</v>
      </c>
      <c r="F102" s="92">
        <v>3500</v>
      </c>
      <c r="G102" s="93">
        <f>F102*D102</f>
        <v>10500</v>
      </c>
    </row>
    <row r="103" spans="2:7">
      <c r="B103" s="12"/>
      <c r="C103" s="52" t="s">
        <v>48</v>
      </c>
      <c r="D103" s="12"/>
      <c r="E103" s="13"/>
      <c r="F103" s="92"/>
      <c r="G103" s="93"/>
    </row>
    <row r="104" spans="2:7">
      <c r="B104" s="12"/>
      <c r="C104" s="52" t="s">
        <v>65</v>
      </c>
      <c r="D104" s="12"/>
      <c r="E104" s="13"/>
      <c r="F104" s="92"/>
      <c r="G104" s="93"/>
    </row>
    <row r="105" spans="2:7">
      <c r="B105" s="12">
        <v>13</v>
      </c>
      <c r="C105" s="51" t="s">
        <v>479</v>
      </c>
      <c r="D105" s="12">
        <v>1</v>
      </c>
      <c r="E105" s="13" t="s">
        <v>468</v>
      </c>
      <c r="F105" s="92">
        <v>3500</v>
      </c>
      <c r="G105" s="93">
        <f>F105*D105</f>
        <v>3500</v>
      </c>
    </row>
    <row r="106" spans="2:7">
      <c r="B106" s="12"/>
      <c r="C106" s="52" t="s">
        <v>66</v>
      </c>
      <c r="D106" s="12"/>
      <c r="E106" s="13"/>
      <c r="F106" s="92"/>
      <c r="G106" s="93"/>
    </row>
    <row r="107" spans="2:7">
      <c r="B107" s="12"/>
      <c r="C107" s="52" t="s">
        <v>67</v>
      </c>
      <c r="D107" s="12"/>
      <c r="E107" s="13"/>
      <c r="F107" s="92"/>
      <c r="G107" s="93"/>
    </row>
    <row r="108" spans="2:7">
      <c r="B108" s="12"/>
      <c r="C108" s="52" t="s">
        <v>68</v>
      </c>
      <c r="D108" s="12"/>
      <c r="E108" s="13"/>
      <c r="F108" s="92"/>
      <c r="G108" s="93"/>
    </row>
    <row r="109" spans="2:7">
      <c r="B109" s="12"/>
      <c r="C109" s="52" t="s">
        <v>69</v>
      </c>
      <c r="D109" s="12"/>
      <c r="E109" s="13"/>
      <c r="F109" s="92"/>
      <c r="G109" s="93"/>
    </row>
    <row r="110" spans="2:7">
      <c r="B110" s="12"/>
      <c r="C110" s="52" t="s">
        <v>46</v>
      </c>
      <c r="D110" s="12"/>
      <c r="E110" s="13"/>
      <c r="F110" s="92"/>
      <c r="G110" s="93"/>
    </row>
    <row r="111" spans="2:7">
      <c r="B111" s="12">
        <v>14</v>
      </c>
      <c r="C111" s="51" t="s">
        <v>480</v>
      </c>
      <c r="D111" s="12">
        <v>1</v>
      </c>
      <c r="E111" s="13" t="s">
        <v>468</v>
      </c>
      <c r="F111" s="92">
        <v>2500</v>
      </c>
      <c r="G111" s="93">
        <f>F111*D111</f>
        <v>2500</v>
      </c>
    </row>
    <row r="112" spans="2:7">
      <c r="B112" s="12"/>
      <c r="C112" s="52" t="s">
        <v>70</v>
      </c>
      <c r="D112" s="12"/>
      <c r="E112" s="13"/>
      <c r="F112" s="92"/>
      <c r="G112" s="93"/>
    </row>
    <row r="113" spans="2:7">
      <c r="B113" s="12"/>
      <c r="C113" s="52" t="s">
        <v>71</v>
      </c>
      <c r="D113" s="12"/>
      <c r="E113" s="13"/>
      <c r="F113" s="92"/>
      <c r="G113" s="93"/>
    </row>
    <row r="114" spans="2:7">
      <c r="B114" s="12"/>
      <c r="C114" s="52" t="s">
        <v>72</v>
      </c>
      <c r="D114" s="12"/>
      <c r="E114" s="13"/>
      <c r="F114" s="92"/>
      <c r="G114" s="93"/>
    </row>
    <row r="115" spans="2:7">
      <c r="B115" s="12"/>
      <c r="C115" s="52" t="s">
        <v>73</v>
      </c>
      <c r="D115" s="12"/>
      <c r="E115" s="13"/>
      <c r="F115" s="92"/>
      <c r="G115" s="93"/>
    </row>
    <row r="116" spans="2:7">
      <c r="B116" s="12"/>
      <c r="C116" s="52" t="s">
        <v>74</v>
      </c>
      <c r="D116" s="12"/>
      <c r="E116" s="13"/>
      <c r="F116" s="92"/>
      <c r="G116" s="93"/>
    </row>
    <row r="117" spans="2:7">
      <c r="B117" s="12"/>
      <c r="C117" s="52" t="s">
        <v>75</v>
      </c>
      <c r="D117" s="12"/>
      <c r="E117" s="13"/>
      <c r="F117" s="92"/>
      <c r="G117" s="93"/>
    </row>
    <row r="118" spans="2:7">
      <c r="B118" s="12"/>
      <c r="C118" s="52" t="s">
        <v>55</v>
      </c>
      <c r="D118" s="12"/>
      <c r="E118" s="13"/>
      <c r="F118" s="92"/>
      <c r="G118" s="93"/>
    </row>
    <row r="119" spans="2:7">
      <c r="B119" s="12">
        <v>15</v>
      </c>
      <c r="C119" s="51" t="s">
        <v>481</v>
      </c>
      <c r="D119" s="12">
        <v>1</v>
      </c>
      <c r="E119" s="13" t="s">
        <v>468</v>
      </c>
      <c r="F119" s="92">
        <v>500</v>
      </c>
      <c r="G119" s="93">
        <f>F119*D119</f>
        <v>500</v>
      </c>
    </row>
    <row r="120" spans="2:7">
      <c r="B120" s="12"/>
      <c r="C120" s="52" t="s">
        <v>76</v>
      </c>
      <c r="D120" s="12"/>
      <c r="E120" s="13"/>
      <c r="F120" s="92"/>
      <c r="G120" s="93"/>
    </row>
    <row r="121" spans="2:7">
      <c r="B121" s="12"/>
      <c r="C121" s="52" t="s">
        <v>77</v>
      </c>
      <c r="D121" s="12"/>
      <c r="E121" s="13"/>
      <c r="F121" s="92"/>
      <c r="G121" s="93"/>
    </row>
    <row r="122" spans="2:7">
      <c r="B122" s="12"/>
      <c r="C122" s="52" t="s">
        <v>80</v>
      </c>
      <c r="D122" s="12"/>
      <c r="E122" s="13"/>
      <c r="F122" s="92"/>
      <c r="G122" s="93"/>
    </row>
    <row r="123" spans="2:7">
      <c r="B123" s="12"/>
      <c r="C123" s="52" t="s">
        <v>78</v>
      </c>
      <c r="D123" s="12"/>
      <c r="E123" s="13"/>
      <c r="F123" s="92"/>
      <c r="G123" s="93"/>
    </row>
    <row r="124" spans="2:7">
      <c r="B124" s="12"/>
      <c r="C124" s="52" t="s">
        <v>79</v>
      </c>
      <c r="D124" s="12"/>
      <c r="E124" s="13"/>
      <c r="F124" s="92"/>
      <c r="G124" s="93"/>
    </row>
    <row r="125" spans="2:7">
      <c r="B125" s="12"/>
      <c r="C125" s="52" t="s">
        <v>46</v>
      </c>
      <c r="D125" s="12"/>
      <c r="E125" s="13"/>
      <c r="F125" s="92"/>
      <c r="G125" s="93"/>
    </row>
    <row r="126" spans="2:7">
      <c r="B126" s="12">
        <v>16</v>
      </c>
      <c r="C126" s="51" t="s">
        <v>482</v>
      </c>
      <c r="D126" s="12">
        <v>3</v>
      </c>
      <c r="E126" s="13" t="s">
        <v>468</v>
      </c>
      <c r="F126" s="92">
        <v>600</v>
      </c>
      <c r="G126" s="93">
        <f>F126*D126</f>
        <v>1800</v>
      </c>
    </row>
    <row r="127" spans="2:7">
      <c r="B127" s="12"/>
      <c r="C127" s="52" t="s">
        <v>81</v>
      </c>
      <c r="D127" s="12"/>
      <c r="E127" s="13"/>
      <c r="F127" s="92"/>
      <c r="G127" s="93"/>
    </row>
    <row r="128" spans="2:7">
      <c r="B128" s="12"/>
      <c r="C128" s="52" t="s">
        <v>82</v>
      </c>
      <c r="D128" s="12"/>
      <c r="E128" s="13"/>
      <c r="F128" s="92"/>
      <c r="G128" s="93"/>
    </row>
    <row r="129" spans="2:7">
      <c r="B129" s="12"/>
      <c r="C129" s="52" t="s">
        <v>83</v>
      </c>
      <c r="D129" s="12"/>
      <c r="E129" s="13"/>
      <c r="F129" s="92"/>
      <c r="G129" s="93"/>
    </row>
    <row r="130" spans="2:7">
      <c r="B130" s="12"/>
      <c r="C130" s="52" t="s">
        <v>84</v>
      </c>
      <c r="D130" s="12"/>
      <c r="E130" s="13"/>
      <c r="F130" s="92"/>
      <c r="G130" s="93"/>
    </row>
    <row r="131" spans="2:7">
      <c r="B131" s="12"/>
      <c r="C131" s="52" t="s">
        <v>85</v>
      </c>
      <c r="D131" s="12"/>
      <c r="E131" s="13"/>
      <c r="F131" s="92"/>
      <c r="G131" s="93"/>
    </row>
    <row r="132" spans="2:7">
      <c r="B132" s="12"/>
      <c r="C132" s="52" t="s">
        <v>86</v>
      </c>
      <c r="D132" s="12"/>
      <c r="E132" s="13"/>
      <c r="F132" s="92"/>
      <c r="G132" s="93"/>
    </row>
    <row r="133" spans="2:7">
      <c r="B133" s="12">
        <v>17</v>
      </c>
      <c r="C133" s="51" t="s">
        <v>483</v>
      </c>
      <c r="D133" s="12">
        <v>4</v>
      </c>
      <c r="E133" s="13" t="s">
        <v>468</v>
      </c>
      <c r="F133" s="92"/>
      <c r="G133" s="93">
        <f>F133*D133</f>
        <v>0</v>
      </c>
    </row>
    <row r="134" spans="2:7">
      <c r="B134" s="12"/>
      <c r="C134" s="52" t="s">
        <v>87</v>
      </c>
      <c r="D134" s="12"/>
      <c r="E134" s="13"/>
      <c r="F134" s="92"/>
      <c r="G134" s="93"/>
    </row>
    <row r="135" spans="2:7">
      <c r="B135" s="12"/>
      <c r="C135" s="52" t="s">
        <v>38</v>
      </c>
      <c r="D135" s="12"/>
      <c r="E135" s="13"/>
      <c r="F135" s="92"/>
      <c r="G135" s="93"/>
    </row>
    <row r="136" spans="2:7">
      <c r="B136" s="12"/>
      <c r="C136" s="52" t="s">
        <v>88</v>
      </c>
      <c r="D136" s="12"/>
      <c r="E136" s="13"/>
      <c r="F136" s="92"/>
      <c r="G136" s="93"/>
    </row>
    <row r="137" spans="2:7">
      <c r="B137" s="12"/>
      <c r="C137" s="52" t="s">
        <v>89</v>
      </c>
      <c r="D137" s="12"/>
      <c r="E137" s="13"/>
      <c r="F137" s="92"/>
      <c r="G137" s="93"/>
    </row>
    <row r="138" spans="2:7">
      <c r="B138" s="12"/>
      <c r="C138" s="52" t="s">
        <v>90</v>
      </c>
      <c r="D138" s="12"/>
      <c r="E138" s="13"/>
      <c r="F138" s="92"/>
      <c r="G138" s="93"/>
    </row>
    <row r="139" spans="2:7">
      <c r="B139" s="12"/>
      <c r="C139" s="52" t="s">
        <v>91</v>
      </c>
      <c r="D139" s="12"/>
      <c r="E139" s="13"/>
      <c r="F139" s="92"/>
      <c r="G139" s="93"/>
    </row>
    <row r="140" spans="2:7">
      <c r="B140" s="12"/>
      <c r="C140" s="52" t="s">
        <v>46</v>
      </c>
      <c r="D140" s="12"/>
      <c r="E140" s="13"/>
      <c r="F140" s="92"/>
      <c r="G140" s="93"/>
    </row>
    <row r="141" spans="2:7">
      <c r="B141" s="12">
        <v>18</v>
      </c>
      <c r="C141" s="51" t="s">
        <v>484</v>
      </c>
      <c r="D141" s="12">
        <v>1</v>
      </c>
      <c r="E141" s="13" t="s">
        <v>468</v>
      </c>
      <c r="F141" s="92">
        <v>400</v>
      </c>
      <c r="G141" s="93">
        <f>F141*D141</f>
        <v>400</v>
      </c>
    </row>
    <row r="142" spans="2:7">
      <c r="B142" s="12"/>
      <c r="C142" s="52" t="s">
        <v>92</v>
      </c>
      <c r="D142" s="12"/>
      <c r="E142" s="13"/>
      <c r="F142" s="92"/>
      <c r="G142" s="93"/>
    </row>
    <row r="143" spans="2:7">
      <c r="B143" s="12"/>
      <c r="C143" s="52" t="s">
        <v>93</v>
      </c>
      <c r="D143" s="12"/>
      <c r="E143" s="13"/>
      <c r="F143" s="92"/>
      <c r="G143" s="93"/>
    </row>
    <row r="144" spans="2:7">
      <c r="B144" s="12"/>
      <c r="C144" s="52" t="s">
        <v>94</v>
      </c>
      <c r="D144" s="12"/>
      <c r="E144" s="13"/>
      <c r="F144" s="92"/>
      <c r="G144" s="93"/>
    </row>
    <row r="145" spans="2:7">
      <c r="B145" s="12"/>
      <c r="C145" s="52" t="s">
        <v>95</v>
      </c>
      <c r="D145" s="12"/>
      <c r="E145" s="13"/>
      <c r="F145" s="92"/>
      <c r="G145" s="93"/>
    </row>
    <row r="146" spans="2:7">
      <c r="B146" s="12"/>
      <c r="C146" s="52" t="s">
        <v>96</v>
      </c>
      <c r="D146" s="12"/>
      <c r="E146" s="13"/>
      <c r="F146" s="92"/>
      <c r="G146" s="93"/>
    </row>
    <row r="147" spans="2:7">
      <c r="B147" s="12">
        <v>19</v>
      </c>
      <c r="C147" s="51" t="s">
        <v>485</v>
      </c>
      <c r="D147" s="12">
        <v>30</v>
      </c>
      <c r="E147" s="13" t="s">
        <v>468</v>
      </c>
      <c r="F147" s="92"/>
      <c r="G147" s="93">
        <f>F147*D147</f>
        <v>0</v>
      </c>
    </row>
    <row r="148" spans="2:7">
      <c r="B148" s="12"/>
      <c r="C148" s="52" t="s">
        <v>97</v>
      </c>
      <c r="D148" s="12"/>
      <c r="E148" s="13"/>
      <c r="F148" s="92"/>
      <c r="G148" s="93"/>
    </row>
    <row r="149" spans="2:7">
      <c r="B149" s="12"/>
      <c r="C149" s="52" t="s">
        <v>98</v>
      </c>
      <c r="D149" s="12"/>
      <c r="E149" s="13"/>
      <c r="F149" s="92"/>
      <c r="G149" s="93"/>
    </row>
    <row r="150" spans="2:7">
      <c r="B150" s="12">
        <v>20</v>
      </c>
      <c r="C150" s="51" t="s">
        <v>486</v>
      </c>
      <c r="D150" s="12">
        <v>60</v>
      </c>
      <c r="E150" s="13" t="s">
        <v>469</v>
      </c>
      <c r="F150" s="92">
        <v>220</v>
      </c>
      <c r="G150" s="93">
        <f>F150*D150</f>
        <v>13200</v>
      </c>
    </row>
    <row r="151" spans="2:7">
      <c r="B151" s="12"/>
      <c r="C151" s="52" t="s">
        <v>99</v>
      </c>
      <c r="D151" s="12"/>
      <c r="E151" s="13"/>
      <c r="F151" s="92"/>
      <c r="G151" s="93"/>
    </row>
    <row r="152" spans="2:7">
      <c r="B152" s="12"/>
      <c r="C152" s="52" t="s">
        <v>100</v>
      </c>
      <c r="D152" s="12"/>
      <c r="E152" s="13"/>
      <c r="F152" s="92"/>
      <c r="G152" s="93"/>
    </row>
    <row r="153" spans="2:7">
      <c r="B153" s="12"/>
      <c r="C153" s="52" t="s">
        <v>101</v>
      </c>
      <c r="D153" s="12"/>
      <c r="E153" s="13"/>
      <c r="F153" s="92"/>
      <c r="G153" s="93"/>
    </row>
    <row r="154" spans="2:7">
      <c r="B154" s="12"/>
      <c r="C154" s="52" t="s">
        <v>102</v>
      </c>
      <c r="D154" s="12"/>
      <c r="E154" s="13"/>
      <c r="F154" s="92"/>
      <c r="G154" s="93"/>
    </row>
    <row r="155" spans="2:7">
      <c r="B155" s="12"/>
      <c r="C155" s="52" t="s">
        <v>103</v>
      </c>
      <c r="D155" s="12"/>
      <c r="E155" s="13"/>
      <c r="F155" s="92"/>
      <c r="G155" s="93"/>
    </row>
    <row r="156" spans="2:7">
      <c r="B156" s="12"/>
      <c r="C156" s="52" t="s">
        <v>96</v>
      </c>
      <c r="D156" s="12"/>
      <c r="E156" s="13"/>
      <c r="F156" s="92"/>
      <c r="G156" s="93"/>
    </row>
    <row r="157" spans="2:7">
      <c r="B157" s="12">
        <v>21</v>
      </c>
      <c r="C157" s="51" t="s">
        <v>487</v>
      </c>
      <c r="D157" s="12">
        <v>50</v>
      </c>
      <c r="E157" s="13" t="s">
        <v>469</v>
      </c>
      <c r="F157" s="92">
        <v>1000</v>
      </c>
      <c r="G157" s="93">
        <f>F157*D157</f>
        <v>50000</v>
      </c>
    </row>
    <row r="158" spans="2:7">
      <c r="B158" s="12"/>
      <c r="C158" s="52" t="s">
        <v>38</v>
      </c>
      <c r="D158" s="12"/>
      <c r="E158" s="13"/>
      <c r="F158" s="92"/>
      <c r="G158" s="93"/>
    </row>
    <row r="159" spans="2:7">
      <c r="B159" s="12"/>
      <c r="C159" s="52" t="s">
        <v>100</v>
      </c>
      <c r="D159" s="12"/>
      <c r="E159" s="13"/>
      <c r="F159" s="92"/>
      <c r="G159" s="93"/>
    </row>
    <row r="160" spans="2:7">
      <c r="B160" s="12"/>
      <c r="C160" s="52" t="s">
        <v>104</v>
      </c>
      <c r="D160" s="12"/>
      <c r="E160" s="13"/>
      <c r="F160" s="92"/>
      <c r="G160" s="93"/>
    </row>
    <row r="161" spans="2:7">
      <c r="B161" s="12"/>
      <c r="C161" s="52" t="s">
        <v>105</v>
      </c>
      <c r="D161" s="12"/>
      <c r="E161" s="13"/>
      <c r="F161" s="92"/>
      <c r="G161" s="93"/>
    </row>
    <row r="162" spans="2:7">
      <c r="B162" s="12"/>
      <c r="C162" s="52" t="s">
        <v>106</v>
      </c>
      <c r="D162" s="12"/>
      <c r="E162" s="13"/>
      <c r="F162" s="92"/>
      <c r="G162" s="93"/>
    </row>
    <row r="163" spans="2:7">
      <c r="B163" s="12"/>
      <c r="C163" s="52" t="s">
        <v>107</v>
      </c>
      <c r="D163" s="12"/>
      <c r="E163" s="13"/>
      <c r="F163" s="92"/>
      <c r="G163" s="93"/>
    </row>
    <row r="164" spans="2:7">
      <c r="B164" s="12"/>
      <c r="C164" s="52" t="s">
        <v>108</v>
      </c>
      <c r="D164" s="12"/>
      <c r="E164" s="13"/>
      <c r="F164" s="92"/>
      <c r="G164" s="93"/>
    </row>
    <row r="165" spans="2:7">
      <c r="B165" s="12">
        <v>22</v>
      </c>
      <c r="C165" s="51" t="s">
        <v>488</v>
      </c>
      <c r="D165" s="12">
        <v>30</v>
      </c>
      <c r="E165" s="13" t="s">
        <v>469</v>
      </c>
      <c r="F165" s="92">
        <v>750</v>
      </c>
      <c r="G165" s="93">
        <f>F165*D165</f>
        <v>22500</v>
      </c>
    </row>
    <row r="166" spans="2:7">
      <c r="B166" s="12"/>
      <c r="C166" s="52" t="s">
        <v>48</v>
      </c>
      <c r="D166" s="12"/>
      <c r="E166" s="13"/>
      <c r="F166" s="92"/>
      <c r="G166" s="93"/>
    </row>
    <row r="167" spans="2:7">
      <c r="B167" s="12"/>
      <c r="C167" s="52" t="s">
        <v>65</v>
      </c>
      <c r="D167" s="12"/>
      <c r="E167" s="13"/>
      <c r="F167" s="92"/>
      <c r="G167" s="93"/>
    </row>
    <row r="168" spans="2:7">
      <c r="B168" s="12">
        <v>23</v>
      </c>
      <c r="C168" s="51" t="s">
        <v>616</v>
      </c>
      <c r="D168" s="12">
        <v>6</v>
      </c>
      <c r="E168" s="13" t="s">
        <v>469</v>
      </c>
      <c r="F168" s="92">
        <v>550</v>
      </c>
      <c r="G168" s="93">
        <f>F168*D168</f>
        <v>3300</v>
      </c>
    </row>
    <row r="169" spans="2:7">
      <c r="B169" s="12"/>
      <c r="C169" s="52" t="s">
        <v>48</v>
      </c>
      <c r="D169" s="12"/>
      <c r="E169" s="13"/>
      <c r="F169" s="92"/>
      <c r="G169" s="93"/>
    </row>
    <row r="170" spans="2:7">
      <c r="B170" s="12"/>
      <c r="C170" s="52" t="s">
        <v>232</v>
      </c>
      <c r="D170" s="12"/>
      <c r="E170" s="13"/>
      <c r="F170" s="92"/>
      <c r="G170" s="93"/>
    </row>
    <row r="171" spans="2:7">
      <c r="B171" s="12">
        <v>23</v>
      </c>
      <c r="C171" s="51" t="s">
        <v>489</v>
      </c>
      <c r="D171" s="12">
        <v>18</v>
      </c>
      <c r="E171" s="13" t="s">
        <v>469</v>
      </c>
      <c r="F171" s="92">
        <v>300</v>
      </c>
      <c r="G171" s="93">
        <f>F171*D171</f>
        <v>5400</v>
      </c>
    </row>
    <row r="172" spans="2:7">
      <c r="B172" s="12"/>
      <c r="C172" s="52" t="s">
        <v>48</v>
      </c>
      <c r="D172" s="12"/>
      <c r="E172" s="13"/>
      <c r="F172" s="92"/>
      <c r="G172" s="93"/>
    </row>
    <row r="173" spans="2:7">
      <c r="B173" s="12"/>
      <c r="C173" s="52" t="s">
        <v>109</v>
      </c>
      <c r="D173" s="12"/>
      <c r="E173" s="13"/>
      <c r="F173" s="92"/>
      <c r="G173" s="93"/>
    </row>
    <row r="174" spans="2:7">
      <c r="B174" s="12">
        <v>24</v>
      </c>
      <c r="C174" s="51" t="s">
        <v>490</v>
      </c>
      <c r="D174" s="12">
        <v>1</v>
      </c>
      <c r="E174" s="13" t="s">
        <v>468</v>
      </c>
      <c r="F174" s="92">
        <v>8000</v>
      </c>
      <c r="G174" s="93">
        <f>F174*D174</f>
        <v>8000</v>
      </c>
    </row>
    <row r="175" spans="2:7">
      <c r="B175" s="12"/>
      <c r="C175" s="52" t="s">
        <v>110</v>
      </c>
      <c r="D175" s="12"/>
      <c r="E175" s="13"/>
      <c r="F175" s="92"/>
      <c r="G175" s="93"/>
    </row>
    <row r="176" spans="2:7">
      <c r="B176" s="12"/>
      <c r="C176" s="52" t="s">
        <v>111</v>
      </c>
      <c r="D176" s="12"/>
      <c r="E176" s="13"/>
      <c r="F176" s="92"/>
      <c r="G176" s="93"/>
    </row>
    <row r="177" spans="2:7">
      <c r="B177" s="12"/>
      <c r="C177" s="52" t="s">
        <v>112</v>
      </c>
      <c r="D177" s="12"/>
      <c r="E177" s="13"/>
      <c r="F177" s="92"/>
      <c r="G177" s="93"/>
    </row>
    <row r="178" spans="2:7">
      <c r="B178" s="12"/>
      <c r="C178" s="52" t="s">
        <v>113</v>
      </c>
      <c r="D178" s="12"/>
      <c r="E178" s="13"/>
      <c r="F178" s="92"/>
      <c r="G178" s="93"/>
    </row>
    <row r="179" spans="2:7">
      <c r="B179" s="12"/>
      <c r="C179" s="52" t="s">
        <v>114</v>
      </c>
      <c r="D179" s="12"/>
      <c r="E179" s="13"/>
      <c r="F179" s="92"/>
      <c r="G179" s="93"/>
    </row>
    <row r="180" spans="2:7">
      <c r="B180" s="12"/>
      <c r="C180" s="52" t="s">
        <v>100</v>
      </c>
      <c r="D180" s="12"/>
      <c r="E180" s="13"/>
      <c r="F180" s="92"/>
      <c r="G180" s="93"/>
    </row>
    <row r="181" spans="2:7">
      <c r="B181" s="12"/>
      <c r="C181" s="52" t="s">
        <v>115</v>
      </c>
      <c r="D181" s="12"/>
      <c r="E181" s="13"/>
      <c r="F181" s="92"/>
      <c r="G181" s="93"/>
    </row>
    <row r="182" spans="2:7">
      <c r="B182" s="12"/>
      <c r="C182" s="52" t="s">
        <v>116</v>
      </c>
      <c r="D182" s="12"/>
      <c r="E182" s="13"/>
      <c r="F182" s="92"/>
      <c r="G182" s="93"/>
    </row>
    <row r="183" spans="2:7">
      <c r="B183" s="12">
        <v>25</v>
      </c>
      <c r="C183" s="51" t="s">
        <v>491</v>
      </c>
      <c r="D183" s="12">
        <v>3</v>
      </c>
      <c r="E183" s="13" t="s">
        <v>468</v>
      </c>
      <c r="F183" s="92"/>
      <c r="G183" s="93">
        <f>F183*D183</f>
        <v>0</v>
      </c>
    </row>
    <row r="184" spans="2:7">
      <c r="B184" s="12"/>
      <c r="C184" s="52" t="s">
        <v>117</v>
      </c>
      <c r="D184" s="12"/>
      <c r="E184" s="13"/>
      <c r="F184" s="92"/>
      <c r="G184" s="93"/>
    </row>
    <row r="185" spans="2:7">
      <c r="B185" s="12"/>
      <c r="C185" s="52" t="s">
        <v>38</v>
      </c>
      <c r="D185" s="12"/>
      <c r="E185" s="13"/>
      <c r="F185" s="92"/>
      <c r="G185" s="93"/>
    </row>
    <row r="186" spans="2:7">
      <c r="B186" s="12"/>
      <c r="C186" s="52" t="s">
        <v>118</v>
      </c>
      <c r="D186" s="12"/>
      <c r="E186" s="13"/>
      <c r="F186" s="92"/>
      <c r="G186" s="93"/>
    </row>
    <row r="187" spans="2:7">
      <c r="B187" s="12">
        <v>26</v>
      </c>
      <c r="C187" s="51" t="s">
        <v>492</v>
      </c>
      <c r="D187" s="12">
        <v>1</v>
      </c>
      <c r="E187" s="13" t="s">
        <v>470</v>
      </c>
      <c r="F187" s="92"/>
      <c r="G187" s="93">
        <f>F187*D187</f>
        <v>0</v>
      </c>
    </row>
    <row r="188" spans="2:7">
      <c r="B188" s="12"/>
      <c r="C188" s="52" t="s">
        <v>119</v>
      </c>
      <c r="D188" s="12"/>
      <c r="E188" s="13"/>
      <c r="F188" s="92"/>
      <c r="G188" s="93"/>
    </row>
    <row r="189" spans="2:7">
      <c r="B189" s="12"/>
      <c r="C189" s="52" t="s">
        <v>120</v>
      </c>
      <c r="D189" s="12"/>
      <c r="E189" s="13"/>
      <c r="F189" s="92"/>
      <c r="G189" s="93"/>
    </row>
    <row r="190" spans="2:7">
      <c r="B190" s="12"/>
      <c r="C190" s="52" t="s">
        <v>121</v>
      </c>
      <c r="D190" s="12"/>
      <c r="E190" s="13"/>
      <c r="F190" s="92"/>
      <c r="G190" s="93"/>
    </row>
    <row r="191" spans="2:7">
      <c r="B191" s="12"/>
      <c r="C191" s="52" t="s">
        <v>122</v>
      </c>
      <c r="D191" s="12"/>
      <c r="E191" s="13"/>
      <c r="F191" s="92"/>
      <c r="G191" s="93"/>
    </row>
    <row r="192" spans="2:7">
      <c r="B192" s="12"/>
      <c r="C192" s="52" t="s">
        <v>123</v>
      </c>
      <c r="D192" s="12"/>
      <c r="E192" s="13"/>
      <c r="F192" s="92"/>
      <c r="G192" s="93"/>
    </row>
    <row r="193" spans="2:7">
      <c r="B193" s="12"/>
      <c r="C193" s="52" t="s">
        <v>124</v>
      </c>
      <c r="D193" s="12"/>
      <c r="E193" s="13"/>
      <c r="F193" s="92"/>
      <c r="G193" s="93"/>
    </row>
    <row r="194" spans="2:7">
      <c r="B194" s="12"/>
      <c r="C194" s="52" t="s">
        <v>125</v>
      </c>
      <c r="D194" s="12"/>
      <c r="E194" s="13"/>
      <c r="F194" s="92"/>
      <c r="G194" s="93"/>
    </row>
    <row r="195" spans="2:7">
      <c r="B195" s="12"/>
      <c r="C195" s="52" t="s">
        <v>126</v>
      </c>
      <c r="D195" s="12"/>
      <c r="E195" s="13"/>
      <c r="F195" s="92"/>
      <c r="G195" s="93"/>
    </row>
    <row r="196" spans="2:7">
      <c r="B196" s="12"/>
      <c r="C196" s="52" t="s">
        <v>127</v>
      </c>
      <c r="D196" s="12"/>
      <c r="E196" s="13"/>
      <c r="F196" s="92"/>
      <c r="G196" s="93"/>
    </row>
    <row r="197" spans="2:7">
      <c r="B197" s="12"/>
      <c r="C197" s="52" t="s">
        <v>128</v>
      </c>
      <c r="D197" s="12"/>
      <c r="E197" s="13"/>
      <c r="F197" s="92"/>
      <c r="G197" s="93"/>
    </row>
    <row r="198" spans="2:7">
      <c r="B198" s="12">
        <v>27</v>
      </c>
      <c r="C198" s="51" t="s">
        <v>498</v>
      </c>
      <c r="D198" s="12">
        <v>1</v>
      </c>
      <c r="E198" s="13" t="s">
        <v>470</v>
      </c>
      <c r="F198" s="92"/>
      <c r="G198" s="93">
        <f>F198*D198</f>
        <v>0</v>
      </c>
    </row>
    <row r="199" spans="2:7">
      <c r="B199" s="12"/>
      <c r="C199" s="52" t="s">
        <v>129</v>
      </c>
      <c r="D199" s="12"/>
      <c r="E199" s="13"/>
      <c r="F199" s="92"/>
      <c r="G199" s="93"/>
    </row>
    <row r="200" spans="2:7">
      <c r="B200" s="12"/>
      <c r="C200" s="52" t="s">
        <v>130</v>
      </c>
      <c r="D200" s="12"/>
      <c r="E200" s="13"/>
      <c r="F200" s="92"/>
      <c r="G200" s="93"/>
    </row>
    <row r="201" spans="2:7">
      <c r="B201" s="12"/>
      <c r="C201" s="52" t="s">
        <v>131</v>
      </c>
      <c r="D201" s="12"/>
      <c r="E201" s="13"/>
      <c r="F201" s="92"/>
      <c r="G201" s="93"/>
    </row>
    <row r="202" spans="2:7">
      <c r="B202" s="12"/>
      <c r="C202" s="52" t="s">
        <v>132</v>
      </c>
      <c r="D202" s="12"/>
      <c r="E202" s="13"/>
      <c r="F202" s="92"/>
      <c r="G202" s="93"/>
    </row>
    <row r="203" spans="2:7">
      <c r="B203" s="12">
        <v>28</v>
      </c>
      <c r="C203" s="51" t="s">
        <v>497</v>
      </c>
      <c r="D203" s="12">
        <v>1</v>
      </c>
      <c r="E203" s="13" t="s">
        <v>470</v>
      </c>
      <c r="F203" s="92"/>
      <c r="G203" s="93">
        <f>F203*D203</f>
        <v>0</v>
      </c>
    </row>
    <row r="204" spans="2:7">
      <c r="B204" s="12"/>
      <c r="C204" s="52" t="s">
        <v>133</v>
      </c>
      <c r="D204" s="12"/>
      <c r="E204" s="13"/>
      <c r="F204" s="92"/>
      <c r="G204" s="93"/>
    </row>
    <row r="205" spans="2:7">
      <c r="B205" s="12"/>
      <c r="C205" s="52" t="s">
        <v>134</v>
      </c>
      <c r="D205" s="12"/>
      <c r="E205" s="13"/>
      <c r="F205" s="92"/>
      <c r="G205" s="93"/>
    </row>
    <row r="206" spans="2:7">
      <c r="B206" s="12"/>
      <c r="C206" s="52" t="s">
        <v>135</v>
      </c>
      <c r="D206" s="12"/>
      <c r="E206" s="13"/>
      <c r="F206" s="92"/>
      <c r="G206" s="93"/>
    </row>
    <row r="207" spans="2:7">
      <c r="B207" s="12"/>
      <c r="C207" s="52" t="s">
        <v>128</v>
      </c>
      <c r="D207" s="12"/>
      <c r="E207" s="13"/>
      <c r="F207" s="92"/>
      <c r="G207" s="93"/>
    </row>
    <row r="208" spans="2:7">
      <c r="B208" s="12">
        <v>29</v>
      </c>
      <c r="C208" s="51" t="s">
        <v>496</v>
      </c>
      <c r="D208" s="12">
        <v>1</v>
      </c>
      <c r="E208" s="13" t="s">
        <v>470</v>
      </c>
      <c r="F208" s="92"/>
      <c r="G208" s="93">
        <f>F208*D208</f>
        <v>0</v>
      </c>
    </row>
    <row r="209" spans="2:7">
      <c r="B209" s="12"/>
      <c r="C209" s="52" t="s">
        <v>136</v>
      </c>
      <c r="D209" s="12"/>
      <c r="E209" s="13"/>
      <c r="F209" s="92"/>
      <c r="G209" s="93"/>
    </row>
    <row r="210" spans="2:7">
      <c r="B210" s="12"/>
      <c r="C210" s="52" t="s">
        <v>137</v>
      </c>
      <c r="D210" s="12"/>
      <c r="E210" s="13"/>
      <c r="F210" s="92"/>
      <c r="G210" s="93"/>
    </row>
    <row r="211" spans="2:7">
      <c r="B211" s="12">
        <v>30</v>
      </c>
      <c r="C211" s="51" t="s">
        <v>495</v>
      </c>
      <c r="D211" s="12">
        <v>1</v>
      </c>
      <c r="E211" s="13" t="s">
        <v>468</v>
      </c>
      <c r="F211" s="92">
        <v>1500</v>
      </c>
      <c r="G211" s="93">
        <f>F211*D211</f>
        <v>1500</v>
      </c>
    </row>
    <row r="212" spans="2:7">
      <c r="B212" s="12"/>
      <c r="C212" s="52" t="s">
        <v>56</v>
      </c>
      <c r="D212" s="12"/>
      <c r="E212" s="13"/>
      <c r="F212" s="92"/>
      <c r="G212" s="93"/>
    </row>
    <row r="213" spans="2:7">
      <c r="B213" s="12"/>
      <c r="C213" s="52" t="s">
        <v>52</v>
      </c>
      <c r="D213" s="12"/>
      <c r="E213" s="13"/>
      <c r="F213" s="92"/>
      <c r="G213" s="93"/>
    </row>
    <row r="214" spans="2:7">
      <c r="B214" s="12"/>
      <c r="C214" s="52" t="s">
        <v>138</v>
      </c>
      <c r="D214" s="12"/>
      <c r="E214" s="13"/>
      <c r="F214" s="92"/>
      <c r="G214" s="93"/>
    </row>
    <row r="215" spans="2:7">
      <c r="B215" s="12"/>
      <c r="C215" s="52" t="s">
        <v>139</v>
      </c>
      <c r="D215" s="12"/>
      <c r="E215" s="13"/>
      <c r="F215" s="92"/>
      <c r="G215" s="93"/>
    </row>
    <row r="216" spans="2:7">
      <c r="B216" s="12"/>
      <c r="C216" s="52" t="s">
        <v>140</v>
      </c>
      <c r="D216" s="12"/>
      <c r="E216" s="13"/>
      <c r="F216" s="92"/>
      <c r="G216" s="93"/>
    </row>
    <row r="217" spans="2:7">
      <c r="B217" s="12"/>
      <c r="C217" s="52" t="s">
        <v>141</v>
      </c>
      <c r="D217" s="12"/>
      <c r="E217" s="13"/>
      <c r="F217" s="92"/>
      <c r="G217" s="93"/>
    </row>
    <row r="218" spans="2:7">
      <c r="B218" s="12">
        <v>31</v>
      </c>
      <c r="C218" s="51" t="s">
        <v>494</v>
      </c>
      <c r="D218" s="12">
        <v>1</v>
      </c>
      <c r="E218" s="13" t="s">
        <v>468</v>
      </c>
      <c r="F218" s="92">
        <v>500</v>
      </c>
      <c r="G218" s="93">
        <f>F218*D218</f>
        <v>500</v>
      </c>
    </row>
    <row r="219" spans="2:7">
      <c r="B219" s="12"/>
      <c r="C219" s="52" t="s">
        <v>99</v>
      </c>
      <c r="D219" s="12"/>
      <c r="E219" s="13"/>
      <c r="F219" s="92"/>
      <c r="G219" s="93"/>
    </row>
    <row r="220" spans="2:7">
      <c r="B220" s="12"/>
      <c r="C220" s="52" t="s">
        <v>138</v>
      </c>
      <c r="D220" s="12"/>
      <c r="E220" s="13"/>
      <c r="F220" s="92"/>
      <c r="G220" s="93"/>
    </row>
    <row r="221" spans="2:7">
      <c r="B221" s="12"/>
      <c r="C221" s="52" t="s">
        <v>142</v>
      </c>
      <c r="D221" s="12"/>
      <c r="E221" s="13"/>
      <c r="F221" s="92"/>
      <c r="G221" s="93"/>
    </row>
    <row r="222" spans="2:7">
      <c r="B222" s="12"/>
      <c r="C222" s="52" t="s">
        <v>143</v>
      </c>
      <c r="D222" s="12"/>
      <c r="E222" s="13"/>
      <c r="F222" s="92"/>
      <c r="G222" s="93"/>
    </row>
    <row r="223" spans="2:7">
      <c r="B223" s="12"/>
      <c r="C223" s="52" t="s">
        <v>144</v>
      </c>
      <c r="D223" s="12"/>
      <c r="E223" s="13"/>
      <c r="F223" s="92"/>
      <c r="G223" s="93"/>
    </row>
    <row r="224" spans="2:7">
      <c r="B224" s="12"/>
      <c r="C224" s="52" t="s">
        <v>145</v>
      </c>
      <c r="D224" s="12"/>
      <c r="E224" s="13"/>
      <c r="F224" s="92"/>
      <c r="G224" s="93"/>
    </row>
    <row r="225" spans="2:7">
      <c r="B225" s="12"/>
      <c r="C225" s="52" t="s">
        <v>146</v>
      </c>
      <c r="D225" s="12"/>
      <c r="E225" s="13"/>
      <c r="F225" s="92"/>
      <c r="G225" s="93"/>
    </row>
    <row r="226" spans="2:7">
      <c r="B226" s="12"/>
      <c r="C226" s="52" t="s">
        <v>147</v>
      </c>
      <c r="D226" s="12"/>
      <c r="E226" s="13"/>
      <c r="F226" s="92"/>
      <c r="G226" s="93"/>
    </row>
    <row r="227" spans="2:7">
      <c r="B227" s="12">
        <v>32</v>
      </c>
      <c r="C227" s="51" t="s">
        <v>493</v>
      </c>
      <c r="D227" s="12"/>
      <c r="E227" s="13"/>
      <c r="F227" s="92"/>
      <c r="G227" s="93">
        <f>F227*D227</f>
        <v>0</v>
      </c>
    </row>
    <row r="228" spans="2:7">
      <c r="B228" s="12"/>
      <c r="C228" s="52" t="s">
        <v>148</v>
      </c>
      <c r="D228" s="12"/>
      <c r="E228" s="13"/>
      <c r="F228" s="92"/>
      <c r="G228" s="93"/>
    </row>
    <row r="229" spans="2:7">
      <c r="B229" s="12"/>
      <c r="C229" s="52" t="s">
        <v>149</v>
      </c>
      <c r="D229" s="12"/>
      <c r="E229" s="13"/>
      <c r="F229" s="92"/>
      <c r="G229" s="93"/>
    </row>
    <row r="230" spans="2:7">
      <c r="B230" s="12"/>
      <c r="C230" s="52" t="s">
        <v>150</v>
      </c>
      <c r="D230" s="12"/>
      <c r="E230" s="13"/>
      <c r="F230" s="92"/>
      <c r="G230" s="93"/>
    </row>
    <row r="231" spans="2:7">
      <c r="B231" s="12"/>
      <c r="C231" s="52" t="s">
        <v>151</v>
      </c>
      <c r="D231" s="12"/>
      <c r="E231" s="13"/>
      <c r="F231" s="92"/>
      <c r="G231" s="93"/>
    </row>
    <row r="232" spans="2:7">
      <c r="B232" s="12"/>
      <c r="C232" s="52" t="s">
        <v>152</v>
      </c>
      <c r="D232" s="12"/>
      <c r="E232" s="13"/>
      <c r="F232" s="92"/>
      <c r="G232" s="93"/>
    </row>
    <row r="233" spans="2:7">
      <c r="B233" s="12"/>
      <c r="C233" s="52" t="s">
        <v>153</v>
      </c>
      <c r="D233" s="12"/>
      <c r="E233" s="13"/>
      <c r="F233" s="92"/>
      <c r="G233" s="93"/>
    </row>
    <row r="234" spans="2:7">
      <c r="B234" s="12"/>
      <c r="C234" s="52" t="s">
        <v>154</v>
      </c>
      <c r="D234" s="12"/>
      <c r="E234" s="13"/>
      <c r="F234" s="92"/>
      <c r="G234" s="93"/>
    </row>
    <row r="235" spans="2:7">
      <c r="B235" s="12"/>
      <c r="C235" s="52" t="s">
        <v>155</v>
      </c>
      <c r="D235" s="12"/>
      <c r="E235" s="13"/>
      <c r="F235" s="92"/>
      <c r="G235" s="93"/>
    </row>
    <row r="236" spans="2:7">
      <c r="B236" s="12"/>
      <c r="C236" s="52" t="s">
        <v>156</v>
      </c>
      <c r="D236" s="12"/>
      <c r="E236" s="13"/>
      <c r="F236" s="92"/>
      <c r="G236" s="93"/>
    </row>
    <row r="237" spans="2:7">
      <c r="B237" s="12"/>
      <c r="C237" s="52" t="s">
        <v>157</v>
      </c>
      <c r="D237" s="12"/>
      <c r="E237" s="13"/>
      <c r="F237" s="92"/>
      <c r="G237" s="93"/>
    </row>
    <row r="238" spans="2:7">
      <c r="B238" s="12"/>
      <c r="C238" s="52" t="s">
        <v>158</v>
      </c>
      <c r="D238" s="12"/>
      <c r="E238" s="13"/>
      <c r="F238" s="92"/>
      <c r="G238" s="93"/>
    </row>
    <row r="239" spans="2:7">
      <c r="B239" s="12"/>
      <c r="C239" s="52" t="s">
        <v>159</v>
      </c>
      <c r="D239" s="12"/>
      <c r="E239" s="13"/>
      <c r="F239" s="92"/>
      <c r="G239" s="93"/>
    </row>
    <row r="240" spans="2:7">
      <c r="B240" s="12"/>
      <c r="C240" s="52" t="s">
        <v>160</v>
      </c>
      <c r="D240" s="12"/>
      <c r="E240" s="13"/>
      <c r="F240" s="92"/>
      <c r="G240" s="93"/>
    </row>
    <row r="241" spans="2:7">
      <c r="B241" s="12"/>
      <c r="C241" s="52" t="s">
        <v>161</v>
      </c>
      <c r="D241" s="12"/>
      <c r="E241" s="13"/>
      <c r="F241" s="92"/>
      <c r="G241" s="93"/>
    </row>
    <row r="242" spans="2:7">
      <c r="B242" s="12"/>
      <c r="C242" s="52" t="s">
        <v>162</v>
      </c>
      <c r="D242" s="12"/>
      <c r="E242" s="13"/>
      <c r="F242" s="92"/>
      <c r="G242" s="93"/>
    </row>
    <row r="243" spans="2:7" ht="12.75" thickBot="1">
      <c r="B243" s="28"/>
      <c r="C243" s="60" t="s">
        <v>163</v>
      </c>
      <c r="D243" s="28"/>
      <c r="E243" s="24"/>
      <c r="F243" s="96"/>
      <c r="G243" s="97"/>
    </row>
    <row r="244" spans="2:7" ht="28.5" customHeight="1">
      <c r="D244" s="169" t="s">
        <v>762</v>
      </c>
      <c r="E244" s="169"/>
      <c r="F244" s="169"/>
      <c r="G244" s="98">
        <f>SUM(G10:G243)</f>
        <v>270850</v>
      </c>
    </row>
  </sheetData>
  <mergeCells count="2">
    <mergeCell ref="B2:G6"/>
    <mergeCell ref="D244:F244"/>
  </mergeCells>
  <printOptions horizontalCentered="1" verticalCentered="1"/>
  <pageMargins left="0" right="0" top="0" bottom="1.1811023622047245" header="0.31496062992125984" footer="0.31496062992125984"/>
  <pageSetup paperSize="9" fitToHeight="0" orientation="landscape" r:id="rId1"/>
  <headerFooter>
    <oddFooter>&amp;CMerkez Ofis : Üçevler Mh. Esra Sk. No:6/21 Polat Plaza
Nilüfer / BURSA
Fabrika : Minareliçavuş Mah. 106(290)Sok. No:44 Kapı No:1
Nilüfer / BURSA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1"/>
  <sheetViews>
    <sheetView view="pageBreakPreview" zoomScaleNormal="85" zoomScaleSheetLayoutView="100" workbookViewId="0">
      <pane xSplit="5" ySplit="8" topLeftCell="F144" activePane="bottomRight" state="frozen"/>
      <selection pane="topRight" activeCell="F1" sqref="F1"/>
      <selection pane="bottomLeft" activeCell="A9" sqref="A9"/>
      <selection pane="bottomRight" activeCell="F14" sqref="F14"/>
    </sheetView>
  </sheetViews>
  <sheetFormatPr defaultRowHeight="15" outlineLevelCol="1"/>
  <cols>
    <col min="1" max="1" width="3.7109375" customWidth="1"/>
    <col min="2" max="2" width="3" bestFit="1" customWidth="1"/>
    <col min="3" max="3" width="69.42578125" bestFit="1" customWidth="1"/>
    <col min="4" max="5" width="5.7109375" bestFit="1" customWidth="1"/>
    <col min="6" max="7" width="14.85546875" customWidth="1" outlineLevel="1"/>
    <col min="8" max="8" width="3.7109375" customWidth="1"/>
  </cols>
  <sheetData>
    <row r="1" spans="2:7" ht="15.75" thickBot="1"/>
    <row r="2" spans="2:7" s="41" customFormat="1" ht="12.4" customHeight="1">
      <c r="B2" s="160" t="s">
        <v>747</v>
      </c>
      <c r="C2" s="161"/>
      <c r="D2" s="161"/>
      <c r="E2" s="161"/>
      <c r="F2" s="161"/>
      <c r="G2" s="162"/>
    </row>
    <row r="3" spans="2:7" s="41" customFormat="1" ht="12.4" customHeight="1">
      <c r="B3" s="163"/>
      <c r="C3" s="164"/>
      <c r="D3" s="164"/>
      <c r="E3" s="164"/>
      <c r="F3" s="164"/>
      <c r="G3" s="165"/>
    </row>
    <row r="4" spans="2:7" s="41" customFormat="1" ht="12.4" customHeight="1">
      <c r="B4" s="163"/>
      <c r="C4" s="164"/>
      <c r="D4" s="164"/>
      <c r="E4" s="164"/>
      <c r="F4" s="164"/>
      <c r="G4" s="165"/>
    </row>
    <row r="5" spans="2:7" s="41" customFormat="1" ht="12.4" customHeight="1">
      <c r="B5" s="163"/>
      <c r="C5" s="164"/>
      <c r="D5" s="164"/>
      <c r="E5" s="164"/>
      <c r="F5" s="164"/>
      <c r="G5" s="165"/>
    </row>
    <row r="6" spans="2:7" s="41" customFormat="1" ht="13.15" customHeight="1" thickBot="1">
      <c r="B6" s="166"/>
      <c r="C6" s="167"/>
      <c r="D6" s="167"/>
      <c r="E6" s="167"/>
      <c r="F6" s="167"/>
      <c r="G6" s="168"/>
    </row>
    <row r="7" spans="2:7" ht="24.75" thickBot="1">
      <c r="B7" s="1" t="s">
        <v>0</v>
      </c>
      <c r="C7" s="19" t="s">
        <v>1</v>
      </c>
      <c r="D7" s="2" t="s">
        <v>2</v>
      </c>
      <c r="E7" s="3" t="s">
        <v>3</v>
      </c>
      <c r="F7" s="55" t="s">
        <v>5</v>
      </c>
      <c r="G7" s="54" t="s">
        <v>6</v>
      </c>
    </row>
    <row r="8" spans="2:7" ht="15.75" thickBot="1">
      <c r="B8" s="7"/>
      <c r="C8" s="20"/>
      <c r="D8" s="8"/>
      <c r="E8" s="9"/>
      <c r="F8" s="103"/>
      <c r="G8" s="104"/>
    </row>
    <row r="9" spans="2:7">
      <c r="B9" s="18"/>
      <c r="C9" s="27"/>
      <c r="D9" s="12"/>
      <c r="E9" s="13"/>
      <c r="F9" s="92"/>
      <c r="G9" s="93"/>
    </row>
    <row r="10" spans="2:7">
      <c r="B10" s="18">
        <v>1</v>
      </c>
      <c r="C10" s="27" t="s">
        <v>511</v>
      </c>
      <c r="D10" s="12">
        <v>41</v>
      </c>
      <c r="E10" s="13" t="s">
        <v>468</v>
      </c>
      <c r="F10" s="92"/>
      <c r="G10" s="93">
        <f>F10*D10</f>
        <v>0</v>
      </c>
    </row>
    <row r="11" spans="2:7">
      <c r="B11" s="18"/>
      <c r="C11" s="21"/>
      <c r="D11" s="12"/>
      <c r="E11" s="13"/>
      <c r="F11" s="92"/>
      <c r="G11" s="93"/>
    </row>
    <row r="12" spans="2:7">
      <c r="B12" s="18">
        <v>2</v>
      </c>
      <c r="C12" s="27" t="s">
        <v>512</v>
      </c>
      <c r="D12" s="12">
        <v>2</v>
      </c>
      <c r="E12" s="13" t="s">
        <v>468</v>
      </c>
      <c r="F12" s="92">
        <v>5000</v>
      </c>
      <c r="G12" s="93">
        <f>F12*D12</f>
        <v>10000</v>
      </c>
    </row>
    <row r="13" spans="2:7">
      <c r="B13" s="18"/>
      <c r="C13" s="21" t="s">
        <v>401</v>
      </c>
      <c r="D13" s="12"/>
      <c r="E13" s="13"/>
      <c r="F13" s="92"/>
      <c r="G13" s="93"/>
    </row>
    <row r="14" spans="2:7">
      <c r="B14" s="18"/>
      <c r="C14" s="21" t="s">
        <v>402</v>
      </c>
      <c r="D14" s="12"/>
      <c r="E14" s="13"/>
      <c r="F14" s="92"/>
      <c r="G14" s="93"/>
    </row>
    <row r="15" spans="2:7">
      <c r="B15" s="18"/>
      <c r="C15" s="21" t="s">
        <v>403</v>
      </c>
      <c r="D15" s="12"/>
      <c r="E15" s="13"/>
      <c r="F15" s="92"/>
      <c r="G15" s="93"/>
    </row>
    <row r="16" spans="2:7">
      <c r="B16" s="18"/>
      <c r="C16" s="21" t="s">
        <v>404</v>
      </c>
      <c r="D16" s="12"/>
      <c r="E16" s="13"/>
      <c r="F16" s="92"/>
      <c r="G16" s="93"/>
    </row>
    <row r="17" spans="2:7">
      <c r="B17" s="18"/>
      <c r="C17" s="21" t="s">
        <v>405</v>
      </c>
      <c r="D17" s="12"/>
      <c r="E17" s="13"/>
      <c r="F17" s="92"/>
      <c r="G17" s="93"/>
    </row>
    <row r="18" spans="2:7">
      <c r="B18" s="18"/>
      <c r="C18" s="21" t="s">
        <v>406</v>
      </c>
      <c r="D18" s="12"/>
      <c r="E18" s="13"/>
      <c r="F18" s="92"/>
      <c r="G18" s="93"/>
    </row>
    <row r="19" spans="2:7">
      <c r="B19" s="18"/>
      <c r="C19" s="21" t="s">
        <v>407</v>
      </c>
      <c r="D19" s="12"/>
      <c r="E19" s="13"/>
      <c r="F19" s="92"/>
      <c r="G19" s="93"/>
    </row>
    <row r="20" spans="2:7">
      <c r="B20" s="18"/>
      <c r="C20" s="21" t="s">
        <v>408</v>
      </c>
      <c r="D20" s="12"/>
      <c r="E20" s="13"/>
      <c r="F20" s="92"/>
      <c r="G20" s="93"/>
    </row>
    <row r="21" spans="2:7">
      <c r="B21" s="18"/>
      <c r="C21" s="21" t="s">
        <v>409</v>
      </c>
      <c r="D21" s="12"/>
      <c r="E21" s="13"/>
      <c r="F21" s="92"/>
      <c r="G21" s="93"/>
    </row>
    <row r="22" spans="2:7">
      <c r="B22" s="18"/>
      <c r="C22" s="21" t="s">
        <v>410</v>
      </c>
      <c r="D22" s="12"/>
      <c r="E22" s="13"/>
      <c r="F22" s="92"/>
      <c r="G22" s="93"/>
    </row>
    <row r="23" spans="2:7">
      <c r="B23" s="18"/>
      <c r="C23" s="21" t="s">
        <v>411</v>
      </c>
      <c r="D23" s="12"/>
      <c r="E23" s="13"/>
      <c r="F23" s="92"/>
      <c r="G23" s="93"/>
    </row>
    <row r="24" spans="2:7">
      <c r="B24" s="18">
        <v>3</v>
      </c>
      <c r="C24" s="27" t="s">
        <v>513</v>
      </c>
      <c r="D24" s="12">
        <v>2</v>
      </c>
      <c r="E24" s="13" t="s">
        <v>468</v>
      </c>
      <c r="F24" s="92"/>
      <c r="G24" s="93">
        <f>F24*D24</f>
        <v>0</v>
      </c>
    </row>
    <row r="25" spans="2:7">
      <c r="B25" s="18"/>
      <c r="C25" s="21" t="s">
        <v>412</v>
      </c>
      <c r="D25" s="12"/>
      <c r="E25" s="13"/>
      <c r="F25" s="92"/>
      <c r="G25" s="93"/>
    </row>
    <row r="26" spans="2:7">
      <c r="B26" s="18"/>
      <c r="C26" s="21" t="s">
        <v>413</v>
      </c>
      <c r="D26" s="12"/>
      <c r="E26" s="13"/>
      <c r="F26" s="92"/>
      <c r="G26" s="93"/>
    </row>
    <row r="27" spans="2:7">
      <c r="B27" s="18"/>
      <c r="C27" s="21" t="s">
        <v>414</v>
      </c>
      <c r="D27" s="12"/>
      <c r="E27" s="13"/>
      <c r="F27" s="92"/>
      <c r="G27" s="93"/>
    </row>
    <row r="28" spans="2:7">
      <c r="B28" s="18"/>
      <c r="C28" s="21" t="s">
        <v>415</v>
      </c>
      <c r="D28" s="12"/>
      <c r="E28" s="13"/>
      <c r="F28" s="92"/>
      <c r="G28" s="93"/>
    </row>
    <row r="29" spans="2:7">
      <c r="B29" s="18"/>
      <c r="C29" s="21" t="s">
        <v>416</v>
      </c>
      <c r="D29" s="12"/>
      <c r="E29" s="13"/>
      <c r="F29" s="92"/>
      <c r="G29" s="93"/>
    </row>
    <row r="30" spans="2:7">
      <c r="B30" s="18"/>
      <c r="C30" s="21" t="s">
        <v>417</v>
      </c>
      <c r="D30" s="12"/>
      <c r="E30" s="13"/>
      <c r="F30" s="92"/>
      <c r="G30" s="93"/>
    </row>
    <row r="31" spans="2:7">
      <c r="B31" s="18">
        <v>4</v>
      </c>
      <c r="C31" s="27" t="s">
        <v>514</v>
      </c>
      <c r="D31" s="12">
        <v>2</v>
      </c>
      <c r="E31" s="13" t="s">
        <v>468</v>
      </c>
      <c r="F31" s="92">
        <v>2500</v>
      </c>
      <c r="G31" s="93">
        <f>F31*D31</f>
        <v>5000</v>
      </c>
    </row>
    <row r="32" spans="2:7">
      <c r="B32" s="18"/>
      <c r="C32" s="21" t="s">
        <v>418</v>
      </c>
      <c r="D32" s="12"/>
      <c r="E32" s="13"/>
      <c r="F32" s="92"/>
      <c r="G32" s="93"/>
    </row>
    <row r="33" spans="2:7">
      <c r="B33" s="18"/>
      <c r="C33" s="21" t="s">
        <v>419</v>
      </c>
      <c r="D33" s="12"/>
      <c r="E33" s="13"/>
      <c r="F33" s="92"/>
      <c r="G33" s="93"/>
    </row>
    <row r="34" spans="2:7">
      <c r="B34" s="18"/>
      <c r="C34" s="21" t="s">
        <v>414</v>
      </c>
      <c r="D34" s="12"/>
      <c r="E34" s="13"/>
      <c r="F34" s="92"/>
      <c r="G34" s="93"/>
    </row>
    <row r="35" spans="2:7">
      <c r="B35" s="18"/>
      <c r="C35" s="21" t="s">
        <v>420</v>
      </c>
      <c r="D35" s="12"/>
      <c r="E35" s="13"/>
      <c r="F35" s="92"/>
      <c r="G35" s="93"/>
    </row>
    <row r="36" spans="2:7">
      <c r="B36" s="18"/>
      <c r="C36" s="21" t="s">
        <v>421</v>
      </c>
      <c r="D36" s="12"/>
      <c r="E36" s="13"/>
      <c r="F36" s="92"/>
      <c r="G36" s="93"/>
    </row>
    <row r="37" spans="2:7">
      <c r="B37" s="18"/>
      <c r="C37" s="21" t="s">
        <v>422</v>
      </c>
      <c r="D37" s="12"/>
      <c r="E37" s="13"/>
      <c r="F37" s="92"/>
      <c r="G37" s="93"/>
    </row>
    <row r="38" spans="2:7">
      <c r="B38" s="18"/>
      <c r="C38" s="21" t="s">
        <v>423</v>
      </c>
      <c r="D38" s="12"/>
      <c r="E38" s="13"/>
      <c r="F38" s="92"/>
      <c r="G38" s="93"/>
    </row>
    <row r="39" spans="2:7">
      <c r="B39" s="18"/>
      <c r="C39" s="21" t="s">
        <v>424</v>
      </c>
      <c r="D39" s="12"/>
      <c r="E39" s="13"/>
      <c r="F39" s="92"/>
      <c r="G39" s="93"/>
    </row>
    <row r="40" spans="2:7">
      <c r="B40" s="18"/>
      <c r="C40" s="21" t="s">
        <v>410</v>
      </c>
      <c r="D40" s="12"/>
      <c r="E40" s="13"/>
      <c r="F40" s="92"/>
      <c r="G40" s="93"/>
    </row>
    <row r="41" spans="2:7">
      <c r="B41" s="18"/>
      <c r="C41" s="21" t="s">
        <v>425</v>
      </c>
      <c r="D41" s="12"/>
      <c r="E41" s="13"/>
      <c r="F41" s="92"/>
      <c r="G41" s="93"/>
    </row>
    <row r="42" spans="2:7">
      <c r="B42" s="18">
        <v>5</v>
      </c>
      <c r="C42" s="27" t="s">
        <v>515</v>
      </c>
      <c r="D42" s="12">
        <v>19</v>
      </c>
      <c r="E42" s="13" t="s">
        <v>468</v>
      </c>
      <c r="F42" s="92">
        <v>4500</v>
      </c>
      <c r="G42" s="93">
        <f>F42*D42</f>
        <v>85500</v>
      </c>
    </row>
    <row r="43" spans="2:7">
      <c r="B43" s="18"/>
      <c r="C43" s="21" t="s">
        <v>426</v>
      </c>
      <c r="D43" s="12"/>
      <c r="E43" s="13"/>
      <c r="F43" s="92"/>
      <c r="G43" s="93"/>
    </row>
    <row r="44" spans="2:7">
      <c r="B44" s="18"/>
      <c r="C44" s="21" t="s">
        <v>427</v>
      </c>
      <c r="D44" s="12"/>
      <c r="E44" s="13"/>
      <c r="F44" s="92"/>
      <c r="G44" s="93"/>
    </row>
    <row r="45" spans="2:7">
      <c r="B45" s="18"/>
      <c r="C45" s="21" t="s">
        <v>428</v>
      </c>
      <c r="D45" s="12"/>
      <c r="E45" s="13"/>
      <c r="F45" s="92"/>
      <c r="G45" s="93"/>
    </row>
    <row r="46" spans="2:7">
      <c r="B46" s="18"/>
      <c r="C46" s="21" t="s">
        <v>429</v>
      </c>
      <c r="D46" s="12"/>
      <c r="E46" s="13"/>
      <c r="F46" s="92"/>
      <c r="G46" s="93"/>
    </row>
    <row r="47" spans="2:7">
      <c r="B47" s="18"/>
      <c r="C47" s="21" t="s">
        <v>430</v>
      </c>
      <c r="D47" s="12"/>
      <c r="E47" s="13"/>
      <c r="F47" s="92"/>
      <c r="G47" s="93"/>
    </row>
    <row r="48" spans="2:7">
      <c r="B48" s="18"/>
      <c r="C48" s="21" t="s">
        <v>170</v>
      </c>
      <c r="D48" s="12"/>
      <c r="E48" s="13"/>
      <c r="F48" s="92"/>
      <c r="G48" s="93"/>
    </row>
    <row r="49" spans="2:7">
      <c r="B49" s="18"/>
      <c r="C49" s="21" t="s">
        <v>431</v>
      </c>
      <c r="D49" s="12"/>
      <c r="E49" s="13"/>
      <c r="F49" s="92"/>
      <c r="G49" s="93"/>
    </row>
    <row r="50" spans="2:7">
      <c r="B50" s="18">
        <v>6</v>
      </c>
      <c r="C50" s="27" t="s">
        <v>516</v>
      </c>
      <c r="D50" s="12">
        <v>19</v>
      </c>
      <c r="E50" s="13" t="s">
        <v>468</v>
      </c>
      <c r="F50" s="92">
        <v>2000</v>
      </c>
      <c r="G50" s="93">
        <f>F50*D50</f>
        <v>38000</v>
      </c>
    </row>
    <row r="51" spans="2:7">
      <c r="B51" s="18"/>
      <c r="C51" s="21" t="s">
        <v>432</v>
      </c>
      <c r="D51" s="12"/>
      <c r="E51" s="13"/>
      <c r="F51" s="92"/>
      <c r="G51" s="93"/>
    </row>
    <row r="52" spans="2:7">
      <c r="B52" s="18"/>
      <c r="C52" s="21" t="s">
        <v>433</v>
      </c>
      <c r="D52" s="12"/>
      <c r="E52" s="13"/>
      <c r="F52" s="92"/>
      <c r="G52" s="93"/>
    </row>
    <row r="53" spans="2:7">
      <c r="B53" s="18"/>
      <c r="C53" s="21" t="s">
        <v>434</v>
      </c>
      <c r="D53" s="12"/>
      <c r="E53" s="13"/>
      <c r="F53" s="92"/>
      <c r="G53" s="93"/>
    </row>
    <row r="54" spans="2:7">
      <c r="B54" s="18"/>
      <c r="C54" s="21" t="s">
        <v>435</v>
      </c>
      <c r="D54" s="12"/>
      <c r="E54" s="13"/>
      <c r="F54" s="92"/>
      <c r="G54" s="93"/>
    </row>
    <row r="55" spans="2:7">
      <c r="B55" s="18"/>
      <c r="C55" s="21" t="s">
        <v>436</v>
      </c>
      <c r="D55" s="12"/>
      <c r="E55" s="13"/>
      <c r="F55" s="92"/>
      <c r="G55" s="93"/>
    </row>
    <row r="56" spans="2:7">
      <c r="B56" s="18"/>
      <c r="C56" s="21" t="s">
        <v>170</v>
      </c>
      <c r="D56" s="12"/>
      <c r="E56" s="13"/>
      <c r="F56" s="92"/>
      <c r="G56" s="93"/>
    </row>
    <row r="57" spans="2:7">
      <c r="B57" s="18"/>
      <c r="C57" s="21" t="s">
        <v>431</v>
      </c>
      <c r="D57" s="12"/>
      <c r="E57" s="13"/>
      <c r="F57" s="92"/>
      <c r="G57" s="93"/>
    </row>
    <row r="58" spans="2:7">
      <c r="B58" s="18">
        <v>7</v>
      </c>
      <c r="C58" s="27" t="s">
        <v>517</v>
      </c>
      <c r="D58" s="12">
        <v>5850</v>
      </c>
      <c r="E58" s="13" t="s">
        <v>469</v>
      </c>
      <c r="F58" s="92">
        <v>800</v>
      </c>
      <c r="G58" s="93">
        <f>F58*D58</f>
        <v>4680000</v>
      </c>
    </row>
    <row r="59" spans="2:7">
      <c r="B59" s="18"/>
      <c r="C59" s="21" t="s">
        <v>437</v>
      </c>
      <c r="D59" s="12"/>
      <c r="E59" s="13"/>
      <c r="F59" s="92"/>
      <c r="G59" s="93"/>
    </row>
    <row r="60" spans="2:7">
      <c r="B60" s="18"/>
      <c r="C60" s="21" t="s">
        <v>438</v>
      </c>
      <c r="D60" s="12"/>
      <c r="E60" s="13"/>
      <c r="F60" s="92"/>
      <c r="G60" s="93"/>
    </row>
    <row r="61" spans="2:7">
      <c r="B61" s="18"/>
      <c r="C61" s="21" t="s">
        <v>100</v>
      </c>
      <c r="D61" s="12"/>
      <c r="E61" s="13"/>
      <c r="F61" s="92"/>
      <c r="G61" s="93"/>
    </row>
    <row r="62" spans="2:7">
      <c r="B62" s="18"/>
      <c r="C62" s="21" t="s">
        <v>439</v>
      </c>
      <c r="D62" s="12"/>
      <c r="E62" s="13"/>
      <c r="F62" s="92"/>
      <c r="G62" s="93"/>
    </row>
    <row r="63" spans="2:7">
      <c r="B63" s="18"/>
      <c r="C63" s="21" t="s">
        <v>440</v>
      </c>
      <c r="D63" s="12"/>
      <c r="E63" s="13"/>
      <c r="F63" s="92"/>
      <c r="G63" s="93"/>
    </row>
    <row r="64" spans="2:7">
      <c r="B64" s="18"/>
      <c r="C64" s="21" t="s">
        <v>441</v>
      </c>
      <c r="D64" s="12"/>
      <c r="E64" s="13"/>
      <c r="F64" s="92"/>
      <c r="G64" s="93"/>
    </row>
    <row r="65" spans="2:7">
      <c r="B65" s="18"/>
      <c r="C65" s="21" t="s">
        <v>96</v>
      </c>
      <c r="D65" s="12"/>
      <c r="E65" s="13"/>
      <c r="F65" s="92"/>
      <c r="G65" s="93"/>
    </row>
    <row r="66" spans="2:7">
      <c r="B66" s="18"/>
      <c r="C66" s="21" t="s">
        <v>730</v>
      </c>
      <c r="D66" s="12"/>
      <c r="E66" s="13"/>
      <c r="F66" s="92"/>
      <c r="G66" s="93"/>
    </row>
    <row r="67" spans="2:7">
      <c r="B67" s="18">
        <v>8</v>
      </c>
      <c r="C67" s="27" t="s">
        <v>518</v>
      </c>
      <c r="D67" s="12">
        <v>487</v>
      </c>
      <c r="E67" s="13" t="s">
        <v>469</v>
      </c>
      <c r="F67" s="92">
        <v>500</v>
      </c>
      <c r="G67" s="93">
        <f>F67*D67</f>
        <v>243500</v>
      </c>
    </row>
    <row r="68" spans="2:7">
      <c r="B68" s="18"/>
      <c r="C68" s="21" t="s">
        <v>442</v>
      </c>
      <c r="D68" s="12"/>
      <c r="E68" s="13"/>
      <c r="F68" s="92"/>
      <c r="G68" s="93"/>
    </row>
    <row r="69" spans="2:7">
      <c r="B69" s="18"/>
      <c r="C69" s="21" t="s">
        <v>443</v>
      </c>
      <c r="D69" s="12"/>
      <c r="E69" s="13"/>
      <c r="F69" s="92"/>
      <c r="G69" s="93"/>
    </row>
    <row r="70" spans="2:7">
      <c r="B70" s="18"/>
      <c r="C70" s="21" t="s">
        <v>100</v>
      </c>
      <c r="D70" s="12"/>
      <c r="E70" s="13"/>
      <c r="F70" s="92"/>
      <c r="G70" s="93"/>
    </row>
    <row r="71" spans="2:7">
      <c r="B71" s="18"/>
      <c r="C71" s="21" t="s">
        <v>439</v>
      </c>
      <c r="D71" s="12"/>
      <c r="E71" s="13"/>
      <c r="F71" s="92"/>
      <c r="G71" s="93"/>
    </row>
    <row r="72" spans="2:7">
      <c r="B72" s="18"/>
      <c r="C72" s="21" t="s">
        <v>440</v>
      </c>
      <c r="D72" s="12"/>
      <c r="E72" s="13"/>
      <c r="F72" s="92"/>
      <c r="G72" s="93"/>
    </row>
    <row r="73" spans="2:7">
      <c r="B73" s="18"/>
      <c r="C73" s="21" t="s">
        <v>441</v>
      </c>
      <c r="D73" s="12"/>
      <c r="E73" s="13"/>
      <c r="F73" s="92"/>
      <c r="G73" s="93"/>
    </row>
    <row r="74" spans="2:7">
      <c r="B74" s="18"/>
      <c r="C74" s="21" t="s">
        <v>96</v>
      </c>
      <c r="D74" s="12"/>
      <c r="E74" s="13"/>
      <c r="F74" s="92"/>
      <c r="G74" s="93"/>
    </row>
    <row r="75" spans="2:7">
      <c r="B75" s="18"/>
      <c r="C75" s="21" t="s">
        <v>730</v>
      </c>
      <c r="D75" s="12"/>
      <c r="E75" s="13"/>
      <c r="F75" s="92"/>
      <c r="G75" s="93"/>
    </row>
    <row r="76" spans="2:7">
      <c r="B76" s="18">
        <v>9</v>
      </c>
      <c r="C76" s="27" t="s">
        <v>750</v>
      </c>
      <c r="D76" s="12">
        <v>822</v>
      </c>
      <c r="E76" s="13" t="s">
        <v>469</v>
      </c>
      <c r="F76" s="92"/>
      <c r="G76" s="93">
        <f>F76*D76</f>
        <v>0</v>
      </c>
    </row>
    <row r="77" spans="2:7">
      <c r="B77" s="18"/>
      <c r="C77" s="21" t="s">
        <v>751</v>
      </c>
      <c r="D77" s="12"/>
      <c r="E77" s="13"/>
      <c r="F77" s="92"/>
      <c r="G77" s="93"/>
    </row>
    <row r="78" spans="2:7">
      <c r="B78" s="18"/>
      <c r="C78" s="21" t="s">
        <v>752</v>
      </c>
      <c r="D78" s="12"/>
      <c r="E78" s="13"/>
      <c r="F78" s="92"/>
      <c r="G78" s="93"/>
    </row>
    <row r="79" spans="2:7">
      <c r="B79" s="18"/>
      <c r="C79" s="21" t="s">
        <v>753</v>
      </c>
      <c r="D79" s="12"/>
      <c r="E79" s="13"/>
      <c r="F79" s="92"/>
      <c r="G79" s="93"/>
    </row>
    <row r="80" spans="2:7">
      <c r="B80" s="18">
        <v>9</v>
      </c>
      <c r="C80" s="27" t="s">
        <v>754</v>
      </c>
      <c r="D80" s="12">
        <v>822</v>
      </c>
      <c r="E80" s="13" t="s">
        <v>469</v>
      </c>
      <c r="F80" s="92">
        <v>1200</v>
      </c>
      <c r="G80" s="93">
        <f>F80*D80</f>
        <v>986400</v>
      </c>
    </row>
    <row r="81" spans="2:7">
      <c r="B81" s="18"/>
      <c r="C81" s="21" t="s">
        <v>444</v>
      </c>
      <c r="D81" s="12"/>
      <c r="E81" s="13"/>
      <c r="F81" s="92"/>
      <c r="G81" s="93"/>
    </row>
    <row r="82" spans="2:7">
      <c r="B82" s="18"/>
      <c r="C82" s="21" t="s">
        <v>445</v>
      </c>
      <c r="D82" s="12"/>
      <c r="E82" s="13"/>
      <c r="F82" s="92"/>
      <c r="G82" s="93"/>
    </row>
    <row r="83" spans="2:7">
      <c r="B83" s="18"/>
      <c r="C83" s="21" t="s">
        <v>110</v>
      </c>
      <c r="D83" s="12"/>
      <c r="E83" s="13"/>
      <c r="F83" s="92"/>
      <c r="G83" s="93"/>
    </row>
    <row r="84" spans="2:7">
      <c r="B84" s="18"/>
      <c r="C84" s="21" t="s">
        <v>100</v>
      </c>
      <c r="D84" s="12"/>
      <c r="E84" s="13"/>
      <c r="F84" s="92"/>
      <c r="G84" s="93"/>
    </row>
    <row r="85" spans="2:7">
      <c r="B85" s="18"/>
      <c r="C85" s="21" t="s">
        <v>446</v>
      </c>
      <c r="D85" s="12"/>
      <c r="E85" s="13"/>
      <c r="F85" s="92"/>
      <c r="G85" s="93"/>
    </row>
    <row r="86" spans="2:7">
      <c r="B86" s="18"/>
      <c r="C86" s="21" t="s">
        <v>447</v>
      </c>
      <c r="D86" s="12"/>
      <c r="E86" s="13"/>
      <c r="F86" s="92"/>
      <c r="G86" s="93"/>
    </row>
    <row r="87" spans="2:7">
      <c r="B87" s="18"/>
      <c r="C87" s="21" t="s">
        <v>96</v>
      </c>
      <c r="D87" s="12"/>
      <c r="E87" s="13"/>
      <c r="F87" s="92"/>
      <c r="G87" s="93"/>
    </row>
    <row r="88" spans="2:7">
      <c r="B88" s="18"/>
      <c r="C88" s="21" t="s">
        <v>108</v>
      </c>
      <c r="D88" s="12"/>
      <c r="E88" s="13"/>
      <c r="F88" s="92"/>
      <c r="G88" s="93"/>
    </row>
    <row r="89" spans="2:7">
      <c r="B89" s="18">
        <v>9</v>
      </c>
      <c r="C89" s="27" t="s">
        <v>519</v>
      </c>
      <c r="D89" s="12">
        <v>225</v>
      </c>
      <c r="E89" s="13" t="s">
        <v>469</v>
      </c>
      <c r="F89" s="92">
        <v>750</v>
      </c>
      <c r="G89" s="93">
        <f>F89*D89</f>
        <v>168750</v>
      </c>
    </row>
    <row r="90" spans="2:7">
      <c r="B90" s="18"/>
      <c r="C90" s="21" t="s">
        <v>444</v>
      </c>
      <c r="D90" s="12"/>
      <c r="E90" s="13"/>
      <c r="F90" s="92"/>
      <c r="G90" s="93"/>
    </row>
    <row r="91" spans="2:7">
      <c r="B91" s="18"/>
      <c r="C91" s="21" t="s">
        <v>445</v>
      </c>
      <c r="D91" s="12"/>
      <c r="E91" s="13"/>
      <c r="F91" s="92"/>
      <c r="G91" s="93"/>
    </row>
    <row r="92" spans="2:7">
      <c r="B92" s="18"/>
      <c r="C92" s="21" t="s">
        <v>65</v>
      </c>
      <c r="D92" s="12"/>
      <c r="E92" s="13"/>
      <c r="F92" s="92"/>
      <c r="G92" s="93"/>
    </row>
    <row r="93" spans="2:7">
      <c r="B93" s="18"/>
      <c r="C93" s="21" t="s">
        <v>100</v>
      </c>
      <c r="D93" s="12"/>
      <c r="E93" s="13"/>
      <c r="F93" s="92"/>
      <c r="G93" s="93"/>
    </row>
    <row r="94" spans="2:7">
      <c r="B94" s="18"/>
      <c r="C94" s="21" t="s">
        <v>446</v>
      </c>
      <c r="D94" s="12"/>
      <c r="E94" s="13"/>
      <c r="F94" s="92"/>
      <c r="G94" s="93"/>
    </row>
    <row r="95" spans="2:7">
      <c r="B95" s="18"/>
      <c r="C95" s="21" t="s">
        <v>447</v>
      </c>
      <c r="D95" s="12"/>
      <c r="E95" s="13"/>
      <c r="F95" s="92"/>
      <c r="G95" s="93"/>
    </row>
    <row r="96" spans="2:7">
      <c r="B96" s="18"/>
      <c r="C96" s="21" t="s">
        <v>96</v>
      </c>
      <c r="D96" s="12"/>
      <c r="E96" s="13"/>
      <c r="F96" s="92"/>
      <c r="G96" s="93"/>
    </row>
    <row r="97" spans="2:7">
      <c r="B97" s="18"/>
      <c r="C97" s="21" t="s">
        <v>108</v>
      </c>
      <c r="D97" s="12"/>
      <c r="E97" s="13"/>
      <c r="F97" s="92"/>
      <c r="G97" s="93"/>
    </row>
    <row r="98" spans="2:7">
      <c r="B98" s="18">
        <v>10</v>
      </c>
      <c r="C98" s="27" t="s">
        <v>520</v>
      </c>
      <c r="D98" s="12">
        <v>210</v>
      </c>
      <c r="E98" s="13" t="s">
        <v>469</v>
      </c>
      <c r="F98" s="92">
        <v>675</v>
      </c>
      <c r="G98" s="93">
        <f>F98*D98</f>
        <v>141750</v>
      </c>
    </row>
    <row r="99" spans="2:7">
      <c r="B99" s="18"/>
      <c r="C99" s="21" t="s">
        <v>448</v>
      </c>
      <c r="D99" s="12"/>
      <c r="E99" s="13"/>
      <c r="F99" s="92"/>
      <c r="G99" s="93"/>
    </row>
    <row r="100" spans="2:7">
      <c r="B100" s="18"/>
      <c r="C100" s="21" t="s">
        <v>445</v>
      </c>
      <c r="D100" s="12"/>
      <c r="E100" s="13"/>
      <c r="F100" s="92"/>
      <c r="G100" s="93"/>
    </row>
    <row r="101" spans="2:7">
      <c r="B101" s="18"/>
      <c r="C101" s="21" t="s">
        <v>57</v>
      </c>
      <c r="D101" s="12"/>
      <c r="E101" s="13"/>
      <c r="F101" s="92"/>
      <c r="G101" s="93"/>
    </row>
    <row r="102" spans="2:7">
      <c r="B102" s="18"/>
      <c r="C102" s="21" t="s">
        <v>100</v>
      </c>
      <c r="D102" s="12"/>
      <c r="E102" s="13"/>
      <c r="F102" s="92"/>
      <c r="G102" s="93"/>
    </row>
    <row r="103" spans="2:7">
      <c r="B103" s="18"/>
      <c r="C103" s="21" t="s">
        <v>446</v>
      </c>
      <c r="D103" s="12"/>
      <c r="E103" s="13"/>
      <c r="F103" s="92"/>
      <c r="G103" s="93"/>
    </row>
    <row r="104" spans="2:7">
      <c r="B104" s="18"/>
      <c r="C104" s="21" t="s">
        <v>449</v>
      </c>
      <c r="D104" s="12"/>
      <c r="E104" s="13"/>
      <c r="F104" s="92"/>
      <c r="G104" s="93"/>
    </row>
    <row r="105" spans="2:7">
      <c r="B105" s="18"/>
      <c r="C105" s="21" t="s">
        <v>96</v>
      </c>
      <c r="D105" s="12"/>
      <c r="E105" s="13"/>
      <c r="F105" s="92"/>
      <c r="G105" s="93"/>
    </row>
    <row r="106" spans="2:7">
      <c r="B106" s="18"/>
      <c r="C106" s="21" t="s">
        <v>108</v>
      </c>
      <c r="D106" s="12"/>
      <c r="E106" s="13"/>
      <c r="F106" s="92"/>
      <c r="G106" s="93"/>
    </row>
    <row r="107" spans="2:7">
      <c r="B107" s="18">
        <v>11</v>
      </c>
      <c r="C107" s="27" t="s">
        <v>607</v>
      </c>
      <c r="D107" s="12">
        <v>70</v>
      </c>
      <c r="E107" s="13" t="s">
        <v>613</v>
      </c>
      <c r="F107" s="92"/>
      <c r="G107" s="93">
        <f>F107*D107</f>
        <v>0</v>
      </c>
    </row>
    <row r="108" spans="2:7">
      <c r="B108" s="18"/>
      <c r="C108" s="21" t="s">
        <v>608</v>
      </c>
      <c r="D108" s="12"/>
      <c r="E108" s="13"/>
      <c r="F108" s="92"/>
      <c r="G108" s="93"/>
    </row>
    <row r="109" spans="2:7">
      <c r="B109" s="18"/>
      <c r="C109" s="21" t="s">
        <v>609</v>
      </c>
      <c r="D109" s="12"/>
      <c r="E109" s="13"/>
      <c r="F109" s="92"/>
      <c r="G109" s="93"/>
    </row>
    <row r="110" spans="2:7">
      <c r="B110" s="18"/>
      <c r="C110" s="21" t="s">
        <v>610</v>
      </c>
      <c r="D110" s="12"/>
      <c r="E110" s="13"/>
      <c r="F110" s="92"/>
      <c r="G110" s="93"/>
    </row>
    <row r="111" spans="2:7">
      <c r="B111" s="18"/>
      <c r="C111" s="21" t="s">
        <v>611</v>
      </c>
      <c r="D111" s="12"/>
      <c r="E111" s="13"/>
      <c r="F111" s="92"/>
      <c r="G111" s="93"/>
    </row>
    <row r="112" spans="2:7">
      <c r="B112" s="18"/>
      <c r="C112" s="21" t="s">
        <v>612</v>
      </c>
      <c r="D112" s="12"/>
      <c r="E112" s="13"/>
      <c r="F112" s="92"/>
      <c r="G112" s="93"/>
    </row>
    <row r="113" spans="1:8">
      <c r="B113" s="18"/>
      <c r="C113" s="21" t="s">
        <v>417</v>
      </c>
      <c r="D113" s="12"/>
      <c r="E113" s="13"/>
      <c r="F113" s="92"/>
      <c r="G113" s="93"/>
    </row>
    <row r="114" spans="1:8">
      <c r="B114" s="18">
        <v>12</v>
      </c>
      <c r="C114" s="27" t="s">
        <v>604</v>
      </c>
      <c r="D114" s="12">
        <v>5850</v>
      </c>
      <c r="E114" s="13" t="s">
        <v>469</v>
      </c>
      <c r="F114" s="92">
        <v>300</v>
      </c>
      <c r="G114" s="93">
        <f>F114*D114</f>
        <v>1755000</v>
      </c>
    </row>
    <row r="115" spans="1:8">
      <c r="B115" s="18"/>
      <c r="C115" s="21" t="s">
        <v>605</v>
      </c>
      <c r="D115" s="12"/>
      <c r="E115" s="13"/>
      <c r="F115" s="92"/>
      <c r="G115" s="93"/>
    </row>
    <row r="116" spans="1:8">
      <c r="B116" s="18">
        <v>13</v>
      </c>
      <c r="C116" s="27" t="s">
        <v>604</v>
      </c>
      <c r="D116" s="12">
        <v>487</v>
      </c>
      <c r="E116" s="13" t="s">
        <v>469</v>
      </c>
      <c r="F116" s="92">
        <v>250</v>
      </c>
      <c r="G116" s="93">
        <f>F116*D116</f>
        <v>121750</v>
      </c>
    </row>
    <row r="117" spans="1:8">
      <c r="B117" s="18"/>
      <c r="C117" s="21" t="s">
        <v>606</v>
      </c>
      <c r="D117" s="12"/>
      <c r="E117" s="13"/>
      <c r="F117" s="92"/>
      <c r="G117" s="93"/>
    </row>
    <row r="118" spans="1:8">
      <c r="B118" s="18">
        <v>14</v>
      </c>
      <c r="C118" s="27" t="s">
        <v>521</v>
      </c>
      <c r="D118" s="12">
        <v>9</v>
      </c>
      <c r="E118" s="13" t="s">
        <v>468</v>
      </c>
      <c r="F118" s="92"/>
      <c r="G118" s="93">
        <f>F118*D118</f>
        <v>0</v>
      </c>
    </row>
    <row r="119" spans="1:8">
      <c r="A119" s="61"/>
      <c r="B119" s="18"/>
      <c r="C119" s="21" t="s">
        <v>450</v>
      </c>
      <c r="D119" s="12"/>
      <c r="E119" s="13"/>
      <c r="F119" s="92"/>
      <c r="G119" s="93"/>
      <c r="H119" s="61"/>
    </row>
    <row r="120" spans="1:8">
      <c r="A120" s="62"/>
      <c r="B120" s="18"/>
      <c r="C120" s="21" t="s">
        <v>402</v>
      </c>
      <c r="D120" s="12"/>
      <c r="E120" s="13"/>
      <c r="F120" s="92"/>
      <c r="G120" s="93"/>
      <c r="H120" s="62"/>
    </row>
    <row r="121" spans="1:8">
      <c r="B121" s="18"/>
      <c r="C121" s="21" t="s">
        <v>403</v>
      </c>
      <c r="D121" s="12"/>
      <c r="E121" s="13"/>
      <c r="F121" s="92"/>
      <c r="G121" s="93"/>
    </row>
    <row r="122" spans="1:8">
      <c r="B122" s="18"/>
      <c r="C122" s="21" t="s">
        <v>404</v>
      </c>
      <c r="D122" s="12"/>
      <c r="E122" s="13"/>
      <c r="F122" s="92"/>
      <c r="G122" s="93"/>
    </row>
    <row r="123" spans="1:8">
      <c r="B123" s="18"/>
      <c r="C123" s="21" t="s">
        <v>405</v>
      </c>
      <c r="D123" s="12"/>
      <c r="E123" s="13"/>
      <c r="F123" s="92"/>
      <c r="G123" s="93"/>
    </row>
    <row r="124" spans="1:8">
      <c r="B124" s="18"/>
      <c r="C124" s="21" t="s">
        <v>451</v>
      </c>
      <c r="D124" s="12"/>
      <c r="E124" s="13"/>
      <c r="F124" s="92"/>
      <c r="G124" s="93"/>
    </row>
    <row r="125" spans="1:8">
      <c r="B125" s="18"/>
      <c r="C125" s="21" t="s">
        <v>452</v>
      </c>
      <c r="D125" s="12"/>
      <c r="E125" s="13"/>
      <c r="F125" s="92"/>
      <c r="G125" s="93"/>
    </row>
    <row r="126" spans="1:8">
      <c r="B126" s="18"/>
      <c r="C126" s="21" t="s">
        <v>453</v>
      </c>
      <c r="D126" s="12"/>
      <c r="E126" s="13"/>
      <c r="F126" s="92"/>
      <c r="G126" s="93"/>
    </row>
    <row r="127" spans="1:8">
      <c r="B127" s="18"/>
      <c r="C127" s="21" t="s">
        <v>406</v>
      </c>
      <c r="D127" s="12"/>
      <c r="E127" s="13"/>
      <c r="F127" s="92"/>
      <c r="G127" s="93"/>
    </row>
    <row r="128" spans="1:8">
      <c r="B128" s="18"/>
      <c r="C128" s="21" t="s">
        <v>407</v>
      </c>
      <c r="D128" s="12"/>
      <c r="E128" s="13"/>
      <c r="F128" s="92"/>
      <c r="G128" s="93"/>
    </row>
    <row r="129" spans="2:7">
      <c r="B129" s="18"/>
      <c r="C129" s="21" t="s">
        <v>409</v>
      </c>
      <c r="D129" s="12"/>
      <c r="E129" s="13"/>
      <c r="F129" s="92"/>
      <c r="G129" s="93"/>
    </row>
    <row r="130" spans="2:7">
      <c r="B130" s="18"/>
      <c r="C130" s="21" t="s">
        <v>410</v>
      </c>
      <c r="D130" s="12"/>
      <c r="E130" s="13"/>
      <c r="F130" s="92"/>
      <c r="G130" s="93"/>
    </row>
    <row r="131" spans="2:7">
      <c r="B131" s="18"/>
      <c r="C131" s="21" t="s">
        <v>454</v>
      </c>
      <c r="D131" s="12"/>
      <c r="E131" s="13"/>
      <c r="F131" s="92"/>
      <c r="G131" s="93"/>
    </row>
    <row r="132" spans="2:7">
      <c r="B132" s="63">
        <v>15</v>
      </c>
      <c r="C132" s="64" t="s">
        <v>727</v>
      </c>
      <c r="D132" s="63">
        <v>9</v>
      </c>
      <c r="E132" s="65" t="s">
        <v>468</v>
      </c>
      <c r="F132" s="92">
        <v>7500</v>
      </c>
      <c r="G132" s="93">
        <f>F132*D132</f>
        <v>67500</v>
      </c>
    </row>
    <row r="133" spans="2:7">
      <c r="B133" s="63"/>
      <c r="C133" s="66" t="s">
        <v>728</v>
      </c>
      <c r="D133" s="63"/>
      <c r="E133" s="65"/>
      <c r="F133" s="92"/>
      <c r="G133" s="93"/>
    </row>
    <row r="134" spans="2:7">
      <c r="B134" s="18"/>
      <c r="C134" s="21"/>
      <c r="D134" s="12"/>
      <c r="E134" s="13"/>
      <c r="F134" s="92"/>
      <c r="G134" s="93"/>
    </row>
    <row r="135" spans="2:7">
      <c r="B135" s="18">
        <v>16</v>
      </c>
      <c r="C135" s="27" t="s">
        <v>522</v>
      </c>
      <c r="D135" s="12">
        <v>9</v>
      </c>
      <c r="E135" s="13" t="s">
        <v>470</v>
      </c>
      <c r="F135" s="92"/>
      <c r="G135" s="93">
        <f>F135*D135</f>
        <v>0</v>
      </c>
    </row>
    <row r="136" spans="2:7">
      <c r="B136" s="18"/>
      <c r="C136" s="21" t="s">
        <v>455</v>
      </c>
      <c r="D136" s="12"/>
      <c r="E136" s="13"/>
      <c r="F136" s="92"/>
      <c r="G136" s="93"/>
    </row>
    <row r="137" spans="2:7">
      <c r="B137" s="18"/>
      <c r="C137" s="21" t="s">
        <v>456</v>
      </c>
      <c r="D137" s="12"/>
      <c r="E137" s="13"/>
      <c r="F137" s="92"/>
      <c r="G137" s="93"/>
    </row>
    <row r="138" spans="2:7">
      <c r="B138" s="18"/>
      <c r="C138" s="21"/>
      <c r="D138" s="12"/>
      <c r="E138" s="13"/>
      <c r="F138" s="92"/>
      <c r="G138" s="93"/>
    </row>
    <row r="139" spans="2:7">
      <c r="B139" s="18"/>
      <c r="C139" s="21" t="s">
        <v>457</v>
      </c>
      <c r="D139" s="12"/>
      <c r="E139" s="13"/>
      <c r="F139" s="92"/>
      <c r="G139" s="93"/>
    </row>
    <row r="140" spans="2:7">
      <c r="B140" s="18"/>
      <c r="C140" s="21" t="s">
        <v>458</v>
      </c>
      <c r="D140" s="12"/>
      <c r="E140" s="13"/>
      <c r="F140" s="92"/>
      <c r="G140" s="93"/>
    </row>
    <row r="141" spans="2:7">
      <c r="B141" s="18"/>
      <c r="C141" s="21" t="s">
        <v>459</v>
      </c>
      <c r="D141" s="12"/>
      <c r="E141" s="13"/>
      <c r="F141" s="92"/>
      <c r="G141" s="93"/>
    </row>
    <row r="142" spans="2:7">
      <c r="B142" s="18"/>
      <c r="C142" s="21" t="s">
        <v>460</v>
      </c>
      <c r="D142" s="12"/>
      <c r="E142" s="13"/>
      <c r="F142" s="92"/>
      <c r="G142" s="93"/>
    </row>
    <row r="143" spans="2:7">
      <c r="B143" s="18"/>
      <c r="C143" s="21" t="s">
        <v>461</v>
      </c>
      <c r="D143" s="12"/>
      <c r="E143" s="13"/>
      <c r="F143" s="92"/>
      <c r="G143" s="93"/>
    </row>
    <row r="144" spans="2:7">
      <c r="B144" s="18"/>
      <c r="C144" s="21" t="s">
        <v>466</v>
      </c>
      <c r="D144" s="12"/>
      <c r="E144" s="13"/>
      <c r="F144" s="92"/>
      <c r="G144" s="93"/>
    </row>
    <row r="145" spans="2:7">
      <c r="B145" s="18"/>
      <c r="C145" s="21" t="s">
        <v>462</v>
      </c>
      <c r="D145" s="12"/>
      <c r="E145" s="13"/>
      <c r="F145" s="92"/>
      <c r="G145" s="93"/>
    </row>
    <row r="146" spans="2:7">
      <c r="B146" s="18"/>
      <c r="C146" s="21" t="s">
        <v>463</v>
      </c>
      <c r="D146" s="12"/>
      <c r="E146" s="13"/>
      <c r="F146" s="92"/>
      <c r="G146" s="93"/>
    </row>
    <row r="147" spans="2:7">
      <c r="B147" s="18"/>
      <c r="C147" s="21" t="s">
        <v>464</v>
      </c>
      <c r="D147" s="12"/>
      <c r="E147" s="13"/>
      <c r="F147" s="92"/>
      <c r="G147" s="93"/>
    </row>
    <row r="148" spans="2:7">
      <c r="B148" s="18"/>
      <c r="C148" s="21" t="s">
        <v>467</v>
      </c>
      <c r="D148" s="12"/>
      <c r="E148" s="13"/>
      <c r="F148" s="92"/>
      <c r="G148" s="93"/>
    </row>
    <row r="149" spans="2:7" ht="15.75" thickBot="1">
      <c r="B149" s="23"/>
      <c r="C149" s="22" t="s">
        <v>465</v>
      </c>
      <c r="D149" s="28"/>
      <c r="E149" s="24"/>
      <c r="F149" s="96"/>
      <c r="G149" s="97"/>
    </row>
    <row r="150" spans="2:7" ht="23.25" customHeight="1">
      <c r="D150" s="170" t="s">
        <v>763</v>
      </c>
      <c r="E150" s="170"/>
      <c r="F150" s="170"/>
      <c r="G150" s="106">
        <f>SUM(G9:G149)</f>
        <v>8303150</v>
      </c>
    </row>
    <row r="151" spans="2:7">
      <c r="F151" s="105"/>
      <c r="G151" s="105"/>
    </row>
  </sheetData>
  <mergeCells count="2">
    <mergeCell ref="B2:G6"/>
    <mergeCell ref="D150:F150"/>
  </mergeCells>
  <printOptions horizontalCentered="1" verticalCentered="1"/>
  <pageMargins left="0" right="0" top="0" bottom="1.1811023622047245" header="0.31496062992125984" footer="0.31496062992125984"/>
  <pageSetup paperSize="9" scale="86" fitToHeight="0" orientation="portrait" r:id="rId1"/>
  <headerFooter>
    <oddFooter>&amp;CMerkez Ofis : Üçevler Mh. Esra Sk. No:6/21 Polat Plaza
Nilüfer / BURSA
Fabrika : Minareliçavuş Mah. 106(290)Sok. No:44 Kapı No:1
Nilüfer / BURSA</oddFooter>
  </headerFooter>
  <rowBreaks count="2" manualBreakCount="2">
    <brk id="57" max="7" man="1"/>
    <brk id="113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view="pageBreakPreview" zoomScale="115" zoomScaleNormal="100" zoomScaleSheetLayoutView="115" workbookViewId="0">
      <selection activeCell="D17" sqref="D17:E17"/>
    </sheetView>
  </sheetViews>
  <sheetFormatPr defaultRowHeight="15"/>
  <cols>
    <col min="1" max="1" width="4.28515625" customWidth="1"/>
    <col min="2" max="2" width="39.5703125" customWidth="1"/>
    <col min="5" max="5" width="16" customWidth="1"/>
    <col min="6" max="6" width="21.42578125" customWidth="1"/>
  </cols>
  <sheetData>
    <row r="1" spans="1:6" ht="15.75" thickBot="1">
      <c r="A1" s="171" t="s">
        <v>761</v>
      </c>
      <c r="B1" s="172"/>
      <c r="C1" s="172"/>
      <c r="D1" s="172"/>
      <c r="E1" s="172"/>
      <c r="F1" s="172"/>
    </row>
    <row r="2" spans="1:6" ht="24.75" thickBot="1">
      <c r="A2" s="89" t="s">
        <v>0</v>
      </c>
      <c r="B2" s="89"/>
      <c r="C2" s="89" t="s">
        <v>2</v>
      </c>
      <c r="D2" s="89" t="s">
        <v>3</v>
      </c>
      <c r="E2" s="91" t="s">
        <v>5</v>
      </c>
      <c r="F2" s="90" t="s">
        <v>6</v>
      </c>
    </row>
    <row r="3" spans="1:6">
      <c r="A3" s="85">
        <v>1</v>
      </c>
      <c r="B3" s="86" t="s">
        <v>239</v>
      </c>
      <c r="C3" s="87">
        <v>34</v>
      </c>
      <c r="D3" s="88" t="s">
        <v>235</v>
      </c>
      <c r="E3" s="107"/>
      <c r="F3" s="108">
        <f t="shared" ref="F3:F16" si="0">E3*C3</f>
        <v>0</v>
      </c>
    </row>
    <row r="4" spans="1:6">
      <c r="A4" s="18">
        <v>2</v>
      </c>
      <c r="B4" s="21" t="s">
        <v>240</v>
      </c>
      <c r="C4" s="75">
        <v>400</v>
      </c>
      <c r="D4" s="13" t="s">
        <v>235</v>
      </c>
      <c r="E4" s="92"/>
      <c r="F4" s="93">
        <f t="shared" si="0"/>
        <v>0</v>
      </c>
    </row>
    <row r="5" spans="1:6">
      <c r="A5" s="18">
        <v>3</v>
      </c>
      <c r="B5" s="21" t="s">
        <v>241</v>
      </c>
      <c r="C5" s="75">
        <v>400</v>
      </c>
      <c r="D5" s="13" t="s">
        <v>235</v>
      </c>
      <c r="E5" s="92"/>
      <c r="F5" s="93">
        <f t="shared" si="0"/>
        <v>0</v>
      </c>
    </row>
    <row r="6" spans="1:6">
      <c r="A6" s="18">
        <v>4</v>
      </c>
      <c r="B6" s="21" t="s">
        <v>242</v>
      </c>
      <c r="C6" s="75">
        <v>500</v>
      </c>
      <c r="D6" s="13" t="s">
        <v>243</v>
      </c>
      <c r="E6" s="92">
        <v>675</v>
      </c>
      <c r="F6" s="93">
        <f t="shared" si="0"/>
        <v>337500</v>
      </c>
    </row>
    <row r="7" spans="1:6">
      <c r="A7" s="18">
        <v>5</v>
      </c>
      <c r="B7" s="21" t="s">
        <v>244</v>
      </c>
      <c r="C7" s="75">
        <v>700</v>
      </c>
      <c r="D7" s="13" t="s">
        <v>243</v>
      </c>
      <c r="E7" s="92">
        <v>430</v>
      </c>
      <c r="F7" s="93">
        <f t="shared" si="0"/>
        <v>301000</v>
      </c>
    </row>
    <row r="8" spans="1:6">
      <c r="A8" s="18">
        <v>6</v>
      </c>
      <c r="B8" s="21" t="s">
        <v>246</v>
      </c>
      <c r="C8" s="75">
        <v>100</v>
      </c>
      <c r="D8" s="13" t="s">
        <v>235</v>
      </c>
      <c r="E8" s="92">
        <v>400</v>
      </c>
      <c r="F8" s="93">
        <f t="shared" si="0"/>
        <v>40000</v>
      </c>
    </row>
    <row r="9" spans="1:6">
      <c r="A9" s="18">
        <v>7</v>
      </c>
      <c r="B9" s="21" t="s">
        <v>247</v>
      </c>
      <c r="C9" s="75">
        <v>150</v>
      </c>
      <c r="D9" s="13" t="s">
        <v>235</v>
      </c>
      <c r="E9" s="92">
        <v>300</v>
      </c>
      <c r="F9" s="93">
        <f t="shared" si="0"/>
        <v>45000</v>
      </c>
    </row>
    <row r="10" spans="1:6">
      <c r="A10" s="18">
        <v>8</v>
      </c>
      <c r="B10" s="21" t="s">
        <v>248</v>
      </c>
      <c r="C10" s="75">
        <v>150</v>
      </c>
      <c r="D10" s="13" t="s">
        <v>235</v>
      </c>
      <c r="E10" s="92">
        <v>300</v>
      </c>
      <c r="F10" s="93">
        <f t="shared" si="0"/>
        <v>45000</v>
      </c>
    </row>
    <row r="11" spans="1:6">
      <c r="A11" s="18">
        <v>9</v>
      </c>
      <c r="B11" s="21" t="s">
        <v>250</v>
      </c>
      <c r="C11" s="75">
        <v>400</v>
      </c>
      <c r="D11" s="13" t="s">
        <v>235</v>
      </c>
      <c r="E11" s="92"/>
      <c r="F11" s="93">
        <f t="shared" si="0"/>
        <v>0</v>
      </c>
    </row>
    <row r="12" spans="1:6">
      <c r="A12" s="18">
        <v>10</v>
      </c>
      <c r="B12" s="76" t="s">
        <v>726</v>
      </c>
      <c r="C12" s="75">
        <v>4</v>
      </c>
      <c r="D12" s="77" t="s">
        <v>644</v>
      </c>
      <c r="E12" s="92">
        <v>4500</v>
      </c>
      <c r="F12" s="93">
        <f t="shared" si="0"/>
        <v>18000</v>
      </c>
    </row>
    <row r="13" spans="1:6">
      <c r="A13" s="18">
        <v>11</v>
      </c>
      <c r="B13" s="21" t="s">
        <v>252</v>
      </c>
      <c r="C13" s="75">
        <v>17</v>
      </c>
      <c r="D13" s="13" t="s">
        <v>235</v>
      </c>
      <c r="E13" s="92">
        <v>3000</v>
      </c>
      <c r="F13" s="93">
        <f t="shared" si="0"/>
        <v>51000</v>
      </c>
    </row>
    <row r="14" spans="1:6">
      <c r="A14" s="18">
        <v>12</v>
      </c>
      <c r="B14" s="21" t="s">
        <v>254</v>
      </c>
      <c r="C14" s="75">
        <v>30</v>
      </c>
      <c r="D14" s="13" t="s">
        <v>235</v>
      </c>
      <c r="E14" s="92">
        <v>2500</v>
      </c>
      <c r="F14" s="93">
        <f t="shared" si="0"/>
        <v>75000</v>
      </c>
    </row>
    <row r="15" spans="1:6">
      <c r="A15" s="18">
        <v>13</v>
      </c>
      <c r="B15" s="21" t="s">
        <v>255</v>
      </c>
      <c r="C15" s="75">
        <v>30</v>
      </c>
      <c r="D15" s="13" t="s">
        <v>235</v>
      </c>
      <c r="E15" s="92">
        <v>7500</v>
      </c>
      <c r="F15" s="93">
        <f t="shared" si="0"/>
        <v>225000</v>
      </c>
    </row>
    <row r="16" spans="1:6" ht="15.75" thickBot="1">
      <c r="A16" s="23">
        <v>14</v>
      </c>
      <c r="B16" s="22" t="s">
        <v>256</v>
      </c>
      <c r="C16" s="78">
        <v>2</v>
      </c>
      <c r="D16" s="24" t="s">
        <v>235</v>
      </c>
      <c r="E16" s="96">
        <v>8000</v>
      </c>
      <c r="F16" s="97">
        <f t="shared" si="0"/>
        <v>16000</v>
      </c>
    </row>
    <row r="17" spans="4:6" ht="25.5" customHeight="1">
      <c r="D17" s="173" t="s">
        <v>764</v>
      </c>
      <c r="E17" s="173"/>
      <c r="F17" s="109">
        <f>SUM(F3:F16)</f>
        <v>1153500</v>
      </c>
    </row>
  </sheetData>
  <mergeCells count="2">
    <mergeCell ref="A1:F1"/>
    <mergeCell ref="D17:E1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76"/>
  <sheetViews>
    <sheetView view="pageBreakPreview" zoomScaleNormal="100" zoomScaleSheetLayoutView="100" workbookViewId="0">
      <pane ySplit="7" topLeftCell="A162" activePane="bottomLeft" state="frozen"/>
      <selection pane="bottomLeft" activeCell="D176" sqref="D176:F176"/>
    </sheetView>
  </sheetViews>
  <sheetFormatPr defaultRowHeight="15" outlineLevelCol="1"/>
  <cols>
    <col min="1" max="1" width="5" customWidth="1"/>
    <col min="2" max="2" width="3.140625" bestFit="1" customWidth="1"/>
    <col min="3" max="3" width="66.28515625" bestFit="1" customWidth="1"/>
    <col min="4" max="4" width="6" bestFit="1" customWidth="1"/>
    <col min="5" max="5" width="5.5703125" bestFit="1" customWidth="1"/>
    <col min="6" max="6" width="14.5703125" customWidth="1" outlineLevel="1"/>
    <col min="7" max="7" width="24.85546875" customWidth="1" outlineLevel="1"/>
    <col min="8" max="8" width="2.5703125" customWidth="1"/>
  </cols>
  <sheetData>
    <row r="1" spans="2:7" ht="15.75" thickBot="1"/>
    <row r="2" spans="2:7" s="41" customFormat="1" ht="12.4" customHeight="1">
      <c r="B2" s="160" t="s">
        <v>747</v>
      </c>
      <c r="C2" s="161"/>
      <c r="D2" s="161"/>
      <c r="E2" s="161"/>
      <c r="F2" s="161"/>
      <c r="G2" s="162"/>
    </row>
    <row r="3" spans="2:7" s="41" customFormat="1" ht="12.4" customHeight="1">
      <c r="B3" s="163"/>
      <c r="C3" s="164"/>
      <c r="D3" s="164"/>
      <c r="E3" s="164"/>
      <c r="F3" s="164"/>
      <c r="G3" s="165"/>
    </row>
    <row r="4" spans="2:7" s="41" customFormat="1" ht="12.4" customHeight="1">
      <c r="B4" s="163"/>
      <c r="C4" s="164"/>
      <c r="D4" s="164"/>
      <c r="E4" s="164"/>
      <c r="F4" s="164"/>
      <c r="G4" s="165"/>
    </row>
    <row r="5" spans="2:7" s="41" customFormat="1" ht="12.4" customHeight="1">
      <c r="B5" s="163"/>
      <c r="C5" s="164"/>
      <c r="D5" s="164"/>
      <c r="E5" s="164"/>
      <c r="F5" s="164"/>
      <c r="G5" s="165"/>
    </row>
    <row r="6" spans="2:7" s="41" customFormat="1" ht="13.15" customHeight="1" thickBot="1">
      <c r="B6" s="166"/>
      <c r="C6" s="167"/>
      <c r="D6" s="167"/>
      <c r="E6" s="167"/>
      <c r="F6" s="167"/>
      <c r="G6" s="168"/>
    </row>
    <row r="7" spans="2:7" ht="24.75" thickBot="1">
      <c r="B7" s="1" t="s">
        <v>0</v>
      </c>
      <c r="C7" s="1" t="s">
        <v>742</v>
      </c>
      <c r="D7" s="2" t="s">
        <v>2</v>
      </c>
      <c r="E7" s="3" t="s">
        <v>3</v>
      </c>
      <c r="F7" s="55" t="s">
        <v>5</v>
      </c>
      <c r="G7" s="54" t="s">
        <v>6</v>
      </c>
    </row>
    <row r="8" spans="2:7" ht="15.75" thickBot="1">
      <c r="B8" s="7"/>
      <c r="C8" s="57"/>
      <c r="D8" s="8"/>
      <c r="E8" s="9"/>
      <c r="F8" s="11"/>
      <c r="G8" s="58"/>
    </row>
    <row r="9" spans="2:7">
      <c r="B9" s="12"/>
      <c r="C9" s="51"/>
      <c r="D9" s="12"/>
      <c r="E9" s="13"/>
      <c r="F9" s="92"/>
      <c r="G9" s="93"/>
    </row>
    <row r="10" spans="2:7">
      <c r="B10" s="12">
        <v>1</v>
      </c>
      <c r="C10" s="51" t="s">
        <v>172</v>
      </c>
      <c r="D10" s="12">
        <v>420</v>
      </c>
      <c r="E10" s="13" t="s">
        <v>188</v>
      </c>
      <c r="F10" s="92">
        <v>200</v>
      </c>
      <c r="G10" s="93">
        <f>F10*D10</f>
        <v>84000</v>
      </c>
    </row>
    <row r="11" spans="2:7">
      <c r="B11" s="12"/>
      <c r="C11" s="52" t="s">
        <v>164</v>
      </c>
      <c r="D11" s="12"/>
      <c r="E11" s="13"/>
      <c r="F11" s="92"/>
      <c r="G11" s="93"/>
    </row>
    <row r="12" spans="2:7">
      <c r="B12" s="12"/>
      <c r="C12" s="52" t="s">
        <v>165</v>
      </c>
      <c r="D12" s="12"/>
      <c r="E12" s="13"/>
      <c r="F12" s="92"/>
      <c r="G12" s="93"/>
    </row>
    <row r="13" spans="2:7">
      <c r="B13" s="12"/>
      <c r="C13" s="52" t="s">
        <v>166</v>
      </c>
      <c r="D13" s="12"/>
      <c r="E13" s="13"/>
      <c r="F13" s="92"/>
      <c r="G13" s="93"/>
    </row>
    <row r="14" spans="2:7">
      <c r="B14" s="12"/>
      <c r="C14" s="52" t="s">
        <v>167</v>
      </c>
      <c r="D14" s="12"/>
      <c r="E14" s="13"/>
      <c r="F14" s="92"/>
      <c r="G14" s="93"/>
    </row>
    <row r="15" spans="2:7">
      <c r="B15" s="12"/>
      <c r="C15" s="52" t="s">
        <v>168</v>
      </c>
      <c r="D15" s="12"/>
      <c r="E15" s="13"/>
      <c r="F15" s="92"/>
      <c r="G15" s="93"/>
    </row>
    <row r="16" spans="2:7">
      <c r="B16" s="12"/>
      <c r="C16" s="52" t="s">
        <v>169</v>
      </c>
      <c r="D16" s="12"/>
      <c r="E16" s="13"/>
      <c r="F16" s="92"/>
      <c r="G16" s="93"/>
    </row>
    <row r="17" spans="2:7">
      <c r="B17" s="12"/>
      <c r="C17" s="52" t="s">
        <v>170</v>
      </c>
      <c r="D17" s="12"/>
      <c r="E17" s="13"/>
      <c r="F17" s="92"/>
      <c r="G17" s="93"/>
    </row>
    <row r="18" spans="2:7">
      <c r="B18" s="12"/>
      <c r="C18" s="52" t="s">
        <v>171</v>
      </c>
      <c r="D18" s="12"/>
      <c r="E18" s="13"/>
      <c r="F18" s="92"/>
      <c r="G18" s="93"/>
    </row>
    <row r="19" spans="2:7">
      <c r="B19" s="12">
        <v>2</v>
      </c>
      <c r="C19" s="51" t="s">
        <v>173</v>
      </c>
      <c r="D19" s="12">
        <v>19</v>
      </c>
      <c r="E19" s="13" t="s">
        <v>468</v>
      </c>
      <c r="F19" s="92">
        <v>3000</v>
      </c>
      <c r="G19" s="93">
        <f>F19*D19</f>
        <v>57000</v>
      </c>
    </row>
    <row r="20" spans="2:7">
      <c r="B20" s="12"/>
      <c r="C20" s="52" t="s">
        <v>174</v>
      </c>
      <c r="D20" s="12"/>
      <c r="E20" s="13"/>
      <c r="F20" s="92"/>
      <c r="G20" s="93"/>
    </row>
    <row r="21" spans="2:7">
      <c r="B21" s="12"/>
      <c r="C21" s="52" t="s">
        <v>175</v>
      </c>
      <c r="D21" s="12"/>
      <c r="E21" s="13"/>
      <c r="F21" s="92"/>
      <c r="G21" s="93"/>
    </row>
    <row r="22" spans="2:7">
      <c r="B22" s="12"/>
      <c r="C22" s="52" t="s">
        <v>176</v>
      </c>
      <c r="D22" s="12"/>
      <c r="E22" s="13"/>
      <c r="F22" s="92"/>
      <c r="G22" s="93"/>
    </row>
    <row r="23" spans="2:7">
      <c r="B23" s="12"/>
      <c r="C23" s="52" t="s">
        <v>177</v>
      </c>
      <c r="D23" s="12"/>
      <c r="E23" s="13"/>
      <c r="F23" s="92"/>
      <c r="G23" s="93"/>
    </row>
    <row r="24" spans="2:7">
      <c r="B24" s="12"/>
      <c r="C24" s="52" t="s">
        <v>178</v>
      </c>
      <c r="D24" s="12"/>
      <c r="E24" s="13"/>
      <c r="F24" s="92"/>
      <c r="G24" s="93"/>
    </row>
    <row r="25" spans="2:7">
      <c r="B25" s="12"/>
      <c r="C25" s="52" t="s">
        <v>179</v>
      </c>
      <c r="D25" s="12"/>
      <c r="E25" s="13"/>
      <c r="F25" s="92"/>
      <c r="G25" s="93"/>
    </row>
    <row r="26" spans="2:7">
      <c r="B26" s="12"/>
      <c r="C26" s="52" t="s">
        <v>180</v>
      </c>
      <c r="D26" s="12"/>
      <c r="E26" s="13"/>
      <c r="F26" s="92"/>
      <c r="G26" s="93"/>
    </row>
    <row r="27" spans="2:7">
      <c r="B27" s="12"/>
      <c r="C27" s="52" t="s">
        <v>181</v>
      </c>
      <c r="D27" s="12"/>
      <c r="E27" s="13"/>
      <c r="F27" s="92"/>
      <c r="G27" s="93"/>
    </row>
    <row r="28" spans="2:7">
      <c r="B28" s="12"/>
      <c r="C28" s="52" t="s">
        <v>185</v>
      </c>
      <c r="D28" s="12"/>
      <c r="E28" s="13"/>
      <c r="F28" s="92"/>
      <c r="G28" s="93"/>
    </row>
    <row r="29" spans="2:7">
      <c r="B29" s="12"/>
      <c r="C29" s="52" t="s">
        <v>187</v>
      </c>
      <c r="D29" s="12"/>
      <c r="E29" s="13"/>
      <c r="F29" s="92"/>
      <c r="G29" s="93"/>
    </row>
    <row r="30" spans="2:7">
      <c r="B30" s="12"/>
      <c r="C30" s="52" t="s">
        <v>186</v>
      </c>
      <c r="D30" s="12"/>
      <c r="E30" s="13"/>
      <c r="F30" s="92"/>
      <c r="G30" s="93"/>
    </row>
    <row r="31" spans="2:7">
      <c r="B31" s="12"/>
      <c r="C31" s="52" t="s">
        <v>183</v>
      </c>
      <c r="D31" s="12"/>
      <c r="E31" s="13"/>
      <c r="F31" s="92"/>
      <c r="G31" s="93"/>
    </row>
    <row r="32" spans="2:7">
      <c r="B32" s="12"/>
      <c r="C32" s="52" t="s">
        <v>184</v>
      </c>
      <c r="D32" s="12"/>
      <c r="E32" s="13"/>
      <c r="F32" s="92"/>
      <c r="G32" s="93"/>
    </row>
    <row r="33" spans="2:7">
      <c r="B33" s="12">
        <v>3</v>
      </c>
      <c r="C33" s="51" t="s">
        <v>190</v>
      </c>
      <c r="D33" s="12">
        <v>2</v>
      </c>
      <c r="E33" s="13" t="s">
        <v>468</v>
      </c>
      <c r="F33" s="92">
        <v>3500</v>
      </c>
      <c r="G33" s="93">
        <f>F33*D33</f>
        <v>7000</v>
      </c>
    </row>
    <row r="34" spans="2:7">
      <c r="B34" s="12"/>
      <c r="C34" s="52" t="s">
        <v>174</v>
      </c>
      <c r="D34" s="12"/>
      <c r="E34" s="13"/>
      <c r="F34" s="92"/>
      <c r="G34" s="93"/>
    </row>
    <row r="35" spans="2:7">
      <c r="B35" s="12"/>
      <c r="C35" s="52" t="s">
        <v>175</v>
      </c>
      <c r="D35" s="12"/>
      <c r="E35" s="13"/>
      <c r="F35" s="92"/>
      <c r="G35" s="93"/>
    </row>
    <row r="36" spans="2:7">
      <c r="B36" s="12"/>
      <c r="C36" s="52" t="s">
        <v>176</v>
      </c>
      <c r="D36" s="12"/>
      <c r="E36" s="13"/>
      <c r="F36" s="92"/>
      <c r="G36" s="93"/>
    </row>
    <row r="37" spans="2:7">
      <c r="B37" s="12"/>
      <c r="C37" s="52" t="s">
        <v>177</v>
      </c>
      <c r="D37" s="12"/>
      <c r="E37" s="13"/>
      <c r="F37" s="92"/>
      <c r="G37" s="93"/>
    </row>
    <row r="38" spans="2:7">
      <c r="B38" s="12"/>
      <c r="C38" s="52" t="s">
        <v>178</v>
      </c>
      <c r="D38" s="12"/>
      <c r="E38" s="13"/>
      <c r="F38" s="92"/>
      <c r="G38" s="93"/>
    </row>
    <row r="39" spans="2:7">
      <c r="B39" s="12"/>
      <c r="C39" s="52" t="s">
        <v>179</v>
      </c>
      <c r="D39" s="12"/>
      <c r="E39" s="13"/>
      <c r="F39" s="92"/>
      <c r="G39" s="93"/>
    </row>
    <row r="40" spans="2:7">
      <c r="B40" s="12"/>
      <c r="C40" s="52" t="s">
        <v>189</v>
      </c>
      <c r="D40" s="12"/>
      <c r="E40" s="13"/>
      <c r="F40" s="92"/>
      <c r="G40" s="93"/>
    </row>
    <row r="41" spans="2:7">
      <c r="B41" s="12"/>
      <c r="C41" s="52" t="s">
        <v>181</v>
      </c>
      <c r="D41" s="12"/>
      <c r="E41" s="13"/>
      <c r="F41" s="92"/>
      <c r="G41" s="93"/>
    </row>
    <row r="42" spans="2:7">
      <c r="B42" s="12"/>
      <c r="C42" s="52" t="s">
        <v>185</v>
      </c>
      <c r="D42" s="12"/>
      <c r="E42" s="13"/>
      <c r="F42" s="92"/>
      <c r="G42" s="93"/>
    </row>
    <row r="43" spans="2:7">
      <c r="B43" s="12"/>
      <c r="C43" s="52" t="s">
        <v>182</v>
      </c>
      <c r="D43" s="12"/>
      <c r="E43" s="13"/>
      <c r="F43" s="92"/>
      <c r="G43" s="93"/>
    </row>
    <row r="44" spans="2:7">
      <c r="B44" s="12"/>
      <c r="C44" s="52" t="s">
        <v>186</v>
      </c>
      <c r="D44" s="12"/>
      <c r="E44" s="13"/>
      <c r="F44" s="92"/>
      <c r="G44" s="93"/>
    </row>
    <row r="45" spans="2:7">
      <c r="B45" s="12"/>
      <c r="C45" s="52" t="s">
        <v>183</v>
      </c>
      <c r="D45" s="12"/>
      <c r="E45" s="13"/>
      <c r="F45" s="92"/>
      <c r="G45" s="93"/>
    </row>
    <row r="46" spans="2:7">
      <c r="B46" s="12"/>
      <c r="C46" s="52" t="s">
        <v>184</v>
      </c>
      <c r="D46" s="12"/>
      <c r="E46" s="13"/>
      <c r="F46" s="92"/>
      <c r="G46" s="93"/>
    </row>
    <row r="47" spans="2:7">
      <c r="B47" s="12">
        <v>4</v>
      </c>
      <c r="C47" s="51" t="s">
        <v>191</v>
      </c>
      <c r="D47" s="12">
        <v>21</v>
      </c>
      <c r="E47" s="13" t="s">
        <v>468</v>
      </c>
      <c r="F47" s="92">
        <v>2500</v>
      </c>
      <c r="G47" s="93">
        <f>F47*D47</f>
        <v>52500</v>
      </c>
    </row>
    <row r="48" spans="2:7">
      <c r="B48" s="12"/>
      <c r="C48" s="52" t="s">
        <v>178</v>
      </c>
      <c r="D48" s="12"/>
      <c r="E48" s="13"/>
      <c r="F48" s="92"/>
      <c r="G48" s="93"/>
    </row>
    <row r="49" spans="2:7">
      <c r="B49" s="12"/>
      <c r="C49" s="52" t="s">
        <v>192</v>
      </c>
      <c r="D49" s="12"/>
      <c r="E49" s="13"/>
      <c r="F49" s="92"/>
      <c r="G49" s="93"/>
    </row>
    <row r="50" spans="2:7">
      <c r="B50" s="12"/>
      <c r="C50" s="52" t="s">
        <v>193</v>
      </c>
      <c r="D50" s="12"/>
      <c r="E50" s="13"/>
      <c r="F50" s="92"/>
      <c r="G50" s="93"/>
    </row>
    <row r="51" spans="2:7">
      <c r="B51" s="12"/>
      <c r="C51" s="52" t="s">
        <v>194</v>
      </c>
      <c r="D51" s="12"/>
      <c r="E51" s="13"/>
      <c r="F51" s="92"/>
      <c r="G51" s="93"/>
    </row>
    <row r="52" spans="2:7">
      <c r="B52" s="12"/>
      <c r="C52" s="52" t="s">
        <v>577</v>
      </c>
      <c r="D52" s="12"/>
      <c r="E52" s="13"/>
      <c r="F52" s="92"/>
      <c r="G52" s="93"/>
    </row>
    <row r="53" spans="2:7">
      <c r="B53" s="12"/>
      <c r="C53" s="52" t="s">
        <v>203</v>
      </c>
      <c r="D53" s="12"/>
      <c r="E53" s="13"/>
      <c r="F53" s="92"/>
      <c r="G53" s="93"/>
    </row>
    <row r="54" spans="2:7">
      <c r="B54" s="12"/>
      <c r="C54" s="52" t="s">
        <v>204</v>
      </c>
      <c r="D54" s="12"/>
      <c r="E54" s="13"/>
      <c r="F54" s="92"/>
      <c r="G54" s="93"/>
    </row>
    <row r="55" spans="2:7">
      <c r="B55" s="12"/>
      <c r="C55" s="52" t="s">
        <v>196</v>
      </c>
      <c r="D55" s="12"/>
      <c r="E55" s="13"/>
      <c r="F55" s="92"/>
      <c r="G55" s="93"/>
    </row>
    <row r="56" spans="2:7">
      <c r="B56" s="12"/>
      <c r="C56" s="52" t="s">
        <v>197</v>
      </c>
      <c r="D56" s="12"/>
      <c r="E56" s="13"/>
      <c r="F56" s="92"/>
      <c r="G56" s="93"/>
    </row>
    <row r="57" spans="2:7">
      <c r="B57" s="12"/>
      <c r="C57" s="52" t="s">
        <v>198</v>
      </c>
      <c r="D57" s="12"/>
      <c r="E57" s="13"/>
      <c r="F57" s="92"/>
      <c r="G57" s="93"/>
    </row>
    <row r="58" spans="2:7">
      <c r="B58" s="12"/>
      <c r="C58" s="52" t="s">
        <v>199</v>
      </c>
      <c r="D58" s="12"/>
      <c r="E58" s="13"/>
      <c r="F58" s="92"/>
      <c r="G58" s="93"/>
    </row>
    <row r="59" spans="2:7">
      <c r="B59" s="12"/>
      <c r="C59" s="52" t="s">
        <v>202</v>
      </c>
      <c r="D59" s="12"/>
      <c r="E59" s="13"/>
      <c r="F59" s="92"/>
      <c r="G59" s="93"/>
    </row>
    <row r="60" spans="2:7">
      <c r="B60" s="12"/>
      <c r="C60" s="52" t="s">
        <v>195</v>
      </c>
      <c r="D60" s="12"/>
      <c r="E60" s="13"/>
      <c r="F60" s="92"/>
      <c r="G60" s="93"/>
    </row>
    <row r="61" spans="2:7">
      <c r="B61" s="12"/>
      <c r="C61" s="52" t="s">
        <v>200</v>
      </c>
      <c r="D61" s="12"/>
      <c r="E61" s="13"/>
      <c r="F61" s="92"/>
      <c r="G61" s="93"/>
    </row>
    <row r="62" spans="2:7">
      <c r="B62" s="12"/>
      <c r="C62" s="52" t="s">
        <v>201</v>
      </c>
      <c r="D62" s="12"/>
      <c r="E62" s="13"/>
      <c r="F62" s="92"/>
      <c r="G62" s="93"/>
    </row>
    <row r="63" spans="2:7">
      <c r="B63" s="12">
        <v>5</v>
      </c>
      <c r="C63" s="51" t="s">
        <v>205</v>
      </c>
      <c r="D63" s="12">
        <v>19</v>
      </c>
      <c r="E63" s="13" t="s">
        <v>468</v>
      </c>
      <c r="F63" s="92">
        <v>1500</v>
      </c>
      <c r="G63" s="93">
        <f>F63*D63</f>
        <v>28500</v>
      </c>
    </row>
    <row r="64" spans="2:7">
      <c r="B64" s="12"/>
      <c r="C64" s="52" t="s">
        <v>206</v>
      </c>
      <c r="D64" s="12"/>
      <c r="E64" s="13"/>
      <c r="F64" s="92"/>
      <c r="G64" s="93"/>
    </row>
    <row r="65" spans="2:7">
      <c r="B65" s="12"/>
      <c r="C65" s="52" t="s">
        <v>207</v>
      </c>
      <c r="D65" s="12"/>
      <c r="E65" s="13"/>
      <c r="F65" s="92"/>
      <c r="G65" s="93"/>
    </row>
    <row r="66" spans="2:7">
      <c r="B66" s="12"/>
      <c r="C66" s="52" t="s">
        <v>60</v>
      </c>
      <c r="D66" s="12"/>
      <c r="E66" s="13"/>
      <c r="F66" s="92"/>
      <c r="G66" s="93"/>
    </row>
    <row r="67" spans="2:7">
      <c r="B67" s="12"/>
      <c r="C67" s="52" t="s">
        <v>61</v>
      </c>
      <c r="D67" s="12"/>
      <c r="E67" s="13"/>
      <c r="F67" s="92"/>
      <c r="G67" s="93"/>
    </row>
    <row r="68" spans="2:7">
      <c r="B68" s="12"/>
      <c r="C68" s="52" t="s">
        <v>208</v>
      </c>
      <c r="D68" s="12"/>
      <c r="E68" s="13"/>
      <c r="F68" s="92"/>
      <c r="G68" s="93"/>
    </row>
    <row r="69" spans="2:7">
      <c r="B69" s="12"/>
      <c r="C69" s="52" t="s">
        <v>62</v>
      </c>
      <c r="D69" s="12"/>
      <c r="E69" s="13"/>
      <c r="F69" s="92"/>
      <c r="G69" s="93"/>
    </row>
    <row r="70" spans="2:7">
      <c r="B70" s="12"/>
      <c r="C70" s="52" t="s">
        <v>209</v>
      </c>
      <c r="D70" s="12"/>
      <c r="E70" s="13"/>
      <c r="F70" s="92"/>
      <c r="G70" s="93"/>
    </row>
    <row r="71" spans="2:7">
      <c r="B71" s="12"/>
      <c r="C71" s="52" t="s">
        <v>183</v>
      </c>
      <c r="D71" s="12"/>
      <c r="E71" s="13"/>
      <c r="F71" s="92"/>
      <c r="G71" s="93"/>
    </row>
    <row r="72" spans="2:7">
      <c r="B72" s="12">
        <v>6</v>
      </c>
      <c r="C72" s="51" t="s">
        <v>210</v>
      </c>
      <c r="D72" s="12">
        <v>2</v>
      </c>
      <c r="E72" s="13" t="s">
        <v>468</v>
      </c>
      <c r="F72" s="92">
        <v>1750</v>
      </c>
      <c r="G72" s="93">
        <f>F72*D72</f>
        <v>3500</v>
      </c>
    </row>
    <row r="73" spans="2:7">
      <c r="B73" s="12"/>
      <c r="C73" s="52" t="s">
        <v>206</v>
      </c>
      <c r="D73" s="12"/>
      <c r="E73" s="13"/>
      <c r="F73" s="92"/>
      <c r="G73" s="93"/>
    </row>
    <row r="74" spans="2:7">
      <c r="B74" s="12"/>
      <c r="C74" s="52" t="s">
        <v>207</v>
      </c>
      <c r="D74" s="12"/>
      <c r="E74" s="13"/>
      <c r="F74" s="92"/>
      <c r="G74" s="93"/>
    </row>
    <row r="75" spans="2:7">
      <c r="B75" s="12"/>
      <c r="C75" s="52" t="s">
        <v>60</v>
      </c>
      <c r="D75" s="12"/>
      <c r="E75" s="13"/>
      <c r="F75" s="92"/>
      <c r="G75" s="93"/>
    </row>
    <row r="76" spans="2:7">
      <c r="B76" s="12"/>
      <c r="C76" s="52" t="s">
        <v>61</v>
      </c>
      <c r="D76" s="12"/>
      <c r="E76" s="13"/>
      <c r="F76" s="92"/>
      <c r="G76" s="93"/>
    </row>
    <row r="77" spans="2:7">
      <c r="B77" s="12"/>
      <c r="C77" s="52" t="s">
        <v>208</v>
      </c>
      <c r="D77" s="12"/>
      <c r="E77" s="13"/>
      <c r="F77" s="92"/>
      <c r="G77" s="93"/>
    </row>
    <row r="78" spans="2:7">
      <c r="B78" s="12"/>
      <c r="C78" s="52" t="s">
        <v>62</v>
      </c>
      <c r="D78" s="12"/>
      <c r="E78" s="13"/>
      <c r="F78" s="92"/>
      <c r="G78" s="93"/>
    </row>
    <row r="79" spans="2:7">
      <c r="B79" s="12"/>
      <c r="C79" s="52" t="s">
        <v>209</v>
      </c>
      <c r="D79" s="12"/>
      <c r="E79" s="13"/>
      <c r="F79" s="92"/>
      <c r="G79" s="93"/>
    </row>
    <row r="80" spans="2:7">
      <c r="B80" s="12"/>
      <c r="C80" s="52" t="s">
        <v>183</v>
      </c>
      <c r="D80" s="12"/>
      <c r="E80" s="13"/>
      <c r="F80" s="92"/>
      <c r="G80" s="93"/>
    </row>
    <row r="81" spans="2:7">
      <c r="B81" s="12">
        <v>7</v>
      </c>
      <c r="C81" s="51" t="s">
        <v>211</v>
      </c>
      <c r="D81" s="12">
        <v>272</v>
      </c>
      <c r="E81" s="13" t="s">
        <v>469</v>
      </c>
      <c r="F81" s="92">
        <v>270</v>
      </c>
      <c r="G81" s="93">
        <f>F81*D81</f>
        <v>73440</v>
      </c>
    </row>
    <row r="82" spans="2:7">
      <c r="B82" s="12"/>
      <c r="C82" s="52" t="s">
        <v>100</v>
      </c>
      <c r="D82" s="12"/>
      <c r="E82" s="13"/>
      <c r="F82" s="92"/>
      <c r="G82" s="93"/>
    </row>
    <row r="83" spans="2:7">
      <c r="B83" s="12"/>
      <c r="C83" s="52" t="s">
        <v>212</v>
      </c>
      <c r="D83" s="12"/>
      <c r="E83" s="13"/>
      <c r="F83" s="92"/>
      <c r="G83" s="93"/>
    </row>
    <row r="84" spans="2:7">
      <c r="B84" s="12"/>
      <c r="C84" s="52" t="s">
        <v>213</v>
      </c>
      <c r="D84" s="12"/>
      <c r="E84" s="13"/>
      <c r="F84" s="92"/>
      <c r="G84" s="93"/>
    </row>
    <row r="85" spans="2:7">
      <c r="B85" s="12"/>
      <c r="C85" s="52" t="s">
        <v>214</v>
      </c>
      <c r="D85" s="12"/>
      <c r="E85" s="13"/>
      <c r="F85" s="92"/>
      <c r="G85" s="93"/>
    </row>
    <row r="86" spans="2:7">
      <c r="B86" s="12"/>
      <c r="C86" s="52" t="s">
        <v>215</v>
      </c>
      <c r="D86" s="12"/>
      <c r="E86" s="13"/>
      <c r="F86" s="92"/>
      <c r="G86" s="93"/>
    </row>
    <row r="87" spans="2:7">
      <c r="B87" s="12"/>
      <c r="C87" s="52" t="s">
        <v>108</v>
      </c>
      <c r="D87" s="12"/>
      <c r="E87" s="13"/>
      <c r="F87" s="92"/>
      <c r="G87" s="93"/>
    </row>
    <row r="88" spans="2:7">
      <c r="B88" s="12">
        <v>8</v>
      </c>
      <c r="C88" s="51" t="s">
        <v>499</v>
      </c>
      <c r="D88" s="12">
        <v>10</v>
      </c>
      <c r="E88" s="13" t="s">
        <v>469</v>
      </c>
      <c r="F88" s="92">
        <v>300</v>
      </c>
      <c r="G88" s="93">
        <f>F88*D88</f>
        <v>3000</v>
      </c>
    </row>
    <row r="89" spans="2:7">
      <c r="B89" s="12"/>
      <c r="C89" s="52" t="s">
        <v>100</v>
      </c>
      <c r="D89" s="12"/>
      <c r="E89" s="13"/>
      <c r="F89" s="92"/>
      <c r="G89" s="93"/>
    </row>
    <row r="90" spans="2:7">
      <c r="B90" s="12"/>
      <c r="C90" s="52" t="s">
        <v>212</v>
      </c>
      <c r="D90" s="12"/>
      <c r="E90" s="13"/>
      <c r="F90" s="92"/>
      <c r="G90" s="93"/>
    </row>
    <row r="91" spans="2:7">
      <c r="B91" s="12"/>
      <c r="C91" s="52" t="s">
        <v>213</v>
      </c>
      <c r="D91" s="12"/>
      <c r="E91" s="13"/>
      <c r="F91" s="92"/>
      <c r="G91" s="93"/>
    </row>
    <row r="92" spans="2:7">
      <c r="B92" s="12"/>
      <c r="C92" s="52" t="s">
        <v>214</v>
      </c>
      <c r="D92" s="12"/>
      <c r="E92" s="13"/>
      <c r="F92" s="92"/>
      <c r="G92" s="93"/>
    </row>
    <row r="93" spans="2:7">
      <c r="B93" s="12"/>
      <c r="C93" s="52" t="s">
        <v>215</v>
      </c>
      <c r="D93" s="12"/>
      <c r="E93" s="13"/>
      <c r="F93" s="92"/>
      <c r="G93" s="93"/>
    </row>
    <row r="94" spans="2:7">
      <c r="B94" s="12"/>
      <c r="C94" s="52" t="s">
        <v>108</v>
      </c>
      <c r="D94" s="12"/>
      <c r="E94" s="13"/>
      <c r="F94" s="92"/>
      <c r="G94" s="93"/>
    </row>
    <row r="95" spans="2:7">
      <c r="B95" s="12">
        <v>9</v>
      </c>
      <c r="C95" s="51" t="s">
        <v>500</v>
      </c>
      <c r="D95" s="12">
        <v>36</v>
      </c>
      <c r="E95" s="13" t="s">
        <v>469</v>
      </c>
      <c r="F95" s="92">
        <v>340</v>
      </c>
      <c r="G95" s="93">
        <f>F95*D95</f>
        <v>12240</v>
      </c>
    </row>
    <row r="96" spans="2:7">
      <c r="B96" s="12"/>
      <c r="C96" s="52" t="s">
        <v>100</v>
      </c>
      <c r="D96" s="12"/>
      <c r="E96" s="13"/>
      <c r="F96" s="92"/>
      <c r="G96" s="93"/>
    </row>
    <row r="97" spans="2:7">
      <c r="B97" s="12"/>
      <c r="C97" s="52" t="s">
        <v>212</v>
      </c>
      <c r="D97" s="12"/>
      <c r="E97" s="13"/>
      <c r="F97" s="92"/>
      <c r="G97" s="93"/>
    </row>
    <row r="98" spans="2:7">
      <c r="B98" s="12"/>
      <c r="C98" s="52" t="s">
        <v>213</v>
      </c>
      <c r="D98" s="12"/>
      <c r="E98" s="13"/>
      <c r="F98" s="92"/>
      <c r="G98" s="93"/>
    </row>
    <row r="99" spans="2:7">
      <c r="B99" s="12"/>
      <c r="C99" s="52" t="s">
        <v>214</v>
      </c>
      <c r="D99" s="12"/>
      <c r="E99" s="13"/>
      <c r="F99" s="92"/>
      <c r="G99" s="93"/>
    </row>
    <row r="100" spans="2:7">
      <c r="B100" s="12"/>
      <c r="C100" s="52" t="s">
        <v>215</v>
      </c>
      <c r="D100" s="12"/>
      <c r="E100" s="13"/>
      <c r="F100" s="92"/>
      <c r="G100" s="93"/>
    </row>
    <row r="101" spans="2:7">
      <c r="B101" s="12"/>
      <c r="C101" s="52" t="s">
        <v>108</v>
      </c>
      <c r="D101" s="12"/>
      <c r="E101" s="13"/>
      <c r="F101" s="92"/>
      <c r="G101" s="93"/>
    </row>
    <row r="102" spans="2:7">
      <c r="B102" s="12">
        <v>10</v>
      </c>
      <c r="C102" s="51" t="s">
        <v>501</v>
      </c>
      <c r="D102" s="12">
        <v>320</v>
      </c>
      <c r="E102" s="13" t="s">
        <v>469</v>
      </c>
      <c r="F102" s="92">
        <v>380</v>
      </c>
      <c r="G102" s="93">
        <f>F102*D102</f>
        <v>121600</v>
      </c>
    </row>
    <row r="103" spans="2:7">
      <c r="B103" s="12"/>
      <c r="C103" s="52" t="s">
        <v>100</v>
      </c>
      <c r="D103" s="12"/>
      <c r="E103" s="13"/>
      <c r="F103" s="92"/>
      <c r="G103" s="93"/>
    </row>
    <row r="104" spans="2:7">
      <c r="B104" s="12"/>
      <c r="C104" s="52" t="s">
        <v>212</v>
      </c>
      <c r="D104" s="12"/>
      <c r="E104" s="13"/>
      <c r="F104" s="92"/>
      <c r="G104" s="93"/>
    </row>
    <row r="105" spans="2:7">
      <c r="B105" s="12"/>
      <c r="C105" s="52" t="s">
        <v>213</v>
      </c>
      <c r="D105" s="12"/>
      <c r="E105" s="13"/>
      <c r="F105" s="92"/>
      <c r="G105" s="93"/>
    </row>
    <row r="106" spans="2:7">
      <c r="B106" s="12"/>
      <c r="C106" s="52" t="s">
        <v>214</v>
      </c>
      <c r="D106" s="12"/>
      <c r="E106" s="13"/>
      <c r="F106" s="92"/>
      <c r="G106" s="93"/>
    </row>
    <row r="107" spans="2:7">
      <c r="B107" s="12"/>
      <c r="C107" s="52" t="s">
        <v>215</v>
      </c>
      <c r="D107" s="12"/>
      <c r="E107" s="13"/>
      <c r="F107" s="92"/>
      <c r="G107" s="93"/>
    </row>
    <row r="108" spans="2:7" ht="16.149999999999999" customHeight="1">
      <c r="B108" s="12"/>
      <c r="C108" s="52" t="s">
        <v>108</v>
      </c>
      <c r="D108" s="12"/>
      <c r="E108" s="13"/>
      <c r="F108" s="92"/>
      <c r="G108" s="93"/>
    </row>
    <row r="109" spans="2:7">
      <c r="B109" s="12">
        <v>11</v>
      </c>
      <c r="C109" s="51" t="s">
        <v>502</v>
      </c>
      <c r="D109" s="12">
        <v>522</v>
      </c>
      <c r="E109" s="13" t="s">
        <v>469</v>
      </c>
      <c r="F109" s="92">
        <v>420</v>
      </c>
      <c r="G109" s="93">
        <f>F109*D109</f>
        <v>219240</v>
      </c>
    </row>
    <row r="110" spans="2:7">
      <c r="B110" s="12"/>
      <c r="C110" s="52" t="s">
        <v>100</v>
      </c>
      <c r="D110" s="12"/>
      <c r="E110" s="13"/>
      <c r="F110" s="92"/>
      <c r="G110" s="93"/>
    </row>
    <row r="111" spans="2:7">
      <c r="B111" s="12"/>
      <c r="C111" s="52" t="s">
        <v>212</v>
      </c>
      <c r="D111" s="12"/>
      <c r="E111" s="13"/>
      <c r="F111" s="92"/>
      <c r="G111" s="93"/>
    </row>
    <row r="112" spans="2:7">
      <c r="B112" s="12"/>
      <c r="C112" s="52" t="s">
        <v>213</v>
      </c>
      <c r="D112" s="12"/>
      <c r="E112" s="13"/>
      <c r="F112" s="92"/>
      <c r="G112" s="93"/>
    </row>
    <row r="113" spans="2:7">
      <c r="B113" s="12"/>
      <c r="C113" s="52" t="s">
        <v>214</v>
      </c>
      <c r="D113" s="12"/>
      <c r="E113" s="13"/>
      <c r="F113" s="92"/>
      <c r="G113" s="93"/>
    </row>
    <row r="114" spans="2:7">
      <c r="B114" s="12"/>
      <c r="C114" s="52" t="s">
        <v>215</v>
      </c>
      <c r="D114" s="12"/>
      <c r="E114" s="13"/>
      <c r="F114" s="92"/>
      <c r="G114" s="93"/>
    </row>
    <row r="115" spans="2:7">
      <c r="B115" s="12"/>
      <c r="C115" s="52" t="s">
        <v>108</v>
      </c>
      <c r="D115" s="12"/>
      <c r="E115" s="13"/>
      <c r="F115" s="92"/>
      <c r="G115" s="93"/>
    </row>
    <row r="116" spans="2:7">
      <c r="B116" s="12">
        <v>12</v>
      </c>
      <c r="C116" s="51" t="s">
        <v>503</v>
      </c>
      <c r="D116" s="12">
        <v>30</v>
      </c>
      <c r="E116" s="13" t="s">
        <v>469</v>
      </c>
      <c r="F116" s="92">
        <v>480</v>
      </c>
      <c r="G116" s="93">
        <f>F116*D116</f>
        <v>14400</v>
      </c>
    </row>
    <row r="117" spans="2:7">
      <c r="B117" s="12"/>
      <c r="C117" s="52" t="s">
        <v>100</v>
      </c>
      <c r="D117" s="12"/>
      <c r="E117" s="13"/>
      <c r="F117" s="92"/>
      <c r="G117" s="93"/>
    </row>
    <row r="118" spans="2:7">
      <c r="B118" s="12"/>
      <c r="C118" s="52" t="s">
        <v>212</v>
      </c>
      <c r="D118" s="12"/>
      <c r="E118" s="13"/>
      <c r="F118" s="92"/>
      <c r="G118" s="93"/>
    </row>
    <row r="119" spans="2:7">
      <c r="B119" s="12"/>
      <c r="C119" s="52" t="s">
        <v>213</v>
      </c>
      <c r="D119" s="12"/>
      <c r="E119" s="13"/>
      <c r="F119" s="92"/>
      <c r="G119" s="93"/>
    </row>
    <row r="120" spans="2:7">
      <c r="B120" s="12"/>
      <c r="C120" s="52" t="s">
        <v>214</v>
      </c>
      <c r="D120" s="12"/>
      <c r="E120" s="13"/>
      <c r="F120" s="92"/>
      <c r="G120" s="93"/>
    </row>
    <row r="121" spans="2:7">
      <c r="B121" s="12"/>
      <c r="C121" s="52" t="s">
        <v>215</v>
      </c>
      <c r="D121" s="12"/>
      <c r="E121" s="13"/>
      <c r="F121" s="92"/>
      <c r="G121" s="93"/>
    </row>
    <row r="122" spans="2:7">
      <c r="B122" s="12"/>
      <c r="C122" s="52" t="s">
        <v>108</v>
      </c>
      <c r="D122" s="12"/>
      <c r="E122" s="13"/>
      <c r="F122" s="92"/>
      <c r="G122" s="93"/>
    </row>
    <row r="123" spans="2:7">
      <c r="B123" s="12">
        <v>13</v>
      </c>
      <c r="C123" s="51" t="s">
        <v>504</v>
      </c>
      <c r="D123" s="12">
        <v>57</v>
      </c>
      <c r="E123" s="13" t="s">
        <v>468</v>
      </c>
      <c r="F123" s="92"/>
      <c r="G123" s="93">
        <f>F123*D123</f>
        <v>0</v>
      </c>
    </row>
    <row r="124" spans="2:7">
      <c r="B124" s="12"/>
      <c r="C124" s="52" t="s">
        <v>216</v>
      </c>
      <c r="D124" s="12"/>
      <c r="E124" s="13"/>
      <c r="F124" s="92"/>
      <c r="G124" s="93"/>
    </row>
    <row r="125" spans="2:7">
      <c r="B125" s="12"/>
      <c r="C125" s="52" t="s">
        <v>88</v>
      </c>
      <c r="D125" s="12"/>
      <c r="E125" s="13"/>
      <c r="F125" s="92"/>
      <c r="G125" s="93"/>
    </row>
    <row r="126" spans="2:7">
      <c r="B126" s="12"/>
      <c r="C126" s="52" t="s">
        <v>217</v>
      </c>
      <c r="D126" s="12"/>
      <c r="E126" s="13"/>
      <c r="F126" s="92"/>
      <c r="G126" s="93"/>
    </row>
    <row r="127" spans="2:7">
      <c r="B127" s="12"/>
      <c r="C127" s="52" t="s">
        <v>90</v>
      </c>
      <c r="D127" s="12"/>
      <c r="E127" s="13"/>
      <c r="F127" s="92"/>
      <c r="G127" s="93"/>
    </row>
    <row r="128" spans="2:7">
      <c r="B128" s="12"/>
      <c r="C128" s="52" t="s">
        <v>183</v>
      </c>
      <c r="D128" s="12"/>
      <c r="E128" s="13"/>
      <c r="F128" s="92"/>
      <c r="G128" s="93"/>
    </row>
    <row r="129" spans="2:7">
      <c r="B129" s="12"/>
      <c r="C129" s="52" t="s">
        <v>218</v>
      </c>
      <c r="D129" s="12"/>
      <c r="E129" s="13"/>
      <c r="F129" s="92"/>
      <c r="G129" s="93"/>
    </row>
    <row r="130" spans="2:7">
      <c r="B130" s="12">
        <v>14</v>
      </c>
      <c r="C130" s="51" t="s">
        <v>505</v>
      </c>
      <c r="D130" s="12">
        <v>6</v>
      </c>
      <c r="E130" s="13" t="s">
        <v>468</v>
      </c>
      <c r="F130" s="92"/>
      <c r="G130" s="93">
        <f>F130*D130</f>
        <v>0</v>
      </c>
    </row>
    <row r="131" spans="2:7" ht="15" customHeight="1">
      <c r="B131" s="12"/>
      <c r="C131" s="52" t="s">
        <v>216</v>
      </c>
      <c r="D131" s="12"/>
      <c r="E131" s="13"/>
      <c r="F131" s="92"/>
      <c r="G131" s="93"/>
    </row>
    <row r="132" spans="2:7">
      <c r="B132" s="12"/>
      <c r="C132" s="52" t="s">
        <v>88</v>
      </c>
      <c r="D132" s="12"/>
      <c r="E132" s="13"/>
      <c r="F132" s="92"/>
      <c r="G132" s="93"/>
    </row>
    <row r="133" spans="2:7">
      <c r="B133" s="12"/>
      <c r="C133" s="52" t="s">
        <v>217</v>
      </c>
      <c r="D133" s="12"/>
      <c r="E133" s="13"/>
      <c r="F133" s="92"/>
      <c r="G133" s="93"/>
    </row>
    <row r="134" spans="2:7">
      <c r="B134" s="12"/>
      <c r="C134" s="52" t="s">
        <v>90</v>
      </c>
      <c r="D134" s="12"/>
      <c r="E134" s="13"/>
      <c r="F134" s="92"/>
      <c r="G134" s="93"/>
    </row>
    <row r="135" spans="2:7">
      <c r="B135" s="12"/>
      <c r="C135" s="52" t="s">
        <v>183</v>
      </c>
      <c r="D135" s="12"/>
      <c r="E135" s="13"/>
      <c r="F135" s="92"/>
      <c r="G135" s="93"/>
    </row>
    <row r="136" spans="2:7">
      <c r="B136" s="12"/>
      <c r="C136" s="52" t="s">
        <v>218</v>
      </c>
      <c r="D136" s="12"/>
      <c r="E136" s="13"/>
      <c r="F136" s="92"/>
      <c r="G136" s="93"/>
    </row>
    <row r="137" spans="2:7">
      <c r="B137" s="12">
        <v>15</v>
      </c>
      <c r="C137" s="51" t="s">
        <v>506</v>
      </c>
      <c r="D137" s="12">
        <v>76</v>
      </c>
      <c r="E137" s="13" t="s">
        <v>468</v>
      </c>
      <c r="F137" s="92"/>
      <c r="G137" s="93">
        <f>F137*D137</f>
        <v>0</v>
      </c>
    </row>
    <row r="138" spans="2:7">
      <c r="B138" s="12"/>
      <c r="C138" s="52" t="s">
        <v>216</v>
      </c>
      <c r="D138" s="12"/>
      <c r="E138" s="13"/>
      <c r="F138" s="92"/>
      <c r="G138" s="93"/>
    </row>
    <row r="139" spans="2:7">
      <c r="B139" s="12"/>
      <c r="C139" s="52" t="s">
        <v>219</v>
      </c>
      <c r="D139" s="12"/>
      <c r="E139" s="13"/>
      <c r="F139" s="92"/>
      <c r="G139" s="93"/>
    </row>
    <row r="140" spans="2:7">
      <c r="B140" s="12"/>
      <c r="C140" s="52" t="s">
        <v>217</v>
      </c>
      <c r="D140" s="12"/>
      <c r="E140" s="13"/>
      <c r="F140" s="92"/>
      <c r="G140" s="93"/>
    </row>
    <row r="141" spans="2:7">
      <c r="B141" s="12"/>
      <c r="C141" s="52" t="s">
        <v>90</v>
      </c>
      <c r="D141" s="12"/>
      <c r="E141" s="13"/>
      <c r="F141" s="92"/>
      <c r="G141" s="93"/>
    </row>
    <row r="142" spans="2:7">
      <c r="B142" s="12"/>
      <c r="C142" s="52" t="s">
        <v>183</v>
      </c>
      <c r="D142" s="12"/>
      <c r="E142" s="13"/>
      <c r="F142" s="92"/>
      <c r="G142" s="93"/>
    </row>
    <row r="143" spans="2:7">
      <c r="B143" s="12"/>
      <c r="C143" s="52" t="s">
        <v>218</v>
      </c>
      <c r="D143" s="12"/>
      <c r="E143" s="13"/>
      <c r="F143" s="92"/>
      <c r="G143" s="93"/>
    </row>
    <row r="144" spans="2:7">
      <c r="B144" s="12">
        <v>16</v>
      </c>
      <c r="C144" s="51" t="s">
        <v>507</v>
      </c>
      <c r="D144" s="12">
        <v>8</v>
      </c>
      <c r="E144" s="13" t="s">
        <v>468</v>
      </c>
      <c r="F144" s="92"/>
      <c r="G144" s="93">
        <f>F144*D144</f>
        <v>0</v>
      </c>
    </row>
    <row r="145" spans="2:7">
      <c r="B145" s="12"/>
      <c r="C145" s="52" t="s">
        <v>216</v>
      </c>
      <c r="D145" s="12"/>
      <c r="E145" s="13"/>
      <c r="F145" s="92"/>
      <c r="G145" s="93"/>
    </row>
    <row r="146" spans="2:7">
      <c r="B146" s="12"/>
      <c r="C146" s="52" t="s">
        <v>219</v>
      </c>
      <c r="D146" s="12"/>
      <c r="E146" s="13"/>
      <c r="F146" s="92"/>
      <c r="G146" s="93"/>
    </row>
    <row r="147" spans="2:7">
      <c r="B147" s="12"/>
      <c r="C147" s="52" t="s">
        <v>217</v>
      </c>
      <c r="D147" s="12"/>
      <c r="E147" s="13"/>
      <c r="F147" s="92"/>
      <c r="G147" s="93"/>
    </row>
    <row r="148" spans="2:7">
      <c r="B148" s="12"/>
      <c r="C148" s="52" t="s">
        <v>90</v>
      </c>
      <c r="D148" s="12"/>
      <c r="E148" s="13"/>
      <c r="F148" s="92"/>
      <c r="G148" s="93"/>
    </row>
    <row r="149" spans="2:7">
      <c r="B149" s="12"/>
      <c r="C149" s="52" t="s">
        <v>183</v>
      </c>
      <c r="D149" s="12"/>
      <c r="E149" s="13"/>
      <c r="F149" s="92"/>
      <c r="G149" s="93"/>
    </row>
    <row r="150" spans="2:7">
      <c r="B150" s="12"/>
      <c r="C150" s="52" t="s">
        <v>218</v>
      </c>
      <c r="D150" s="12"/>
      <c r="E150" s="13"/>
      <c r="F150" s="92"/>
      <c r="G150" s="93"/>
    </row>
    <row r="151" spans="2:7">
      <c r="B151" s="12">
        <v>17</v>
      </c>
      <c r="C151" s="51" t="s">
        <v>508</v>
      </c>
      <c r="D151" s="12">
        <v>63</v>
      </c>
      <c r="E151" s="13" t="s">
        <v>468</v>
      </c>
      <c r="F151" s="92">
        <v>400</v>
      </c>
      <c r="G151" s="93">
        <f>F151*D151</f>
        <v>25200</v>
      </c>
    </row>
    <row r="152" spans="2:7">
      <c r="B152" s="12"/>
      <c r="C152" s="52" t="s">
        <v>220</v>
      </c>
      <c r="D152" s="12"/>
      <c r="E152" s="13"/>
      <c r="F152" s="92"/>
      <c r="G152" s="93"/>
    </row>
    <row r="153" spans="2:7">
      <c r="B153" s="12"/>
      <c r="C153" s="52" t="s">
        <v>221</v>
      </c>
      <c r="D153" s="12"/>
      <c r="E153" s="13"/>
      <c r="F153" s="92"/>
      <c r="G153" s="93"/>
    </row>
    <row r="154" spans="2:7">
      <c r="B154" s="12"/>
      <c r="C154" s="52" t="s">
        <v>222</v>
      </c>
      <c r="D154" s="12"/>
      <c r="E154" s="13"/>
      <c r="F154" s="92"/>
      <c r="G154" s="93"/>
    </row>
    <row r="155" spans="2:7">
      <c r="B155" s="12"/>
      <c r="C155" s="52" t="s">
        <v>223</v>
      </c>
      <c r="D155" s="12"/>
      <c r="E155" s="13"/>
      <c r="F155" s="92"/>
      <c r="G155" s="93"/>
    </row>
    <row r="156" spans="2:7">
      <c r="B156" s="12"/>
      <c r="C156" s="52" t="s">
        <v>224</v>
      </c>
      <c r="D156" s="12"/>
      <c r="E156" s="13"/>
      <c r="F156" s="92"/>
      <c r="G156" s="93"/>
    </row>
    <row r="157" spans="2:7">
      <c r="B157" s="12"/>
      <c r="C157" s="52" t="s">
        <v>225</v>
      </c>
      <c r="D157" s="12"/>
      <c r="E157" s="13"/>
      <c r="F157" s="92"/>
      <c r="G157" s="93"/>
    </row>
    <row r="158" spans="2:7">
      <c r="B158" s="12"/>
      <c r="C158" s="52" t="s">
        <v>226</v>
      </c>
      <c r="D158" s="12"/>
      <c r="E158" s="13"/>
      <c r="F158" s="92"/>
      <c r="G158" s="93"/>
    </row>
    <row r="159" spans="2:7">
      <c r="B159" s="12"/>
      <c r="C159" s="52" t="s">
        <v>227</v>
      </c>
      <c r="D159" s="12"/>
      <c r="E159" s="13"/>
      <c r="F159" s="92"/>
      <c r="G159" s="93"/>
    </row>
    <row r="160" spans="2:7">
      <c r="B160" s="12">
        <v>18</v>
      </c>
      <c r="C160" s="51" t="s">
        <v>509</v>
      </c>
      <c r="D160" s="12">
        <v>13</v>
      </c>
      <c r="E160" s="13" t="s">
        <v>468</v>
      </c>
      <c r="F160" s="92">
        <v>3500</v>
      </c>
      <c r="G160" s="93">
        <f>F160*D160</f>
        <v>45500</v>
      </c>
    </row>
    <row r="161" spans="2:7">
      <c r="B161" s="12"/>
      <c r="C161" s="52" t="s">
        <v>228</v>
      </c>
      <c r="D161" s="12"/>
      <c r="E161" s="13"/>
      <c r="F161" s="92"/>
      <c r="G161" s="93"/>
    </row>
    <row r="162" spans="2:7">
      <c r="B162" s="12"/>
      <c r="C162" s="52" t="s">
        <v>111</v>
      </c>
      <c r="D162" s="12"/>
      <c r="E162" s="13"/>
      <c r="F162" s="92"/>
      <c r="G162" s="93"/>
    </row>
    <row r="163" spans="2:7">
      <c r="B163" s="12"/>
      <c r="C163" s="52" t="s">
        <v>229</v>
      </c>
      <c r="D163" s="12"/>
      <c r="E163" s="13"/>
      <c r="F163" s="92"/>
      <c r="G163" s="93"/>
    </row>
    <row r="164" spans="2:7">
      <c r="B164" s="12"/>
      <c r="C164" s="52" t="s">
        <v>100</v>
      </c>
      <c r="D164" s="12"/>
      <c r="E164" s="13"/>
      <c r="F164" s="92"/>
      <c r="G164" s="93"/>
    </row>
    <row r="165" spans="2:7">
      <c r="B165" s="12"/>
      <c r="C165" s="52" t="s">
        <v>115</v>
      </c>
      <c r="D165" s="12"/>
      <c r="E165" s="13"/>
      <c r="F165" s="92"/>
      <c r="G165" s="93"/>
    </row>
    <row r="166" spans="2:7">
      <c r="B166" s="12"/>
      <c r="C166" s="52" t="s">
        <v>230</v>
      </c>
      <c r="D166" s="12"/>
      <c r="E166" s="13"/>
      <c r="F166" s="92"/>
      <c r="G166" s="93"/>
    </row>
    <row r="167" spans="2:7">
      <c r="B167" s="12"/>
      <c r="C167" s="52" t="s">
        <v>231</v>
      </c>
      <c r="D167" s="12"/>
      <c r="E167" s="13"/>
      <c r="F167" s="92"/>
      <c r="G167" s="93"/>
    </row>
    <row r="168" spans="2:7">
      <c r="B168" s="12">
        <v>19</v>
      </c>
      <c r="C168" s="51" t="s">
        <v>573</v>
      </c>
      <c r="D168" s="12">
        <v>1</v>
      </c>
      <c r="E168" s="13" t="s">
        <v>468</v>
      </c>
      <c r="F168" s="92">
        <v>4000</v>
      </c>
      <c r="G168" s="93">
        <f>F168*D168</f>
        <v>4000</v>
      </c>
    </row>
    <row r="169" spans="2:7">
      <c r="B169" s="12"/>
      <c r="C169" s="52" t="s">
        <v>232</v>
      </c>
      <c r="D169" s="12"/>
      <c r="E169" s="13"/>
      <c r="F169" s="92"/>
      <c r="G169" s="93"/>
    </row>
    <row r="170" spans="2:7">
      <c r="B170" s="12"/>
      <c r="C170" s="52" t="s">
        <v>111</v>
      </c>
      <c r="D170" s="12"/>
      <c r="E170" s="13"/>
      <c r="F170" s="92"/>
      <c r="G170" s="93"/>
    </row>
    <row r="171" spans="2:7">
      <c r="B171" s="12"/>
      <c r="C171" s="52" t="s">
        <v>229</v>
      </c>
      <c r="D171" s="12"/>
      <c r="E171" s="13"/>
      <c r="F171" s="92"/>
      <c r="G171" s="93"/>
    </row>
    <row r="172" spans="2:7">
      <c r="B172" s="12"/>
      <c r="C172" s="52" t="s">
        <v>100</v>
      </c>
      <c r="D172" s="12"/>
      <c r="E172" s="13"/>
      <c r="F172" s="92"/>
      <c r="G172" s="93"/>
    </row>
    <row r="173" spans="2:7">
      <c r="B173" s="12"/>
      <c r="C173" s="52" t="s">
        <v>115</v>
      </c>
      <c r="D173" s="12"/>
      <c r="E173" s="13"/>
      <c r="F173" s="92"/>
      <c r="G173" s="93"/>
    </row>
    <row r="174" spans="2:7">
      <c r="B174" s="12"/>
      <c r="C174" s="52" t="s">
        <v>230</v>
      </c>
      <c r="D174" s="12"/>
      <c r="E174" s="13"/>
      <c r="F174" s="92"/>
      <c r="G174" s="93"/>
    </row>
    <row r="175" spans="2:7" ht="15.75" thickBot="1">
      <c r="B175" s="28"/>
      <c r="C175" s="60" t="s">
        <v>231</v>
      </c>
      <c r="D175" s="28"/>
      <c r="E175" s="24"/>
      <c r="F175" s="96"/>
      <c r="G175" s="97"/>
    </row>
    <row r="176" spans="2:7" ht="39" customHeight="1">
      <c r="D176" s="174" t="s">
        <v>764</v>
      </c>
      <c r="E176" s="174"/>
      <c r="F176" s="174"/>
      <c r="G176" s="110">
        <f>SUM(G9:G175)</f>
        <v>751120</v>
      </c>
    </row>
  </sheetData>
  <mergeCells count="2">
    <mergeCell ref="B2:G6"/>
    <mergeCell ref="D176:F176"/>
  </mergeCells>
  <printOptions horizontalCentered="1" verticalCentered="1"/>
  <pageMargins left="0" right="0" top="0" bottom="1.1811023622047245" header="0.31496062992125984" footer="0.31496062992125984"/>
  <pageSetup paperSize="9" fitToHeight="0" orientation="landscape" r:id="rId1"/>
  <headerFooter>
    <oddFooter>&amp;CMerkez Ofis : Üçevler Mh. Esra Sk. No:6/21 Polat Plaza
Nilüfer / BURSA
Fabrika : Minareliçavuş Mah. 106(290)Sok. No:44 Kapı No:1
Nilüfer / BURSA</oddFooter>
  </headerFooter>
  <rowBreaks count="5" manualBreakCount="5">
    <brk id="32" max="7" man="1"/>
    <brk id="62" max="7" man="1"/>
    <brk id="94" max="7" man="1"/>
    <brk id="122" max="7" man="1"/>
    <brk id="150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78"/>
  <sheetViews>
    <sheetView view="pageBreakPreview" topLeftCell="A57" zoomScaleNormal="100" zoomScaleSheetLayoutView="100" workbookViewId="0">
      <selection activeCell="F78" sqref="F78"/>
    </sheetView>
  </sheetViews>
  <sheetFormatPr defaultRowHeight="15" outlineLevelCol="1"/>
  <cols>
    <col min="1" max="1" width="4.42578125" customWidth="1"/>
    <col min="2" max="2" width="3" bestFit="1" customWidth="1"/>
    <col min="3" max="3" width="64.85546875" customWidth="1"/>
    <col min="4" max="4" width="5.7109375" bestFit="1" customWidth="1"/>
    <col min="5" max="5" width="5.140625" bestFit="1" customWidth="1"/>
    <col min="6" max="6" width="15.28515625" customWidth="1" outlineLevel="1"/>
    <col min="7" max="7" width="29.140625" customWidth="1" outlineLevel="1"/>
    <col min="8" max="9" width="2.28515625" customWidth="1"/>
  </cols>
  <sheetData>
    <row r="1" spans="2:7" ht="15.75" thickBot="1"/>
    <row r="2" spans="2:7" s="41" customFormat="1" ht="12.4" customHeight="1">
      <c r="B2" s="160" t="s">
        <v>747</v>
      </c>
      <c r="C2" s="161"/>
      <c r="D2" s="161"/>
      <c r="E2" s="161"/>
      <c r="F2" s="161"/>
      <c r="G2" s="162"/>
    </row>
    <row r="3" spans="2:7" s="41" customFormat="1" ht="12.4" customHeight="1">
      <c r="B3" s="163"/>
      <c r="C3" s="164"/>
      <c r="D3" s="164"/>
      <c r="E3" s="164"/>
      <c r="F3" s="164"/>
      <c r="G3" s="165"/>
    </row>
    <row r="4" spans="2:7" s="41" customFormat="1" ht="12.4" customHeight="1">
      <c r="B4" s="163"/>
      <c r="C4" s="164"/>
      <c r="D4" s="164"/>
      <c r="E4" s="164"/>
      <c r="F4" s="164"/>
      <c r="G4" s="165"/>
    </row>
    <row r="5" spans="2:7" s="41" customFormat="1" ht="12.4" customHeight="1">
      <c r="B5" s="163"/>
      <c r="C5" s="164"/>
      <c r="D5" s="164"/>
      <c r="E5" s="164"/>
      <c r="F5" s="164"/>
      <c r="G5" s="165"/>
    </row>
    <row r="6" spans="2:7" s="41" customFormat="1" ht="13.15" customHeight="1" thickBot="1">
      <c r="B6" s="166"/>
      <c r="C6" s="167"/>
      <c r="D6" s="167"/>
      <c r="E6" s="167"/>
      <c r="F6" s="167"/>
      <c r="G6" s="168"/>
    </row>
    <row r="7" spans="2:7" ht="24.75" thickBot="1">
      <c r="B7" s="1" t="s">
        <v>0</v>
      </c>
      <c r="C7" s="19" t="s">
        <v>741</v>
      </c>
      <c r="D7" s="67" t="s">
        <v>2</v>
      </c>
      <c r="E7" s="3" t="s">
        <v>3</v>
      </c>
      <c r="F7" s="55" t="s">
        <v>5</v>
      </c>
      <c r="G7" s="56" t="s">
        <v>6</v>
      </c>
    </row>
    <row r="8" spans="2:7" ht="15.75" thickBot="1">
      <c r="B8" s="7"/>
      <c r="C8" s="20"/>
      <c r="D8" s="68"/>
      <c r="E8" s="9"/>
      <c r="F8" s="11"/>
      <c r="G8" s="59"/>
    </row>
    <row r="9" spans="2:7" ht="20.100000000000001" customHeight="1">
      <c r="B9" s="69"/>
      <c r="C9" s="70" t="s">
        <v>233</v>
      </c>
      <c r="D9" s="71"/>
      <c r="E9" s="72"/>
      <c r="F9" s="73"/>
      <c r="G9" s="74"/>
    </row>
    <row r="10" spans="2:7">
      <c r="B10" s="18">
        <v>1</v>
      </c>
      <c r="C10" s="21" t="s">
        <v>234</v>
      </c>
      <c r="D10" s="75">
        <v>11670</v>
      </c>
      <c r="E10" s="13" t="s">
        <v>235</v>
      </c>
      <c r="F10" s="92">
        <v>200</v>
      </c>
      <c r="G10" s="93">
        <f t="shared" ref="G10:G31" si="0">F10*D10</f>
        <v>2334000</v>
      </c>
    </row>
    <row r="11" spans="2:7">
      <c r="B11" s="18">
        <v>2</v>
      </c>
      <c r="C11" s="21" t="s">
        <v>236</v>
      </c>
      <c r="D11" s="75">
        <v>34</v>
      </c>
      <c r="E11" s="13" t="s">
        <v>235</v>
      </c>
      <c r="F11" s="92">
        <v>750</v>
      </c>
      <c r="G11" s="93">
        <f t="shared" si="0"/>
        <v>25500</v>
      </c>
    </row>
    <row r="12" spans="2:7">
      <c r="B12" s="18">
        <v>3</v>
      </c>
      <c r="C12" s="21" t="s">
        <v>237</v>
      </c>
      <c r="D12" s="75">
        <v>900</v>
      </c>
      <c r="E12" s="13" t="s">
        <v>235</v>
      </c>
      <c r="F12" s="92"/>
      <c r="G12" s="93">
        <f t="shared" si="0"/>
        <v>0</v>
      </c>
    </row>
    <row r="13" spans="2:7">
      <c r="B13" s="18">
        <v>4</v>
      </c>
      <c r="C13" s="21" t="s">
        <v>238</v>
      </c>
      <c r="D13" s="75">
        <v>11670</v>
      </c>
      <c r="E13" s="13" t="s">
        <v>235</v>
      </c>
      <c r="F13" s="92"/>
      <c r="G13" s="93">
        <f t="shared" si="0"/>
        <v>0</v>
      </c>
    </row>
    <row r="14" spans="2:7">
      <c r="B14" s="18">
        <v>5</v>
      </c>
      <c r="C14" s="21" t="s">
        <v>239</v>
      </c>
      <c r="D14" s="75">
        <v>82</v>
      </c>
      <c r="E14" s="13" t="s">
        <v>235</v>
      </c>
      <c r="F14" s="92"/>
      <c r="G14" s="93">
        <f t="shared" si="0"/>
        <v>0</v>
      </c>
    </row>
    <row r="15" spans="2:7">
      <c r="B15" s="18">
        <v>6</v>
      </c>
      <c r="C15" s="21" t="s">
        <v>240</v>
      </c>
      <c r="D15" s="75">
        <v>2285</v>
      </c>
      <c r="E15" s="13" t="s">
        <v>235</v>
      </c>
      <c r="F15" s="92"/>
      <c r="G15" s="93">
        <f t="shared" si="0"/>
        <v>0</v>
      </c>
    </row>
    <row r="16" spans="2:7">
      <c r="B16" s="18">
        <v>7</v>
      </c>
      <c r="C16" s="21" t="s">
        <v>241</v>
      </c>
      <c r="D16" s="75">
        <v>11135</v>
      </c>
      <c r="E16" s="13" t="s">
        <v>235</v>
      </c>
      <c r="F16" s="92"/>
      <c r="G16" s="93">
        <f t="shared" si="0"/>
        <v>0</v>
      </c>
    </row>
    <row r="17" spans="2:7">
      <c r="B17" s="18">
        <v>8</v>
      </c>
      <c r="C17" s="21" t="s">
        <v>242</v>
      </c>
      <c r="D17" s="75">
        <v>7873</v>
      </c>
      <c r="E17" s="13" t="s">
        <v>243</v>
      </c>
      <c r="F17" s="92">
        <v>750</v>
      </c>
      <c r="G17" s="93">
        <f t="shared" si="0"/>
        <v>5904750</v>
      </c>
    </row>
    <row r="18" spans="2:7">
      <c r="B18" s="18">
        <v>9</v>
      </c>
      <c r="C18" s="21" t="s">
        <v>244</v>
      </c>
      <c r="D18" s="75">
        <v>34000</v>
      </c>
      <c r="E18" s="13" t="s">
        <v>243</v>
      </c>
      <c r="F18" s="92">
        <v>420</v>
      </c>
      <c r="G18" s="93">
        <f t="shared" si="0"/>
        <v>14280000</v>
      </c>
    </row>
    <row r="19" spans="2:7">
      <c r="B19" s="18">
        <v>10</v>
      </c>
      <c r="C19" s="21" t="s">
        <v>245</v>
      </c>
      <c r="D19" s="75">
        <v>12200</v>
      </c>
      <c r="E19" s="13" t="s">
        <v>243</v>
      </c>
      <c r="F19" s="92">
        <v>270</v>
      </c>
      <c r="G19" s="93">
        <f t="shared" si="0"/>
        <v>3294000</v>
      </c>
    </row>
    <row r="20" spans="2:7">
      <c r="B20" s="18">
        <v>11</v>
      </c>
      <c r="C20" s="21" t="s">
        <v>246</v>
      </c>
      <c r="D20" s="75">
        <v>114</v>
      </c>
      <c r="E20" s="13" t="s">
        <v>235</v>
      </c>
      <c r="F20" s="92">
        <v>400</v>
      </c>
      <c r="G20" s="93">
        <f t="shared" si="0"/>
        <v>45600</v>
      </c>
    </row>
    <row r="21" spans="2:7">
      <c r="B21" s="18">
        <v>12</v>
      </c>
      <c r="C21" s="21" t="s">
        <v>247</v>
      </c>
      <c r="D21" s="75">
        <v>952</v>
      </c>
      <c r="E21" s="13" t="s">
        <v>235</v>
      </c>
      <c r="F21" s="92">
        <v>300</v>
      </c>
      <c r="G21" s="93">
        <f t="shared" si="0"/>
        <v>285600</v>
      </c>
    </row>
    <row r="22" spans="2:7">
      <c r="B22" s="18">
        <v>13</v>
      </c>
      <c r="C22" s="21" t="s">
        <v>248</v>
      </c>
      <c r="D22" s="75">
        <v>365</v>
      </c>
      <c r="E22" s="13" t="s">
        <v>235</v>
      </c>
      <c r="F22" s="92">
        <v>300</v>
      </c>
      <c r="G22" s="93">
        <f t="shared" si="0"/>
        <v>109500</v>
      </c>
    </row>
    <row r="23" spans="2:7">
      <c r="B23" s="18">
        <v>14</v>
      </c>
      <c r="C23" s="21" t="s">
        <v>249</v>
      </c>
      <c r="D23" s="75">
        <v>1612</v>
      </c>
      <c r="E23" s="13" t="s">
        <v>235</v>
      </c>
      <c r="F23" s="92"/>
      <c r="G23" s="93">
        <f t="shared" si="0"/>
        <v>0</v>
      </c>
    </row>
    <row r="24" spans="2:7">
      <c r="B24" s="18">
        <v>15</v>
      </c>
      <c r="C24" s="21" t="s">
        <v>250</v>
      </c>
      <c r="D24" s="75">
        <v>11670</v>
      </c>
      <c r="E24" s="13" t="s">
        <v>235</v>
      </c>
      <c r="F24" s="92"/>
      <c r="G24" s="93">
        <f t="shared" si="0"/>
        <v>0</v>
      </c>
    </row>
    <row r="25" spans="2:7">
      <c r="B25" s="18">
        <v>16</v>
      </c>
      <c r="C25" s="21" t="s">
        <v>251</v>
      </c>
      <c r="D25" s="75">
        <v>105</v>
      </c>
      <c r="E25" s="13" t="s">
        <v>235</v>
      </c>
      <c r="F25" s="92">
        <v>3000</v>
      </c>
      <c r="G25" s="93">
        <f t="shared" si="0"/>
        <v>315000</v>
      </c>
    </row>
    <row r="26" spans="2:7">
      <c r="B26" s="18">
        <v>17</v>
      </c>
      <c r="C26" s="76" t="s">
        <v>726</v>
      </c>
      <c r="D26" s="75">
        <v>8</v>
      </c>
      <c r="E26" s="77" t="s">
        <v>644</v>
      </c>
      <c r="F26" s="92">
        <v>4500</v>
      </c>
      <c r="G26" s="93">
        <f t="shared" si="0"/>
        <v>36000</v>
      </c>
    </row>
    <row r="27" spans="2:7">
      <c r="B27" s="18">
        <v>18</v>
      </c>
      <c r="C27" s="21" t="s">
        <v>252</v>
      </c>
      <c r="D27" s="75">
        <v>34</v>
      </c>
      <c r="E27" s="13" t="s">
        <v>235</v>
      </c>
      <c r="F27" s="92">
        <v>3000</v>
      </c>
      <c r="G27" s="93">
        <f t="shared" si="0"/>
        <v>102000</v>
      </c>
    </row>
    <row r="28" spans="2:7">
      <c r="B28" s="18">
        <v>19</v>
      </c>
      <c r="C28" s="21" t="s">
        <v>253</v>
      </c>
      <c r="D28" s="75">
        <v>34</v>
      </c>
      <c r="E28" s="13" t="s">
        <v>235</v>
      </c>
      <c r="F28" s="92">
        <v>1500</v>
      </c>
      <c r="G28" s="93">
        <f t="shared" si="0"/>
        <v>51000</v>
      </c>
    </row>
    <row r="29" spans="2:7">
      <c r="B29" s="18">
        <v>20</v>
      </c>
      <c r="C29" s="21" t="s">
        <v>254</v>
      </c>
      <c r="D29" s="75">
        <v>80</v>
      </c>
      <c r="E29" s="13" t="s">
        <v>235</v>
      </c>
      <c r="F29" s="92">
        <v>2500</v>
      </c>
      <c r="G29" s="93">
        <f t="shared" si="0"/>
        <v>200000</v>
      </c>
    </row>
    <row r="30" spans="2:7">
      <c r="B30" s="18">
        <v>21</v>
      </c>
      <c r="C30" s="21" t="s">
        <v>255</v>
      </c>
      <c r="D30" s="75">
        <v>34</v>
      </c>
      <c r="E30" s="13" t="s">
        <v>235</v>
      </c>
      <c r="F30" s="92">
        <v>7500</v>
      </c>
      <c r="G30" s="93">
        <f t="shared" si="0"/>
        <v>255000</v>
      </c>
    </row>
    <row r="31" spans="2:7">
      <c r="B31" s="18">
        <v>22</v>
      </c>
      <c r="C31" s="21" t="s">
        <v>256</v>
      </c>
      <c r="D31" s="75">
        <v>9</v>
      </c>
      <c r="E31" s="13" t="s">
        <v>235</v>
      </c>
      <c r="F31" s="92">
        <v>8000</v>
      </c>
      <c r="G31" s="93">
        <f t="shared" si="0"/>
        <v>72000</v>
      </c>
    </row>
    <row r="32" spans="2:7" ht="20.100000000000001" customHeight="1">
      <c r="B32" s="69"/>
      <c r="C32" s="84" t="s">
        <v>257</v>
      </c>
      <c r="D32" s="71"/>
      <c r="E32" s="72"/>
      <c r="F32" s="92"/>
      <c r="G32" s="93"/>
    </row>
    <row r="33" spans="2:7">
      <c r="B33" s="18">
        <v>1</v>
      </c>
      <c r="C33" s="21" t="s">
        <v>234</v>
      </c>
      <c r="D33" s="75">
        <v>7053</v>
      </c>
      <c r="E33" s="13" t="s">
        <v>235</v>
      </c>
      <c r="F33" s="92">
        <v>200</v>
      </c>
      <c r="G33" s="93">
        <f t="shared" ref="G33:G54" si="1">F33*D33</f>
        <v>1410600</v>
      </c>
    </row>
    <row r="34" spans="2:7">
      <c r="B34" s="18">
        <v>2</v>
      </c>
      <c r="C34" s="21" t="s">
        <v>258</v>
      </c>
      <c r="D34" s="75">
        <v>17</v>
      </c>
      <c r="E34" s="13" t="s">
        <v>235</v>
      </c>
      <c r="F34" s="92">
        <v>750</v>
      </c>
      <c r="G34" s="93">
        <f t="shared" si="1"/>
        <v>12750</v>
      </c>
    </row>
    <row r="35" spans="2:7">
      <c r="B35" s="18">
        <v>3</v>
      </c>
      <c r="C35" s="21" t="s">
        <v>237</v>
      </c>
      <c r="D35" s="75">
        <v>330</v>
      </c>
      <c r="E35" s="13" t="s">
        <v>235</v>
      </c>
      <c r="F35" s="92"/>
      <c r="G35" s="93">
        <f t="shared" si="1"/>
        <v>0</v>
      </c>
    </row>
    <row r="36" spans="2:7">
      <c r="B36" s="18">
        <v>4</v>
      </c>
      <c r="C36" s="21" t="s">
        <v>238</v>
      </c>
      <c r="D36" s="75">
        <v>7053</v>
      </c>
      <c r="E36" s="13" t="s">
        <v>235</v>
      </c>
      <c r="F36" s="92"/>
      <c r="G36" s="93">
        <f t="shared" si="1"/>
        <v>0</v>
      </c>
    </row>
    <row r="37" spans="2:7">
      <c r="B37" s="18">
        <v>5</v>
      </c>
      <c r="C37" s="21" t="s">
        <v>239</v>
      </c>
      <c r="D37" s="75">
        <v>34</v>
      </c>
      <c r="E37" s="13" t="s">
        <v>235</v>
      </c>
      <c r="F37" s="92"/>
      <c r="G37" s="93">
        <f t="shared" si="1"/>
        <v>0</v>
      </c>
    </row>
    <row r="38" spans="2:7">
      <c r="B38" s="18">
        <v>6</v>
      </c>
      <c r="C38" s="21" t="s">
        <v>240</v>
      </c>
      <c r="D38" s="75">
        <v>1199</v>
      </c>
      <c r="E38" s="13" t="s">
        <v>235</v>
      </c>
      <c r="F38" s="92"/>
      <c r="G38" s="93">
        <f t="shared" si="1"/>
        <v>0</v>
      </c>
    </row>
    <row r="39" spans="2:7">
      <c r="B39" s="18">
        <v>7</v>
      </c>
      <c r="C39" s="21" t="s">
        <v>241</v>
      </c>
      <c r="D39" s="75">
        <v>6570</v>
      </c>
      <c r="E39" s="13" t="s">
        <v>235</v>
      </c>
      <c r="F39" s="92"/>
      <c r="G39" s="93">
        <f t="shared" si="1"/>
        <v>0</v>
      </c>
    </row>
    <row r="40" spans="2:7">
      <c r="B40" s="18">
        <v>8</v>
      </c>
      <c r="C40" s="21" t="s">
        <v>242</v>
      </c>
      <c r="D40" s="75">
        <v>4221</v>
      </c>
      <c r="E40" s="13" t="s">
        <v>243</v>
      </c>
      <c r="F40" s="92">
        <v>750</v>
      </c>
      <c r="G40" s="93">
        <f t="shared" si="1"/>
        <v>3165750</v>
      </c>
    </row>
    <row r="41" spans="2:7">
      <c r="B41" s="18">
        <v>9</v>
      </c>
      <c r="C41" s="21" t="s">
        <v>244</v>
      </c>
      <c r="D41" s="75">
        <v>19710</v>
      </c>
      <c r="E41" s="13" t="s">
        <v>243</v>
      </c>
      <c r="F41" s="92">
        <v>420</v>
      </c>
      <c r="G41" s="93">
        <f t="shared" si="1"/>
        <v>8278200</v>
      </c>
    </row>
    <row r="42" spans="2:7">
      <c r="B42" s="18">
        <v>10</v>
      </c>
      <c r="C42" s="21" t="s">
        <v>245</v>
      </c>
      <c r="D42" s="75">
        <v>7200</v>
      </c>
      <c r="E42" s="13" t="s">
        <v>243</v>
      </c>
      <c r="F42" s="92">
        <v>270</v>
      </c>
      <c r="G42" s="93">
        <f t="shared" si="1"/>
        <v>1944000</v>
      </c>
    </row>
    <row r="43" spans="2:7">
      <c r="B43" s="18">
        <v>11</v>
      </c>
      <c r="C43" s="21" t="s">
        <v>246</v>
      </c>
      <c r="D43" s="75">
        <v>77</v>
      </c>
      <c r="E43" s="13" t="s">
        <v>235</v>
      </c>
      <c r="F43" s="92">
        <v>400</v>
      </c>
      <c r="G43" s="93">
        <f t="shared" si="1"/>
        <v>30800</v>
      </c>
    </row>
    <row r="44" spans="2:7">
      <c r="B44" s="18">
        <v>12</v>
      </c>
      <c r="C44" s="21" t="s">
        <v>247</v>
      </c>
      <c r="D44" s="75">
        <v>384</v>
      </c>
      <c r="E44" s="13" t="s">
        <v>235</v>
      </c>
      <c r="F44" s="92">
        <v>300</v>
      </c>
      <c r="G44" s="93">
        <f t="shared" si="1"/>
        <v>115200</v>
      </c>
    </row>
    <row r="45" spans="2:7">
      <c r="B45" s="18">
        <v>13</v>
      </c>
      <c r="C45" s="21" t="s">
        <v>248</v>
      </c>
      <c r="D45" s="75">
        <v>173</v>
      </c>
      <c r="E45" s="13" t="s">
        <v>235</v>
      </c>
      <c r="F45" s="92">
        <v>300</v>
      </c>
      <c r="G45" s="93">
        <f t="shared" si="1"/>
        <v>51900</v>
      </c>
    </row>
    <row r="46" spans="2:7">
      <c r="B46" s="18">
        <v>14</v>
      </c>
      <c r="C46" s="21" t="s">
        <v>249</v>
      </c>
      <c r="D46" s="75">
        <v>850</v>
      </c>
      <c r="E46" s="13" t="s">
        <v>235</v>
      </c>
      <c r="F46" s="92"/>
      <c r="G46" s="93">
        <f t="shared" si="1"/>
        <v>0</v>
      </c>
    </row>
    <row r="47" spans="2:7">
      <c r="B47" s="18">
        <v>15</v>
      </c>
      <c r="C47" s="21" t="s">
        <v>250</v>
      </c>
      <c r="D47" s="75">
        <v>7053</v>
      </c>
      <c r="E47" s="13" t="s">
        <v>235</v>
      </c>
      <c r="F47" s="92"/>
      <c r="G47" s="93">
        <f t="shared" si="1"/>
        <v>0</v>
      </c>
    </row>
    <row r="48" spans="2:7">
      <c r="B48" s="18">
        <v>16</v>
      </c>
      <c r="C48" s="21" t="s">
        <v>251</v>
      </c>
      <c r="D48" s="75">
        <v>54</v>
      </c>
      <c r="E48" s="13" t="s">
        <v>235</v>
      </c>
      <c r="F48" s="92">
        <v>3000</v>
      </c>
      <c r="G48" s="93">
        <f t="shared" si="1"/>
        <v>162000</v>
      </c>
    </row>
    <row r="49" spans="2:7">
      <c r="B49" s="18">
        <v>17</v>
      </c>
      <c r="C49" s="76" t="s">
        <v>726</v>
      </c>
      <c r="D49" s="75">
        <v>4</v>
      </c>
      <c r="E49" s="77" t="s">
        <v>644</v>
      </c>
      <c r="F49" s="92">
        <v>4500</v>
      </c>
      <c r="G49" s="93">
        <f t="shared" si="1"/>
        <v>18000</v>
      </c>
    </row>
    <row r="50" spans="2:7">
      <c r="B50" s="18">
        <v>17</v>
      </c>
      <c r="C50" s="21" t="s">
        <v>252</v>
      </c>
      <c r="D50" s="75">
        <v>17</v>
      </c>
      <c r="E50" s="13" t="s">
        <v>235</v>
      </c>
      <c r="F50" s="92">
        <v>3000</v>
      </c>
      <c r="G50" s="93">
        <f t="shared" si="1"/>
        <v>51000</v>
      </c>
    </row>
    <row r="51" spans="2:7">
      <c r="B51" s="18">
        <v>18</v>
      </c>
      <c r="C51" s="21" t="s">
        <v>253</v>
      </c>
      <c r="D51" s="75">
        <v>17</v>
      </c>
      <c r="E51" s="13" t="s">
        <v>235</v>
      </c>
      <c r="F51" s="92">
        <v>15000</v>
      </c>
      <c r="G51" s="93">
        <f t="shared" si="1"/>
        <v>255000</v>
      </c>
    </row>
    <row r="52" spans="2:7">
      <c r="B52" s="18">
        <v>19</v>
      </c>
      <c r="C52" s="21" t="s">
        <v>254</v>
      </c>
      <c r="D52" s="75">
        <v>61</v>
      </c>
      <c r="E52" s="13" t="s">
        <v>235</v>
      </c>
      <c r="F52" s="92">
        <v>2500</v>
      </c>
      <c r="G52" s="93">
        <f t="shared" si="1"/>
        <v>152500</v>
      </c>
    </row>
    <row r="53" spans="2:7">
      <c r="B53" s="18">
        <v>19</v>
      </c>
      <c r="C53" s="21" t="s">
        <v>255</v>
      </c>
      <c r="D53" s="75">
        <v>17</v>
      </c>
      <c r="E53" s="13" t="s">
        <v>235</v>
      </c>
      <c r="F53" s="92">
        <v>7500</v>
      </c>
      <c r="G53" s="93">
        <f t="shared" si="1"/>
        <v>127500</v>
      </c>
    </row>
    <row r="54" spans="2:7">
      <c r="B54" s="18">
        <v>20</v>
      </c>
      <c r="C54" s="21" t="s">
        <v>256</v>
      </c>
      <c r="D54" s="75">
        <v>6</v>
      </c>
      <c r="E54" s="13" t="s">
        <v>235</v>
      </c>
      <c r="F54" s="92">
        <v>8000</v>
      </c>
      <c r="G54" s="93">
        <f t="shared" si="1"/>
        <v>48000</v>
      </c>
    </row>
    <row r="55" spans="2:7" ht="20.100000000000001" customHeight="1">
      <c r="B55" s="69"/>
      <c r="C55" s="70" t="s">
        <v>259</v>
      </c>
      <c r="D55" s="71"/>
      <c r="E55" s="72"/>
      <c r="F55" s="92"/>
      <c r="G55" s="93"/>
    </row>
    <row r="56" spans="2:7">
      <c r="B56" s="18">
        <v>1</v>
      </c>
      <c r="C56" s="21" t="s">
        <v>234</v>
      </c>
      <c r="D56" s="75">
        <v>2422</v>
      </c>
      <c r="E56" s="13" t="s">
        <v>235</v>
      </c>
      <c r="F56" s="92">
        <v>200</v>
      </c>
      <c r="G56" s="93">
        <f t="shared" ref="G56:G77" si="2">F56*D56</f>
        <v>484400</v>
      </c>
    </row>
    <row r="57" spans="2:7">
      <c r="B57" s="18">
        <v>2</v>
      </c>
      <c r="C57" s="21" t="s">
        <v>258</v>
      </c>
      <c r="D57" s="75">
        <v>6</v>
      </c>
      <c r="E57" s="13" t="s">
        <v>235</v>
      </c>
      <c r="F57" s="92">
        <v>750</v>
      </c>
      <c r="G57" s="93">
        <f t="shared" si="2"/>
        <v>4500</v>
      </c>
    </row>
    <row r="58" spans="2:7">
      <c r="B58" s="18">
        <v>3</v>
      </c>
      <c r="C58" s="21" t="s">
        <v>237</v>
      </c>
      <c r="D58" s="75">
        <v>206</v>
      </c>
      <c r="E58" s="13" t="s">
        <v>235</v>
      </c>
      <c r="F58" s="92"/>
      <c r="G58" s="93">
        <f t="shared" si="2"/>
        <v>0</v>
      </c>
    </row>
    <row r="59" spans="2:7">
      <c r="B59" s="18">
        <v>4</v>
      </c>
      <c r="C59" s="21" t="s">
        <v>238</v>
      </c>
      <c r="D59" s="75">
        <v>2422</v>
      </c>
      <c r="E59" s="13" t="s">
        <v>235</v>
      </c>
      <c r="F59" s="92"/>
      <c r="G59" s="93">
        <f t="shared" si="2"/>
        <v>0</v>
      </c>
    </row>
    <row r="60" spans="2:7">
      <c r="B60" s="18">
        <v>5</v>
      </c>
      <c r="C60" s="21" t="s">
        <v>239</v>
      </c>
      <c r="D60" s="75">
        <v>12</v>
      </c>
      <c r="E60" s="13" t="s">
        <v>235</v>
      </c>
      <c r="F60" s="92"/>
      <c r="G60" s="93">
        <f t="shared" si="2"/>
        <v>0</v>
      </c>
    </row>
    <row r="61" spans="2:7">
      <c r="B61" s="18">
        <v>6</v>
      </c>
      <c r="C61" s="21" t="s">
        <v>240</v>
      </c>
      <c r="D61" s="75">
        <v>587</v>
      </c>
      <c r="E61" s="13" t="s">
        <v>235</v>
      </c>
      <c r="F61" s="92"/>
      <c r="G61" s="93">
        <f t="shared" si="2"/>
        <v>0</v>
      </c>
    </row>
    <row r="62" spans="2:7">
      <c r="B62" s="18">
        <v>7</v>
      </c>
      <c r="C62" s="21" t="s">
        <v>241</v>
      </c>
      <c r="D62" s="75">
        <v>2321</v>
      </c>
      <c r="E62" s="13" t="s">
        <v>235</v>
      </c>
      <c r="F62" s="92"/>
      <c r="G62" s="93">
        <f t="shared" si="2"/>
        <v>0</v>
      </c>
    </row>
    <row r="63" spans="2:7">
      <c r="B63" s="18">
        <v>8</v>
      </c>
      <c r="C63" s="21" t="s">
        <v>242</v>
      </c>
      <c r="D63" s="75">
        <v>2064</v>
      </c>
      <c r="E63" s="13" t="s">
        <v>243</v>
      </c>
      <c r="F63" s="92">
        <v>750</v>
      </c>
      <c r="G63" s="93">
        <f t="shared" si="2"/>
        <v>1548000</v>
      </c>
    </row>
    <row r="64" spans="2:7">
      <c r="B64" s="18">
        <v>9</v>
      </c>
      <c r="C64" s="21" t="s">
        <v>244</v>
      </c>
      <c r="D64" s="75">
        <v>6996</v>
      </c>
      <c r="E64" s="13" t="s">
        <v>243</v>
      </c>
      <c r="F64" s="92">
        <v>420</v>
      </c>
      <c r="G64" s="93">
        <f t="shared" si="2"/>
        <v>2938320</v>
      </c>
    </row>
    <row r="65" spans="2:7">
      <c r="B65" s="18">
        <v>10</v>
      </c>
      <c r="C65" s="21" t="s">
        <v>245</v>
      </c>
      <c r="D65" s="75">
        <v>2604</v>
      </c>
      <c r="E65" s="13" t="s">
        <v>243</v>
      </c>
      <c r="F65" s="92">
        <v>270</v>
      </c>
      <c r="G65" s="93">
        <f t="shared" si="2"/>
        <v>703080</v>
      </c>
    </row>
    <row r="66" spans="2:7">
      <c r="B66" s="18">
        <v>11</v>
      </c>
      <c r="C66" s="21" t="s">
        <v>246</v>
      </c>
      <c r="D66" s="75">
        <v>34</v>
      </c>
      <c r="E66" s="13" t="s">
        <v>235</v>
      </c>
      <c r="F66" s="92">
        <v>400</v>
      </c>
      <c r="G66" s="93">
        <f t="shared" si="2"/>
        <v>13600</v>
      </c>
    </row>
    <row r="67" spans="2:7">
      <c r="B67" s="18">
        <v>12</v>
      </c>
      <c r="C67" s="21" t="s">
        <v>247</v>
      </c>
      <c r="D67" s="75">
        <v>177</v>
      </c>
      <c r="E67" s="13" t="s">
        <v>235</v>
      </c>
      <c r="F67" s="92">
        <v>300</v>
      </c>
      <c r="G67" s="93">
        <f t="shared" si="2"/>
        <v>53100</v>
      </c>
    </row>
    <row r="68" spans="2:7">
      <c r="B68" s="18">
        <v>13</v>
      </c>
      <c r="C68" s="21" t="s">
        <v>248</v>
      </c>
      <c r="D68" s="75">
        <v>83</v>
      </c>
      <c r="E68" s="13" t="s">
        <v>235</v>
      </c>
      <c r="F68" s="92">
        <v>300</v>
      </c>
      <c r="G68" s="93">
        <f t="shared" si="2"/>
        <v>24900</v>
      </c>
    </row>
    <row r="69" spans="2:7">
      <c r="B69" s="18">
        <v>14</v>
      </c>
      <c r="C69" s="21" t="s">
        <v>249</v>
      </c>
      <c r="D69" s="75">
        <v>397</v>
      </c>
      <c r="E69" s="13" t="s">
        <v>235</v>
      </c>
      <c r="F69" s="92"/>
      <c r="G69" s="93">
        <f t="shared" si="2"/>
        <v>0</v>
      </c>
    </row>
    <row r="70" spans="2:7">
      <c r="B70" s="18">
        <v>15</v>
      </c>
      <c r="C70" s="21" t="s">
        <v>250</v>
      </c>
      <c r="D70" s="75">
        <v>2422</v>
      </c>
      <c r="E70" s="13" t="s">
        <v>235</v>
      </c>
      <c r="F70" s="92"/>
      <c r="G70" s="93">
        <f t="shared" si="2"/>
        <v>0</v>
      </c>
    </row>
    <row r="71" spans="2:7">
      <c r="B71" s="18">
        <v>16</v>
      </c>
      <c r="C71" s="21" t="s">
        <v>251</v>
      </c>
      <c r="D71" s="75">
        <v>18</v>
      </c>
      <c r="E71" s="13" t="s">
        <v>235</v>
      </c>
      <c r="F71" s="92">
        <v>3000</v>
      </c>
      <c r="G71" s="93">
        <f t="shared" si="2"/>
        <v>54000</v>
      </c>
    </row>
    <row r="72" spans="2:7">
      <c r="B72" s="18">
        <v>17</v>
      </c>
      <c r="C72" s="76" t="s">
        <v>726</v>
      </c>
      <c r="D72" s="75">
        <v>1</v>
      </c>
      <c r="E72" s="77" t="s">
        <v>644</v>
      </c>
      <c r="F72" s="92">
        <v>4500</v>
      </c>
      <c r="G72" s="93">
        <f t="shared" si="2"/>
        <v>4500</v>
      </c>
    </row>
    <row r="73" spans="2:7">
      <c r="B73" s="18">
        <v>17</v>
      </c>
      <c r="C73" s="21" t="s">
        <v>252</v>
      </c>
      <c r="D73" s="75">
        <v>6</v>
      </c>
      <c r="E73" s="13" t="s">
        <v>235</v>
      </c>
      <c r="F73" s="92">
        <v>3000</v>
      </c>
      <c r="G73" s="93">
        <f t="shared" si="2"/>
        <v>18000</v>
      </c>
    </row>
    <row r="74" spans="2:7">
      <c r="B74" s="18">
        <v>18</v>
      </c>
      <c r="C74" s="21" t="s">
        <v>253</v>
      </c>
      <c r="D74" s="75">
        <v>6</v>
      </c>
      <c r="E74" s="13" t="s">
        <v>235</v>
      </c>
      <c r="F74" s="92">
        <v>1500</v>
      </c>
      <c r="G74" s="93">
        <f t="shared" si="2"/>
        <v>9000</v>
      </c>
    </row>
    <row r="75" spans="2:7">
      <c r="B75" s="18">
        <v>19</v>
      </c>
      <c r="C75" s="21" t="s">
        <v>254</v>
      </c>
      <c r="D75" s="75">
        <v>28</v>
      </c>
      <c r="E75" s="13" t="s">
        <v>235</v>
      </c>
      <c r="F75" s="92">
        <v>2500</v>
      </c>
      <c r="G75" s="93">
        <f t="shared" si="2"/>
        <v>70000</v>
      </c>
    </row>
    <row r="76" spans="2:7">
      <c r="B76" s="18">
        <v>19</v>
      </c>
      <c r="C76" s="21" t="s">
        <v>255</v>
      </c>
      <c r="D76" s="75">
        <v>6</v>
      </c>
      <c r="E76" s="13" t="s">
        <v>235</v>
      </c>
      <c r="F76" s="92">
        <v>7500</v>
      </c>
      <c r="G76" s="93">
        <f t="shared" si="2"/>
        <v>45000</v>
      </c>
    </row>
    <row r="77" spans="2:7" ht="15.75" thickBot="1">
      <c r="B77" s="23">
        <v>20</v>
      </c>
      <c r="C77" s="22" t="s">
        <v>256</v>
      </c>
      <c r="D77" s="78">
        <v>1</v>
      </c>
      <c r="E77" s="24" t="s">
        <v>235</v>
      </c>
      <c r="F77" s="96">
        <v>8000</v>
      </c>
      <c r="G77" s="97">
        <f t="shared" si="2"/>
        <v>8000</v>
      </c>
    </row>
    <row r="78" spans="2:7" ht="28.5" customHeight="1">
      <c r="D78" s="112"/>
      <c r="E78" s="112"/>
      <c r="F78" s="113" t="s">
        <v>765</v>
      </c>
      <c r="G78" s="113">
        <f>SUM(G9:G77)</f>
        <v>49111550</v>
      </c>
    </row>
  </sheetData>
  <mergeCells count="1">
    <mergeCell ref="B2:G6"/>
  </mergeCells>
  <printOptions horizontalCentered="1" verticalCentered="1"/>
  <pageMargins left="0" right="0" top="0" bottom="1.1811023622047245" header="0.31496062992125984" footer="0.31496062992125984"/>
  <pageSetup paperSize="9" fitToHeight="0" orientation="landscape" r:id="rId1"/>
  <headerFooter>
    <oddFooter>&amp;CMerkez Ofis : Üçevler Mh. Esra Sk. No:6/21 Polat Plaza
Nilüfer / BURSA
Fabrika : Minareliçavuş Mah. 106(290)Sok. No:44 Kapı No:1
Nilüfer / BURSA</oddFooter>
  </headerFooter>
  <rowBreaks count="2" manualBreakCount="2">
    <brk id="31" max="7" man="1"/>
    <brk id="54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84"/>
  <sheetViews>
    <sheetView view="pageBreakPreview" zoomScaleNormal="85" zoomScaleSheetLayoutView="100" workbookViewId="0">
      <pane ySplit="7" topLeftCell="A276" activePane="bottomLeft" state="frozen"/>
      <selection pane="bottomLeft" activeCell="E284" sqref="E284:G284"/>
    </sheetView>
  </sheetViews>
  <sheetFormatPr defaultRowHeight="15" outlineLevelCol="1"/>
  <cols>
    <col min="1" max="1" width="4.42578125" customWidth="1"/>
    <col min="2" max="2" width="3" bestFit="1" customWidth="1"/>
    <col min="3" max="3" width="49.28515625" style="33" bestFit="1" customWidth="1"/>
    <col min="4" max="4" width="23" customWidth="1"/>
    <col min="5" max="5" width="5.7109375" bestFit="1" customWidth="1"/>
    <col min="6" max="6" width="5.140625" bestFit="1" customWidth="1"/>
    <col min="7" max="7" width="17.28515625" customWidth="1" outlineLevel="1"/>
    <col min="8" max="8" width="25" customWidth="1" outlineLevel="1"/>
    <col min="9" max="10" width="2.28515625" customWidth="1"/>
  </cols>
  <sheetData>
    <row r="1" spans="2:8" ht="15.75" thickBot="1"/>
    <row r="2" spans="2:8" s="41" customFormat="1" ht="12.75">
      <c r="B2" s="160" t="s">
        <v>747</v>
      </c>
      <c r="C2" s="161"/>
      <c r="D2" s="161"/>
      <c r="E2" s="161"/>
      <c r="F2" s="161"/>
      <c r="G2" s="161"/>
      <c r="H2" s="162"/>
    </row>
    <row r="3" spans="2:8" s="41" customFormat="1" ht="12.75">
      <c r="B3" s="163"/>
      <c r="C3" s="164"/>
      <c r="D3" s="164"/>
      <c r="E3" s="164"/>
      <c r="F3" s="164"/>
      <c r="G3" s="164"/>
      <c r="H3" s="165"/>
    </row>
    <row r="4" spans="2:8" s="41" customFormat="1" ht="12.75">
      <c r="B4" s="163"/>
      <c r="C4" s="164"/>
      <c r="D4" s="164"/>
      <c r="E4" s="164"/>
      <c r="F4" s="164"/>
      <c r="G4" s="164"/>
      <c r="H4" s="165"/>
    </row>
    <row r="5" spans="2:8" s="41" customFormat="1" ht="12.75">
      <c r="B5" s="163"/>
      <c r="C5" s="164"/>
      <c r="D5" s="164"/>
      <c r="E5" s="164"/>
      <c r="F5" s="164"/>
      <c r="G5" s="164"/>
      <c r="H5" s="165"/>
    </row>
    <row r="6" spans="2:8" s="41" customFormat="1" ht="13.5" thickBot="1">
      <c r="B6" s="166"/>
      <c r="C6" s="167"/>
      <c r="D6" s="167"/>
      <c r="E6" s="167"/>
      <c r="F6" s="167"/>
      <c r="G6" s="167"/>
      <c r="H6" s="168"/>
    </row>
    <row r="7" spans="2:8" ht="24.75" thickBot="1">
      <c r="B7" s="1" t="s">
        <v>0</v>
      </c>
      <c r="C7" s="34" t="s">
        <v>744</v>
      </c>
      <c r="D7" s="3" t="s">
        <v>646</v>
      </c>
      <c r="E7" s="2" t="s">
        <v>2</v>
      </c>
      <c r="F7" s="3" t="s">
        <v>3</v>
      </c>
      <c r="G7" s="6" t="s">
        <v>5</v>
      </c>
      <c r="H7" s="5" t="s">
        <v>6</v>
      </c>
    </row>
    <row r="8" spans="2:8" ht="15.75" thickBot="1">
      <c r="B8" s="7"/>
      <c r="C8" s="35"/>
      <c r="D8" s="9"/>
      <c r="E8" s="8"/>
      <c r="F8" s="9"/>
      <c r="G8" s="11"/>
      <c r="H8" s="17"/>
    </row>
    <row r="9" spans="2:8">
      <c r="B9" s="18"/>
      <c r="C9" s="31"/>
      <c r="D9" s="13"/>
      <c r="E9" s="12"/>
      <c r="F9" s="13"/>
      <c r="G9" s="92"/>
      <c r="H9" s="93"/>
    </row>
    <row r="10" spans="2:8">
      <c r="B10" s="18">
        <v>1</v>
      </c>
      <c r="C10" s="31" t="s">
        <v>653</v>
      </c>
      <c r="D10" s="13"/>
      <c r="E10" s="12"/>
      <c r="F10" s="13"/>
      <c r="G10" s="92"/>
      <c r="H10" s="93"/>
    </row>
    <row r="11" spans="2:8" ht="24">
      <c r="B11" s="18"/>
      <c r="C11" s="29" t="s">
        <v>583</v>
      </c>
      <c r="D11" s="36" t="s">
        <v>710</v>
      </c>
      <c r="E11" s="15" t="s">
        <v>694</v>
      </c>
      <c r="F11" s="16" t="s">
        <v>644</v>
      </c>
      <c r="G11" s="92">
        <v>200</v>
      </c>
      <c r="H11" s="93">
        <f t="shared" ref="H11:H26" si="0">G11*E11</f>
        <v>1600</v>
      </c>
    </row>
    <row r="12" spans="2:8">
      <c r="B12" s="18"/>
      <c r="C12" s="29" t="s">
        <v>654</v>
      </c>
      <c r="D12" s="36" t="s">
        <v>648</v>
      </c>
      <c r="E12" s="15" t="s">
        <v>695</v>
      </c>
      <c r="F12" s="16" t="s">
        <v>644</v>
      </c>
      <c r="G12" s="92">
        <v>750</v>
      </c>
      <c r="H12" s="93">
        <f t="shared" si="0"/>
        <v>750</v>
      </c>
    </row>
    <row r="13" spans="2:8" ht="24">
      <c r="B13" s="18"/>
      <c r="C13" s="29" t="s">
        <v>655</v>
      </c>
      <c r="D13" s="36" t="s">
        <v>711</v>
      </c>
      <c r="E13" s="15" t="s">
        <v>696</v>
      </c>
      <c r="F13" s="16" t="s">
        <v>644</v>
      </c>
      <c r="G13" s="92"/>
      <c r="H13" s="93">
        <f t="shared" si="0"/>
        <v>0</v>
      </c>
    </row>
    <row r="14" spans="2:8" ht="24">
      <c r="B14" s="18"/>
      <c r="C14" s="29" t="s">
        <v>656</v>
      </c>
      <c r="D14" s="36" t="s">
        <v>711</v>
      </c>
      <c r="E14" s="15" t="s">
        <v>694</v>
      </c>
      <c r="F14" s="16" t="s">
        <v>644</v>
      </c>
      <c r="G14" s="92"/>
      <c r="H14" s="93">
        <f t="shared" si="0"/>
        <v>0</v>
      </c>
    </row>
    <row r="15" spans="2:8" ht="24">
      <c r="B15" s="18"/>
      <c r="C15" s="29" t="s">
        <v>657</v>
      </c>
      <c r="D15" s="36" t="s">
        <v>711</v>
      </c>
      <c r="E15" s="15" t="s">
        <v>696</v>
      </c>
      <c r="F15" s="16" t="s">
        <v>644</v>
      </c>
      <c r="G15" s="92"/>
      <c r="H15" s="93">
        <f t="shared" si="0"/>
        <v>0</v>
      </c>
    </row>
    <row r="16" spans="2:8" ht="24">
      <c r="B16" s="18"/>
      <c r="C16" s="29" t="s">
        <v>658</v>
      </c>
      <c r="D16" s="36" t="s">
        <v>711</v>
      </c>
      <c r="E16" s="15" t="s">
        <v>697</v>
      </c>
      <c r="F16" s="16" t="s">
        <v>644</v>
      </c>
      <c r="G16" s="92"/>
      <c r="H16" s="93">
        <f t="shared" si="0"/>
        <v>0</v>
      </c>
    </row>
    <row r="17" spans="2:8" ht="24">
      <c r="B17" s="18"/>
      <c r="C17" s="29" t="s">
        <v>659</v>
      </c>
      <c r="D17" s="36" t="s">
        <v>711</v>
      </c>
      <c r="E17" s="15" t="s">
        <v>698</v>
      </c>
      <c r="F17" s="16" t="s">
        <v>644</v>
      </c>
      <c r="G17" s="92"/>
      <c r="H17" s="93">
        <f t="shared" si="0"/>
        <v>0</v>
      </c>
    </row>
    <row r="18" spans="2:8" ht="24">
      <c r="B18" s="18"/>
      <c r="C18" s="29" t="s">
        <v>660</v>
      </c>
      <c r="D18" s="36" t="s">
        <v>712</v>
      </c>
      <c r="E18" s="15" t="s">
        <v>699</v>
      </c>
      <c r="F18" s="16" t="s">
        <v>645</v>
      </c>
      <c r="G18" s="92">
        <v>380</v>
      </c>
      <c r="H18" s="93">
        <f t="shared" si="0"/>
        <v>15960</v>
      </c>
    </row>
    <row r="19" spans="2:8" ht="24">
      <c r="B19" s="18"/>
      <c r="C19" s="29" t="s">
        <v>661</v>
      </c>
      <c r="D19" s="36" t="s">
        <v>712</v>
      </c>
      <c r="E19" s="15" t="s">
        <v>700</v>
      </c>
      <c r="F19" s="16" t="s">
        <v>645</v>
      </c>
      <c r="G19" s="92">
        <v>300</v>
      </c>
      <c r="H19" s="93">
        <f t="shared" si="0"/>
        <v>10800</v>
      </c>
    </row>
    <row r="20" spans="2:8" ht="24">
      <c r="B20" s="18"/>
      <c r="C20" s="29" t="s">
        <v>662</v>
      </c>
      <c r="D20" s="36" t="s">
        <v>712</v>
      </c>
      <c r="E20" s="15" t="s">
        <v>700</v>
      </c>
      <c r="F20" s="16" t="s">
        <v>645</v>
      </c>
      <c r="G20" s="92">
        <v>270</v>
      </c>
      <c r="H20" s="93">
        <f t="shared" si="0"/>
        <v>9720</v>
      </c>
    </row>
    <row r="21" spans="2:8" ht="24">
      <c r="B21" s="18"/>
      <c r="C21" s="29" t="s">
        <v>537</v>
      </c>
      <c r="D21" s="36" t="s">
        <v>713</v>
      </c>
      <c r="E21" s="15" t="s">
        <v>701</v>
      </c>
      <c r="F21" s="16" t="s">
        <v>644</v>
      </c>
      <c r="G21" s="92"/>
      <c r="H21" s="93">
        <f t="shared" si="0"/>
        <v>0</v>
      </c>
    </row>
    <row r="22" spans="2:8">
      <c r="B22" s="18"/>
      <c r="C22" s="29" t="s">
        <v>663</v>
      </c>
      <c r="D22" s="36" t="s">
        <v>714</v>
      </c>
      <c r="E22" s="15"/>
      <c r="F22" s="16" t="s">
        <v>644</v>
      </c>
      <c r="G22" s="92">
        <v>750</v>
      </c>
      <c r="H22" s="93">
        <f t="shared" si="0"/>
        <v>0</v>
      </c>
    </row>
    <row r="23" spans="2:8" ht="24">
      <c r="B23" s="18"/>
      <c r="C23" s="29" t="s">
        <v>574</v>
      </c>
      <c r="D23" s="36" t="s">
        <v>715</v>
      </c>
      <c r="E23" s="15" t="s">
        <v>695</v>
      </c>
      <c r="F23" s="16" t="s">
        <v>644</v>
      </c>
      <c r="G23" s="92">
        <v>1000</v>
      </c>
      <c r="H23" s="93">
        <f t="shared" si="0"/>
        <v>1000</v>
      </c>
    </row>
    <row r="24" spans="2:8" ht="36">
      <c r="B24" s="18"/>
      <c r="C24" s="29" t="s">
        <v>602</v>
      </c>
      <c r="D24" s="36" t="s">
        <v>716</v>
      </c>
      <c r="E24" s="15" t="s">
        <v>695</v>
      </c>
      <c r="F24" s="16" t="s">
        <v>644</v>
      </c>
      <c r="G24" s="92">
        <v>1000</v>
      </c>
      <c r="H24" s="93">
        <f t="shared" si="0"/>
        <v>1000</v>
      </c>
    </row>
    <row r="25" spans="2:8" ht="24">
      <c r="B25" s="18"/>
      <c r="C25" s="29" t="s">
        <v>591</v>
      </c>
      <c r="D25" s="36" t="s">
        <v>715</v>
      </c>
      <c r="E25" s="15" t="s">
        <v>695</v>
      </c>
      <c r="F25" s="16" t="s">
        <v>644</v>
      </c>
      <c r="G25" s="92">
        <v>3000</v>
      </c>
      <c r="H25" s="93">
        <f t="shared" si="0"/>
        <v>3000</v>
      </c>
    </row>
    <row r="26" spans="2:8" ht="36">
      <c r="B26" s="18"/>
      <c r="C26" s="29" t="s">
        <v>664</v>
      </c>
      <c r="D26" s="36" t="s">
        <v>717</v>
      </c>
      <c r="E26" s="15" t="s">
        <v>702</v>
      </c>
      <c r="F26" s="16" t="s">
        <v>644</v>
      </c>
      <c r="G26" s="92"/>
      <c r="H26" s="93">
        <f t="shared" si="0"/>
        <v>0</v>
      </c>
    </row>
    <row r="27" spans="2:8">
      <c r="B27" s="18">
        <v>2</v>
      </c>
      <c r="C27" s="31" t="s">
        <v>665</v>
      </c>
      <c r="D27" s="13"/>
      <c r="E27" s="12"/>
      <c r="F27" s="13"/>
      <c r="G27" s="92"/>
      <c r="H27" s="93"/>
    </row>
    <row r="28" spans="2:8" ht="24">
      <c r="B28" s="18"/>
      <c r="C28" s="29" t="s">
        <v>583</v>
      </c>
      <c r="D28" s="36" t="s">
        <v>710</v>
      </c>
      <c r="E28" s="15" t="s">
        <v>703</v>
      </c>
      <c r="F28" s="16" t="s">
        <v>644</v>
      </c>
      <c r="G28" s="92">
        <v>200</v>
      </c>
      <c r="H28" s="93">
        <f t="shared" ref="H28:H46" si="1">G28*E28</f>
        <v>2200</v>
      </c>
    </row>
    <row r="29" spans="2:8">
      <c r="B29" s="18"/>
      <c r="C29" s="29" t="s">
        <v>654</v>
      </c>
      <c r="D29" s="36" t="s">
        <v>648</v>
      </c>
      <c r="E29" s="15" t="s">
        <v>695</v>
      </c>
      <c r="F29" s="16" t="s">
        <v>644</v>
      </c>
      <c r="G29" s="92">
        <v>750</v>
      </c>
      <c r="H29" s="93">
        <f t="shared" si="1"/>
        <v>750</v>
      </c>
    </row>
    <row r="30" spans="2:8" ht="24">
      <c r="B30" s="18"/>
      <c r="C30" s="29" t="s">
        <v>655</v>
      </c>
      <c r="D30" s="36" t="s">
        <v>711</v>
      </c>
      <c r="E30" s="15" t="s">
        <v>696</v>
      </c>
      <c r="F30" s="16" t="s">
        <v>644</v>
      </c>
      <c r="G30" s="92"/>
      <c r="H30" s="93">
        <f t="shared" si="1"/>
        <v>0</v>
      </c>
    </row>
    <row r="31" spans="2:8" ht="24">
      <c r="B31" s="18"/>
      <c r="C31" s="29" t="s">
        <v>656</v>
      </c>
      <c r="D31" s="36" t="s">
        <v>711</v>
      </c>
      <c r="E31" s="15" t="s">
        <v>703</v>
      </c>
      <c r="F31" s="16" t="s">
        <v>644</v>
      </c>
      <c r="G31" s="92"/>
      <c r="H31" s="93">
        <f t="shared" si="1"/>
        <v>0</v>
      </c>
    </row>
    <row r="32" spans="2:8" ht="24">
      <c r="B32" s="18"/>
      <c r="C32" s="29" t="s">
        <v>584</v>
      </c>
      <c r="D32" s="36" t="s">
        <v>711</v>
      </c>
      <c r="E32" s="15" t="s">
        <v>704</v>
      </c>
      <c r="F32" s="16" t="s">
        <v>644</v>
      </c>
      <c r="G32" s="92"/>
      <c r="H32" s="93">
        <f t="shared" si="1"/>
        <v>0</v>
      </c>
    </row>
    <row r="33" spans="2:8" ht="24">
      <c r="B33" s="18"/>
      <c r="C33" s="29" t="s">
        <v>585</v>
      </c>
      <c r="D33" s="36" t="s">
        <v>711</v>
      </c>
      <c r="E33" s="15" t="s">
        <v>698</v>
      </c>
      <c r="F33" s="16" t="s">
        <v>644</v>
      </c>
      <c r="G33" s="92"/>
      <c r="H33" s="93">
        <f t="shared" si="1"/>
        <v>0</v>
      </c>
    </row>
    <row r="34" spans="2:8" ht="24">
      <c r="B34" s="18"/>
      <c r="C34" s="29" t="s">
        <v>658</v>
      </c>
      <c r="D34" s="36" t="s">
        <v>711</v>
      </c>
      <c r="E34" s="15" t="s">
        <v>705</v>
      </c>
      <c r="F34" s="16" t="s">
        <v>644</v>
      </c>
      <c r="G34" s="92"/>
      <c r="H34" s="93">
        <f t="shared" si="1"/>
        <v>0</v>
      </c>
    </row>
    <row r="35" spans="2:8" ht="24">
      <c r="B35" s="18"/>
      <c r="C35" s="29" t="s">
        <v>659</v>
      </c>
      <c r="D35" s="36" t="s">
        <v>711</v>
      </c>
      <c r="E35" s="15" t="s">
        <v>698</v>
      </c>
      <c r="F35" s="16" t="s">
        <v>644</v>
      </c>
      <c r="G35" s="92"/>
      <c r="H35" s="93">
        <f t="shared" si="1"/>
        <v>0</v>
      </c>
    </row>
    <row r="36" spans="2:8" ht="24">
      <c r="B36" s="18"/>
      <c r="C36" s="29" t="s">
        <v>666</v>
      </c>
      <c r="D36" s="36" t="s">
        <v>712</v>
      </c>
      <c r="E36" s="15" t="s">
        <v>706</v>
      </c>
      <c r="F36" s="16" t="s">
        <v>645</v>
      </c>
      <c r="G36" s="92">
        <v>480</v>
      </c>
      <c r="H36" s="93">
        <f t="shared" si="1"/>
        <v>5760</v>
      </c>
    </row>
    <row r="37" spans="2:8" ht="24">
      <c r="B37" s="18"/>
      <c r="C37" s="29" t="s">
        <v>660</v>
      </c>
      <c r="D37" s="36" t="s">
        <v>712</v>
      </c>
      <c r="E37" s="15" t="s">
        <v>699</v>
      </c>
      <c r="F37" s="16" t="s">
        <v>645</v>
      </c>
      <c r="G37" s="92">
        <v>380</v>
      </c>
      <c r="H37" s="93">
        <f t="shared" si="1"/>
        <v>15960</v>
      </c>
    </row>
    <row r="38" spans="2:8" ht="24">
      <c r="B38" s="18"/>
      <c r="C38" s="29" t="s">
        <v>661</v>
      </c>
      <c r="D38" s="36" t="s">
        <v>712</v>
      </c>
      <c r="E38" s="15" t="s">
        <v>700</v>
      </c>
      <c r="F38" s="16" t="s">
        <v>645</v>
      </c>
      <c r="G38" s="92">
        <v>300</v>
      </c>
      <c r="H38" s="93">
        <f t="shared" si="1"/>
        <v>10800</v>
      </c>
    </row>
    <row r="39" spans="2:8" ht="24">
      <c r="B39" s="18"/>
      <c r="C39" s="29" t="s">
        <v>662</v>
      </c>
      <c r="D39" s="36" t="s">
        <v>712</v>
      </c>
      <c r="E39" s="15" t="s">
        <v>704</v>
      </c>
      <c r="F39" s="16" t="s">
        <v>645</v>
      </c>
      <c r="G39" s="92">
        <v>270</v>
      </c>
      <c r="H39" s="93">
        <f t="shared" si="1"/>
        <v>810</v>
      </c>
    </row>
    <row r="40" spans="2:8" ht="24">
      <c r="B40" s="18"/>
      <c r="C40" s="29" t="s">
        <v>586</v>
      </c>
      <c r="D40" s="36" t="s">
        <v>718</v>
      </c>
      <c r="E40" s="15" t="s">
        <v>695</v>
      </c>
      <c r="F40" s="16" t="s">
        <v>644</v>
      </c>
      <c r="G40" s="92">
        <v>400</v>
      </c>
      <c r="H40" s="93">
        <f t="shared" si="1"/>
        <v>400</v>
      </c>
    </row>
    <row r="41" spans="2:8" ht="24">
      <c r="B41" s="18"/>
      <c r="C41" s="29" t="s">
        <v>537</v>
      </c>
      <c r="D41" s="36" t="s">
        <v>713</v>
      </c>
      <c r="E41" s="15" t="s">
        <v>707</v>
      </c>
      <c r="F41" s="16" t="s">
        <v>644</v>
      </c>
      <c r="G41" s="92"/>
      <c r="H41" s="93">
        <f t="shared" si="1"/>
        <v>0</v>
      </c>
    </row>
    <row r="42" spans="2:8">
      <c r="B42" s="18"/>
      <c r="C42" s="29" t="s">
        <v>663</v>
      </c>
      <c r="D42" s="36" t="s">
        <v>714</v>
      </c>
      <c r="E42" s="15"/>
      <c r="F42" s="16" t="s">
        <v>644</v>
      </c>
      <c r="G42" s="92">
        <v>750</v>
      </c>
      <c r="H42" s="93">
        <f t="shared" si="1"/>
        <v>0</v>
      </c>
    </row>
    <row r="43" spans="2:8" ht="24">
      <c r="B43" s="18"/>
      <c r="C43" s="29" t="s">
        <v>587</v>
      </c>
      <c r="D43" s="36" t="s">
        <v>715</v>
      </c>
      <c r="E43" s="15" t="s">
        <v>695</v>
      </c>
      <c r="F43" s="16" t="s">
        <v>644</v>
      </c>
      <c r="G43" s="92">
        <v>1750</v>
      </c>
      <c r="H43" s="93">
        <f t="shared" si="1"/>
        <v>1750</v>
      </c>
    </row>
    <row r="44" spans="2:8" ht="24">
      <c r="B44" s="18"/>
      <c r="C44" s="29" t="s">
        <v>588</v>
      </c>
      <c r="D44" s="36" t="s">
        <v>719</v>
      </c>
      <c r="E44" s="15" t="s">
        <v>695</v>
      </c>
      <c r="F44" s="16" t="s">
        <v>644</v>
      </c>
      <c r="G44" s="92">
        <v>1250</v>
      </c>
      <c r="H44" s="93">
        <f t="shared" si="1"/>
        <v>1250</v>
      </c>
    </row>
    <row r="45" spans="2:8" ht="24">
      <c r="B45" s="18"/>
      <c r="C45" s="29" t="s">
        <v>589</v>
      </c>
      <c r="D45" s="36" t="s">
        <v>715</v>
      </c>
      <c r="E45" s="15" t="s">
        <v>695</v>
      </c>
      <c r="F45" s="16" t="s">
        <v>644</v>
      </c>
      <c r="G45" s="92">
        <v>3000</v>
      </c>
      <c r="H45" s="93">
        <f t="shared" si="1"/>
        <v>3000</v>
      </c>
    </row>
    <row r="46" spans="2:8" ht="36">
      <c r="B46" s="18"/>
      <c r="C46" s="29" t="s">
        <v>664</v>
      </c>
      <c r="D46" s="36" t="s">
        <v>717</v>
      </c>
      <c r="E46" s="15" t="s">
        <v>708</v>
      </c>
      <c r="F46" s="16" t="s">
        <v>644</v>
      </c>
      <c r="G46" s="92"/>
      <c r="H46" s="93">
        <f t="shared" si="1"/>
        <v>0</v>
      </c>
    </row>
    <row r="47" spans="2:8">
      <c r="B47" s="18">
        <v>3</v>
      </c>
      <c r="C47" s="31" t="s">
        <v>667</v>
      </c>
      <c r="D47" s="13"/>
      <c r="E47" s="12"/>
      <c r="F47" s="13"/>
      <c r="G47" s="92"/>
      <c r="H47" s="93"/>
    </row>
    <row r="48" spans="2:8" ht="24">
      <c r="B48" s="18"/>
      <c r="C48" s="29" t="s">
        <v>583</v>
      </c>
      <c r="D48" s="36" t="s">
        <v>710</v>
      </c>
      <c r="E48" s="15" t="s">
        <v>704</v>
      </c>
      <c r="F48" s="16" t="s">
        <v>644</v>
      </c>
      <c r="G48" s="92">
        <v>200</v>
      </c>
      <c r="H48" s="93">
        <f t="shared" ref="H48:H64" si="2">G48*E48</f>
        <v>600</v>
      </c>
    </row>
    <row r="49" spans="2:8">
      <c r="B49" s="18"/>
      <c r="C49" s="29" t="s">
        <v>654</v>
      </c>
      <c r="D49" s="36" t="s">
        <v>648</v>
      </c>
      <c r="E49" s="15" t="s">
        <v>695</v>
      </c>
      <c r="F49" s="16" t="s">
        <v>644</v>
      </c>
      <c r="G49" s="92">
        <v>750</v>
      </c>
      <c r="H49" s="93">
        <f t="shared" si="2"/>
        <v>750</v>
      </c>
    </row>
    <row r="50" spans="2:8" ht="24">
      <c r="B50" s="18"/>
      <c r="C50" s="29" t="s">
        <v>655</v>
      </c>
      <c r="D50" s="36" t="s">
        <v>711</v>
      </c>
      <c r="E50" s="15" t="s">
        <v>696</v>
      </c>
      <c r="F50" s="16" t="s">
        <v>644</v>
      </c>
      <c r="G50" s="92"/>
      <c r="H50" s="93">
        <f t="shared" si="2"/>
        <v>0</v>
      </c>
    </row>
    <row r="51" spans="2:8" ht="24">
      <c r="B51" s="18"/>
      <c r="C51" s="29" t="s">
        <v>656</v>
      </c>
      <c r="D51" s="36" t="s">
        <v>711</v>
      </c>
      <c r="E51" s="15" t="s">
        <v>704</v>
      </c>
      <c r="F51" s="16" t="s">
        <v>644</v>
      </c>
      <c r="G51" s="92"/>
      <c r="H51" s="93">
        <f t="shared" si="2"/>
        <v>0</v>
      </c>
    </row>
    <row r="52" spans="2:8" ht="24">
      <c r="B52" s="18"/>
      <c r="C52" s="29" t="s">
        <v>657</v>
      </c>
      <c r="D52" s="36" t="s">
        <v>711</v>
      </c>
      <c r="E52" s="15" t="s">
        <v>696</v>
      </c>
      <c r="F52" s="16" t="s">
        <v>644</v>
      </c>
      <c r="G52" s="92"/>
      <c r="H52" s="93">
        <f t="shared" si="2"/>
        <v>0</v>
      </c>
    </row>
    <row r="53" spans="2:8" ht="24">
      <c r="B53" s="18"/>
      <c r="C53" s="29" t="s">
        <v>658</v>
      </c>
      <c r="D53" s="36" t="s">
        <v>711</v>
      </c>
      <c r="E53" s="15" t="s">
        <v>709</v>
      </c>
      <c r="F53" s="16" t="s">
        <v>644</v>
      </c>
      <c r="G53" s="92"/>
      <c r="H53" s="93">
        <f t="shared" si="2"/>
        <v>0</v>
      </c>
    </row>
    <row r="54" spans="2:8" ht="24">
      <c r="B54" s="18"/>
      <c r="C54" s="29" t="s">
        <v>659</v>
      </c>
      <c r="D54" s="36" t="s">
        <v>711</v>
      </c>
      <c r="E54" s="15" t="s">
        <v>696</v>
      </c>
      <c r="F54" s="16" t="s">
        <v>644</v>
      </c>
      <c r="G54" s="92"/>
      <c r="H54" s="93">
        <f t="shared" si="2"/>
        <v>0</v>
      </c>
    </row>
    <row r="55" spans="2:8" ht="24">
      <c r="B55" s="18"/>
      <c r="C55" s="29" t="s">
        <v>660</v>
      </c>
      <c r="D55" s="36" t="s">
        <v>712</v>
      </c>
      <c r="E55" s="15" t="s">
        <v>707</v>
      </c>
      <c r="F55" s="16" t="s">
        <v>645</v>
      </c>
      <c r="G55" s="92">
        <v>380</v>
      </c>
      <c r="H55" s="93">
        <f t="shared" si="2"/>
        <v>11400</v>
      </c>
    </row>
    <row r="56" spans="2:8" ht="24">
      <c r="B56" s="18"/>
      <c r="C56" s="29" t="s">
        <v>661</v>
      </c>
      <c r="D56" s="36" t="s">
        <v>651</v>
      </c>
      <c r="E56" s="15">
        <v>12</v>
      </c>
      <c r="F56" s="16" t="s">
        <v>645</v>
      </c>
      <c r="G56" s="92">
        <v>300</v>
      </c>
      <c r="H56" s="93">
        <f t="shared" si="2"/>
        <v>3600</v>
      </c>
    </row>
    <row r="57" spans="2:8" ht="24">
      <c r="B57" s="18"/>
      <c r="C57" s="29" t="s">
        <v>662</v>
      </c>
      <c r="D57" s="36" t="s">
        <v>651</v>
      </c>
      <c r="E57" s="15">
        <v>1</v>
      </c>
      <c r="F57" s="16" t="s">
        <v>645</v>
      </c>
      <c r="G57" s="92">
        <v>270</v>
      </c>
      <c r="H57" s="93">
        <f t="shared" si="2"/>
        <v>270</v>
      </c>
    </row>
    <row r="58" spans="2:8" ht="24">
      <c r="B58" s="18"/>
      <c r="C58" s="29" t="s">
        <v>586</v>
      </c>
      <c r="D58" s="36" t="s">
        <v>720</v>
      </c>
      <c r="E58" s="15">
        <v>1</v>
      </c>
      <c r="F58" s="16" t="s">
        <v>644</v>
      </c>
      <c r="G58" s="92"/>
      <c r="H58" s="93">
        <f t="shared" si="2"/>
        <v>0</v>
      </c>
    </row>
    <row r="59" spans="2:8" ht="24">
      <c r="B59" s="18"/>
      <c r="C59" s="29" t="s">
        <v>537</v>
      </c>
      <c r="D59" s="36" t="s">
        <v>650</v>
      </c>
      <c r="E59" s="15">
        <v>14</v>
      </c>
      <c r="F59" s="16" t="s">
        <v>644</v>
      </c>
      <c r="G59" s="92"/>
      <c r="H59" s="93">
        <f t="shared" si="2"/>
        <v>0</v>
      </c>
    </row>
    <row r="60" spans="2:8">
      <c r="B60" s="18"/>
      <c r="C60" s="29" t="s">
        <v>663</v>
      </c>
      <c r="D60" s="36" t="s">
        <v>714</v>
      </c>
      <c r="E60" s="15"/>
      <c r="F60" s="16" t="s">
        <v>644</v>
      </c>
      <c r="G60" s="92">
        <v>750</v>
      </c>
      <c r="H60" s="93">
        <f t="shared" si="2"/>
        <v>0</v>
      </c>
    </row>
    <row r="61" spans="2:8" ht="24">
      <c r="B61" s="18"/>
      <c r="C61" s="29" t="s">
        <v>574</v>
      </c>
      <c r="D61" s="36" t="s">
        <v>647</v>
      </c>
      <c r="E61" s="15">
        <v>1</v>
      </c>
      <c r="F61" s="16" t="s">
        <v>644</v>
      </c>
      <c r="G61" s="92">
        <v>1250</v>
      </c>
      <c r="H61" s="93">
        <f t="shared" si="2"/>
        <v>1250</v>
      </c>
    </row>
    <row r="62" spans="2:8" ht="24">
      <c r="B62" s="18"/>
      <c r="C62" s="29" t="s">
        <v>602</v>
      </c>
      <c r="D62" s="36" t="s">
        <v>721</v>
      </c>
      <c r="E62" s="15">
        <v>1</v>
      </c>
      <c r="F62" s="16" t="s">
        <v>644</v>
      </c>
      <c r="G62" s="92">
        <v>1000</v>
      </c>
      <c r="H62" s="93">
        <f t="shared" si="2"/>
        <v>1000</v>
      </c>
    </row>
    <row r="63" spans="2:8" ht="24">
      <c r="B63" s="18"/>
      <c r="C63" s="29" t="s">
        <v>591</v>
      </c>
      <c r="D63" s="36" t="s">
        <v>647</v>
      </c>
      <c r="E63" s="15">
        <v>1</v>
      </c>
      <c r="F63" s="16" t="s">
        <v>644</v>
      </c>
      <c r="G63" s="92">
        <v>2500</v>
      </c>
      <c r="H63" s="93">
        <f t="shared" si="2"/>
        <v>2500</v>
      </c>
    </row>
    <row r="64" spans="2:8" ht="36">
      <c r="B64" s="18"/>
      <c r="C64" s="29" t="s">
        <v>668</v>
      </c>
      <c r="D64" s="36" t="s">
        <v>717</v>
      </c>
      <c r="E64" s="15">
        <v>9</v>
      </c>
      <c r="F64" s="16" t="s">
        <v>644</v>
      </c>
      <c r="G64" s="92"/>
      <c r="H64" s="93">
        <f t="shared" si="2"/>
        <v>0</v>
      </c>
    </row>
    <row r="65" spans="2:8">
      <c r="B65" s="18">
        <v>4</v>
      </c>
      <c r="C65" s="31" t="s">
        <v>669</v>
      </c>
      <c r="D65" s="13"/>
      <c r="E65" s="12"/>
      <c r="F65" s="13"/>
      <c r="G65" s="92"/>
      <c r="H65" s="93"/>
    </row>
    <row r="66" spans="2:8" ht="24">
      <c r="B66" s="18"/>
      <c r="C66" s="29" t="s">
        <v>583</v>
      </c>
      <c r="D66" s="36" t="s">
        <v>722</v>
      </c>
      <c r="E66" s="15">
        <v>8</v>
      </c>
      <c r="F66" s="16" t="s">
        <v>644</v>
      </c>
      <c r="G66" s="92">
        <v>200</v>
      </c>
      <c r="H66" s="93">
        <f t="shared" ref="H66:H83" si="3">G66*E66</f>
        <v>1600</v>
      </c>
    </row>
    <row r="67" spans="2:8">
      <c r="B67" s="18"/>
      <c r="C67" s="29" t="s">
        <v>654</v>
      </c>
      <c r="D67" s="36" t="s">
        <v>648</v>
      </c>
      <c r="E67" s="15">
        <v>1</v>
      </c>
      <c r="F67" s="16" t="s">
        <v>644</v>
      </c>
      <c r="G67" s="92">
        <v>750</v>
      </c>
      <c r="H67" s="93">
        <f t="shared" si="3"/>
        <v>750</v>
      </c>
    </row>
    <row r="68" spans="2:8" ht="24">
      <c r="B68" s="18"/>
      <c r="C68" s="29" t="s">
        <v>655</v>
      </c>
      <c r="D68" s="36" t="s">
        <v>649</v>
      </c>
      <c r="E68" s="15">
        <v>2</v>
      </c>
      <c r="F68" s="16" t="s">
        <v>644</v>
      </c>
      <c r="G68" s="92"/>
      <c r="H68" s="93">
        <f t="shared" si="3"/>
        <v>0</v>
      </c>
    </row>
    <row r="69" spans="2:8" ht="24">
      <c r="B69" s="18"/>
      <c r="C69" s="29" t="s">
        <v>656</v>
      </c>
      <c r="D69" s="36" t="s">
        <v>649</v>
      </c>
      <c r="E69" s="15">
        <v>8</v>
      </c>
      <c r="F69" s="16" t="s">
        <v>644</v>
      </c>
      <c r="G69" s="92"/>
      <c r="H69" s="93">
        <f t="shared" si="3"/>
        <v>0</v>
      </c>
    </row>
    <row r="70" spans="2:8" ht="24">
      <c r="B70" s="18"/>
      <c r="C70" s="29" t="s">
        <v>657</v>
      </c>
      <c r="D70" s="36" t="s">
        <v>649</v>
      </c>
      <c r="E70" s="15">
        <v>2</v>
      </c>
      <c r="F70" s="16" t="s">
        <v>644</v>
      </c>
      <c r="G70" s="92"/>
      <c r="H70" s="93">
        <f t="shared" si="3"/>
        <v>0</v>
      </c>
    </row>
    <row r="71" spans="2:8" ht="24">
      <c r="B71" s="18"/>
      <c r="C71" s="29" t="s">
        <v>658</v>
      </c>
      <c r="D71" s="36" t="s">
        <v>649</v>
      </c>
      <c r="E71" s="15">
        <v>24</v>
      </c>
      <c r="F71" s="16" t="s">
        <v>644</v>
      </c>
      <c r="G71" s="92"/>
      <c r="H71" s="93">
        <f t="shared" si="3"/>
        <v>0</v>
      </c>
    </row>
    <row r="72" spans="2:8" ht="24">
      <c r="B72" s="18"/>
      <c r="C72" s="29" t="s">
        <v>659</v>
      </c>
      <c r="D72" s="36" t="s">
        <v>649</v>
      </c>
      <c r="E72" s="15">
        <v>4</v>
      </c>
      <c r="F72" s="16" t="s">
        <v>644</v>
      </c>
      <c r="G72" s="92"/>
      <c r="H72" s="93">
        <f t="shared" si="3"/>
        <v>0</v>
      </c>
    </row>
    <row r="73" spans="2:8" ht="24">
      <c r="B73" s="18"/>
      <c r="C73" s="29" t="s">
        <v>660</v>
      </c>
      <c r="D73" s="36" t="s">
        <v>651</v>
      </c>
      <c r="E73" s="15">
        <v>42</v>
      </c>
      <c r="F73" s="16" t="s">
        <v>645</v>
      </c>
      <c r="G73" s="92">
        <v>420</v>
      </c>
      <c r="H73" s="93">
        <f t="shared" si="3"/>
        <v>17640</v>
      </c>
    </row>
    <row r="74" spans="2:8" ht="24">
      <c r="B74" s="18"/>
      <c r="C74" s="29" t="s">
        <v>661</v>
      </c>
      <c r="D74" s="36" t="s">
        <v>651</v>
      </c>
      <c r="E74" s="15">
        <v>24</v>
      </c>
      <c r="F74" s="16" t="s">
        <v>645</v>
      </c>
      <c r="G74" s="92">
        <v>300</v>
      </c>
      <c r="H74" s="93">
        <f t="shared" si="3"/>
        <v>7200</v>
      </c>
    </row>
    <row r="75" spans="2:8" ht="24">
      <c r="B75" s="18"/>
      <c r="C75" s="29" t="s">
        <v>662</v>
      </c>
      <c r="D75" s="36" t="s">
        <v>651</v>
      </c>
      <c r="E75" s="15">
        <v>2</v>
      </c>
      <c r="F75" s="16" t="s">
        <v>645</v>
      </c>
      <c r="G75" s="92">
        <v>270</v>
      </c>
      <c r="H75" s="93">
        <f t="shared" si="3"/>
        <v>540</v>
      </c>
    </row>
    <row r="76" spans="2:8" ht="24">
      <c r="B76" s="18"/>
      <c r="C76" s="29" t="s">
        <v>586</v>
      </c>
      <c r="D76" s="36" t="s">
        <v>720</v>
      </c>
      <c r="E76" s="15">
        <v>1</v>
      </c>
      <c r="F76" s="16" t="s">
        <v>644</v>
      </c>
      <c r="G76" s="92">
        <v>400</v>
      </c>
      <c r="H76" s="93">
        <f t="shared" si="3"/>
        <v>400</v>
      </c>
    </row>
    <row r="77" spans="2:8" ht="24">
      <c r="B77" s="18"/>
      <c r="C77" s="29" t="s">
        <v>586</v>
      </c>
      <c r="D77" s="36" t="s">
        <v>720</v>
      </c>
      <c r="E77" s="15">
        <v>1</v>
      </c>
      <c r="F77" s="16" t="s">
        <v>644</v>
      </c>
      <c r="G77" s="92">
        <v>400</v>
      </c>
      <c r="H77" s="93">
        <f t="shared" si="3"/>
        <v>400</v>
      </c>
    </row>
    <row r="78" spans="2:8" ht="24">
      <c r="B78" s="18"/>
      <c r="C78" s="29" t="s">
        <v>537</v>
      </c>
      <c r="D78" s="36" t="s">
        <v>650</v>
      </c>
      <c r="E78" s="15">
        <v>23</v>
      </c>
      <c r="F78" s="16" t="s">
        <v>644</v>
      </c>
      <c r="G78" s="92"/>
      <c r="H78" s="93">
        <f t="shared" si="3"/>
        <v>0</v>
      </c>
    </row>
    <row r="79" spans="2:8">
      <c r="B79" s="18"/>
      <c r="C79" s="29" t="s">
        <v>663</v>
      </c>
      <c r="D79" s="36" t="s">
        <v>714</v>
      </c>
      <c r="E79" s="15"/>
      <c r="F79" s="16" t="s">
        <v>644</v>
      </c>
      <c r="G79" s="92"/>
      <c r="H79" s="93">
        <f t="shared" si="3"/>
        <v>0</v>
      </c>
    </row>
    <row r="80" spans="2:8" ht="24">
      <c r="B80" s="18"/>
      <c r="C80" s="29" t="s">
        <v>574</v>
      </c>
      <c r="D80" s="36" t="s">
        <v>647</v>
      </c>
      <c r="E80" s="15">
        <v>1</v>
      </c>
      <c r="F80" s="16" t="s">
        <v>644</v>
      </c>
      <c r="G80" s="92">
        <v>1000</v>
      </c>
      <c r="H80" s="93">
        <f t="shared" si="3"/>
        <v>1000</v>
      </c>
    </row>
    <row r="81" spans="2:8" ht="24">
      <c r="B81" s="18"/>
      <c r="C81" s="29" t="s">
        <v>602</v>
      </c>
      <c r="D81" s="36" t="s">
        <v>721</v>
      </c>
      <c r="E81" s="15">
        <v>1</v>
      </c>
      <c r="F81" s="16" t="s">
        <v>644</v>
      </c>
      <c r="G81" s="92">
        <v>1000</v>
      </c>
      <c r="H81" s="93">
        <f t="shared" si="3"/>
        <v>1000</v>
      </c>
    </row>
    <row r="82" spans="2:8" ht="24">
      <c r="B82" s="18"/>
      <c r="C82" s="29" t="s">
        <v>591</v>
      </c>
      <c r="D82" s="36" t="s">
        <v>647</v>
      </c>
      <c r="E82" s="15">
        <v>1</v>
      </c>
      <c r="F82" s="16" t="s">
        <v>644</v>
      </c>
      <c r="G82" s="92">
        <v>2500</v>
      </c>
      <c r="H82" s="93">
        <f t="shared" si="3"/>
        <v>2500</v>
      </c>
    </row>
    <row r="83" spans="2:8" ht="36">
      <c r="B83" s="18"/>
      <c r="C83" s="29" t="s">
        <v>668</v>
      </c>
      <c r="D83" s="36" t="s">
        <v>717</v>
      </c>
      <c r="E83" s="15">
        <v>18</v>
      </c>
      <c r="F83" s="16" t="s">
        <v>644</v>
      </c>
      <c r="G83" s="92"/>
      <c r="H83" s="93">
        <f t="shared" si="3"/>
        <v>0</v>
      </c>
    </row>
    <row r="84" spans="2:8">
      <c r="B84" s="18">
        <v>5</v>
      </c>
      <c r="C84" s="31" t="s">
        <v>671</v>
      </c>
      <c r="D84" s="13"/>
      <c r="E84" s="12"/>
      <c r="F84" s="13"/>
      <c r="G84" s="92"/>
      <c r="H84" s="93"/>
    </row>
    <row r="85" spans="2:8" ht="24">
      <c r="B85" s="18"/>
      <c r="C85" s="29" t="s">
        <v>583</v>
      </c>
      <c r="D85" s="36" t="s">
        <v>722</v>
      </c>
      <c r="E85" s="15">
        <v>9</v>
      </c>
      <c r="F85" s="16" t="s">
        <v>644</v>
      </c>
      <c r="G85" s="92">
        <v>200</v>
      </c>
      <c r="H85" s="93">
        <f t="shared" ref="H85:H99" si="4">G85*E85</f>
        <v>1800</v>
      </c>
    </row>
    <row r="86" spans="2:8">
      <c r="B86" s="18"/>
      <c r="C86" s="29" t="s">
        <v>654</v>
      </c>
      <c r="D86" s="36" t="s">
        <v>648</v>
      </c>
      <c r="E86" s="15">
        <v>1</v>
      </c>
      <c r="F86" s="16" t="s">
        <v>644</v>
      </c>
      <c r="G86" s="92">
        <v>750</v>
      </c>
      <c r="H86" s="93">
        <f t="shared" si="4"/>
        <v>750</v>
      </c>
    </row>
    <row r="87" spans="2:8" ht="24">
      <c r="B87" s="18"/>
      <c r="C87" s="29" t="s">
        <v>655</v>
      </c>
      <c r="D87" s="36" t="s">
        <v>649</v>
      </c>
      <c r="E87" s="15">
        <v>2</v>
      </c>
      <c r="F87" s="16" t="s">
        <v>644</v>
      </c>
      <c r="G87" s="92"/>
      <c r="H87" s="93">
        <f t="shared" si="4"/>
        <v>0</v>
      </c>
    </row>
    <row r="88" spans="2:8" ht="24">
      <c r="B88" s="18"/>
      <c r="C88" s="29" t="s">
        <v>656</v>
      </c>
      <c r="D88" s="36" t="s">
        <v>649</v>
      </c>
      <c r="E88" s="15">
        <v>9</v>
      </c>
      <c r="F88" s="16" t="s">
        <v>644</v>
      </c>
      <c r="G88" s="92"/>
      <c r="H88" s="93">
        <f t="shared" si="4"/>
        <v>0</v>
      </c>
    </row>
    <row r="89" spans="2:8" ht="24">
      <c r="B89" s="18"/>
      <c r="C89" s="29" t="s">
        <v>660</v>
      </c>
      <c r="D89" s="36" t="s">
        <v>651</v>
      </c>
      <c r="E89" s="15">
        <v>48</v>
      </c>
      <c r="F89" s="16" t="s">
        <v>645</v>
      </c>
      <c r="G89" s="92">
        <v>420</v>
      </c>
      <c r="H89" s="93">
        <f t="shared" si="4"/>
        <v>20160</v>
      </c>
    </row>
    <row r="90" spans="2:8" ht="24">
      <c r="B90" s="18"/>
      <c r="C90" s="29" t="s">
        <v>661</v>
      </c>
      <c r="D90" s="36" t="s">
        <v>651</v>
      </c>
      <c r="E90" s="15">
        <v>30</v>
      </c>
      <c r="F90" s="16" t="s">
        <v>645</v>
      </c>
      <c r="G90" s="92">
        <v>300</v>
      </c>
      <c r="H90" s="93">
        <f t="shared" si="4"/>
        <v>9000</v>
      </c>
    </row>
    <row r="91" spans="2:8" ht="24">
      <c r="B91" s="18"/>
      <c r="C91" s="29" t="s">
        <v>662</v>
      </c>
      <c r="D91" s="36" t="s">
        <v>651</v>
      </c>
      <c r="E91" s="15">
        <v>2</v>
      </c>
      <c r="F91" s="16" t="s">
        <v>645</v>
      </c>
      <c r="G91" s="92">
        <v>270</v>
      </c>
      <c r="H91" s="93">
        <f t="shared" si="4"/>
        <v>540</v>
      </c>
    </row>
    <row r="92" spans="2:8" ht="24">
      <c r="B92" s="18"/>
      <c r="C92" s="29" t="s">
        <v>670</v>
      </c>
      <c r="D92" s="36" t="s">
        <v>720</v>
      </c>
      <c r="E92" s="15">
        <v>1</v>
      </c>
      <c r="F92" s="16" t="s">
        <v>644</v>
      </c>
      <c r="G92" s="92">
        <v>400</v>
      </c>
      <c r="H92" s="93">
        <f t="shared" si="4"/>
        <v>400</v>
      </c>
    </row>
    <row r="93" spans="2:8" ht="24">
      <c r="B93" s="18"/>
      <c r="C93" s="29" t="s">
        <v>586</v>
      </c>
      <c r="D93" s="36" t="s">
        <v>720</v>
      </c>
      <c r="E93" s="15">
        <v>1</v>
      </c>
      <c r="F93" s="16" t="s">
        <v>644</v>
      </c>
      <c r="G93" s="92">
        <v>400</v>
      </c>
      <c r="H93" s="93">
        <f t="shared" si="4"/>
        <v>400</v>
      </c>
    </row>
    <row r="94" spans="2:8" ht="24">
      <c r="B94" s="18"/>
      <c r="C94" s="29" t="s">
        <v>537</v>
      </c>
      <c r="D94" s="36" t="s">
        <v>650</v>
      </c>
      <c r="E94" s="15">
        <v>27</v>
      </c>
      <c r="F94" s="16" t="s">
        <v>644</v>
      </c>
      <c r="G94" s="92"/>
      <c r="H94" s="93">
        <f t="shared" si="4"/>
        <v>0</v>
      </c>
    </row>
    <row r="95" spans="2:8">
      <c r="B95" s="18"/>
      <c r="C95" s="29" t="s">
        <v>663</v>
      </c>
      <c r="D95" s="36" t="s">
        <v>714</v>
      </c>
      <c r="E95" s="15"/>
      <c r="F95" s="16" t="s">
        <v>644</v>
      </c>
      <c r="G95" s="92">
        <v>750</v>
      </c>
      <c r="H95" s="93">
        <f t="shared" si="4"/>
        <v>0</v>
      </c>
    </row>
    <row r="96" spans="2:8" ht="24">
      <c r="B96" s="18"/>
      <c r="C96" s="29" t="s">
        <v>574</v>
      </c>
      <c r="D96" s="36" t="s">
        <v>647</v>
      </c>
      <c r="E96" s="15">
        <v>1</v>
      </c>
      <c r="F96" s="16" t="s">
        <v>644</v>
      </c>
      <c r="G96" s="92">
        <v>1000</v>
      </c>
      <c r="H96" s="93">
        <f t="shared" si="4"/>
        <v>1000</v>
      </c>
    </row>
    <row r="97" spans="2:8" ht="24">
      <c r="B97" s="18"/>
      <c r="C97" s="29" t="s">
        <v>602</v>
      </c>
      <c r="D97" s="36" t="s">
        <v>721</v>
      </c>
      <c r="E97" s="15">
        <v>1</v>
      </c>
      <c r="F97" s="16" t="s">
        <v>644</v>
      </c>
      <c r="G97" s="92">
        <v>1000</v>
      </c>
      <c r="H97" s="93">
        <f t="shared" si="4"/>
        <v>1000</v>
      </c>
    </row>
    <row r="98" spans="2:8" ht="24">
      <c r="B98" s="18"/>
      <c r="C98" s="29" t="s">
        <v>591</v>
      </c>
      <c r="D98" s="36" t="s">
        <v>647</v>
      </c>
      <c r="E98" s="15">
        <v>1</v>
      </c>
      <c r="F98" s="16" t="s">
        <v>644</v>
      </c>
      <c r="G98" s="92">
        <v>2500</v>
      </c>
      <c r="H98" s="93">
        <f t="shared" si="4"/>
        <v>2500</v>
      </c>
    </row>
    <row r="99" spans="2:8" ht="36">
      <c r="B99" s="18"/>
      <c r="C99" s="29" t="s">
        <v>668</v>
      </c>
      <c r="D99" s="36" t="s">
        <v>717</v>
      </c>
      <c r="E99" s="15">
        <v>21</v>
      </c>
      <c r="F99" s="16" t="s">
        <v>644</v>
      </c>
      <c r="G99" s="92"/>
      <c r="H99" s="93">
        <f t="shared" si="4"/>
        <v>0</v>
      </c>
    </row>
    <row r="100" spans="2:8">
      <c r="B100" s="18">
        <v>6</v>
      </c>
      <c r="C100" s="31" t="s">
        <v>672</v>
      </c>
      <c r="D100" s="13"/>
      <c r="E100" s="12"/>
      <c r="F100" s="13"/>
      <c r="G100" s="92"/>
      <c r="H100" s="93"/>
    </row>
    <row r="101" spans="2:8" ht="24">
      <c r="B101" s="18"/>
      <c r="C101" s="29" t="s">
        <v>583</v>
      </c>
      <c r="D101" s="36" t="s">
        <v>722</v>
      </c>
      <c r="E101" s="15">
        <v>25</v>
      </c>
      <c r="F101" s="16" t="s">
        <v>644</v>
      </c>
      <c r="G101" s="92">
        <v>200</v>
      </c>
      <c r="H101" s="93">
        <f t="shared" ref="H101:H119" si="5">G101*E101</f>
        <v>5000</v>
      </c>
    </row>
    <row r="102" spans="2:8">
      <c r="B102" s="18"/>
      <c r="C102" s="29" t="s">
        <v>654</v>
      </c>
      <c r="D102" s="36" t="s">
        <v>648</v>
      </c>
      <c r="E102" s="15">
        <v>1</v>
      </c>
      <c r="F102" s="16" t="s">
        <v>644</v>
      </c>
      <c r="G102" s="92">
        <v>750</v>
      </c>
      <c r="H102" s="93">
        <f t="shared" si="5"/>
        <v>750</v>
      </c>
    </row>
    <row r="103" spans="2:8" ht="24">
      <c r="B103" s="18"/>
      <c r="C103" s="29" t="s">
        <v>673</v>
      </c>
      <c r="D103" s="36" t="s">
        <v>649</v>
      </c>
      <c r="E103" s="15">
        <v>2</v>
      </c>
      <c r="F103" s="16" t="s">
        <v>644</v>
      </c>
      <c r="G103" s="92"/>
      <c r="H103" s="93">
        <f t="shared" si="5"/>
        <v>0</v>
      </c>
    </row>
    <row r="104" spans="2:8" ht="24">
      <c r="B104" s="18"/>
      <c r="C104" s="29" t="s">
        <v>674</v>
      </c>
      <c r="D104" s="36" t="s">
        <v>649</v>
      </c>
      <c r="E104" s="15">
        <v>25</v>
      </c>
      <c r="F104" s="16" t="s">
        <v>644</v>
      </c>
      <c r="G104" s="92"/>
      <c r="H104" s="93">
        <f t="shared" si="5"/>
        <v>0</v>
      </c>
    </row>
    <row r="105" spans="2:8" ht="24">
      <c r="B105" s="18"/>
      <c r="C105" s="29" t="s">
        <v>596</v>
      </c>
      <c r="D105" s="36" t="s">
        <v>649</v>
      </c>
      <c r="E105" s="15">
        <v>2</v>
      </c>
      <c r="F105" s="16" t="s">
        <v>644</v>
      </c>
      <c r="G105" s="92"/>
      <c r="H105" s="93">
        <f t="shared" si="5"/>
        <v>0</v>
      </c>
    </row>
    <row r="106" spans="2:8" ht="24">
      <c r="B106" s="18"/>
      <c r="C106" s="29" t="s">
        <v>597</v>
      </c>
      <c r="D106" s="36" t="s">
        <v>649</v>
      </c>
      <c r="E106" s="15">
        <v>15</v>
      </c>
      <c r="F106" s="16" t="s">
        <v>644</v>
      </c>
      <c r="G106" s="92"/>
      <c r="H106" s="93">
        <f t="shared" si="5"/>
        <v>0</v>
      </c>
    </row>
    <row r="107" spans="2:8" ht="24">
      <c r="B107" s="18"/>
      <c r="C107" s="29" t="s">
        <v>585</v>
      </c>
      <c r="D107" s="36" t="s">
        <v>649</v>
      </c>
      <c r="E107" s="15">
        <v>21</v>
      </c>
      <c r="F107" s="16" t="s">
        <v>644</v>
      </c>
      <c r="G107" s="92"/>
      <c r="H107" s="93">
        <f t="shared" si="5"/>
        <v>0</v>
      </c>
    </row>
    <row r="108" spans="2:8" ht="24">
      <c r="B108" s="18"/>
      <c r="C108" s="29" t="s">
        <v>658</v>
      </c>
      <c r="D108" s="36" t="s">
        <v>649</v>
      </c>
      <c r="E108" s="15">
        <v>13</v>
      </c>
      <c r="F108" s="16" t="s">
        <v>644</v>
      </c>
      <c r="G108" s="92"/>
      <c r="H108" s="93">
        <f t="shared" si="5"/>
        <v>0</v>
      </c>
    </row>
    <row r="109" spans="2:8" ht="24">
      <c r="B109" s="18"/>
      <c r="C109" s="29" t="s">
        <v>595</v>
      </c>
      <c r="D109" s="36" t="s">
        <v>651</v>
      </c>
      <c r="E109" s="15">
        <v>24</v>
      </c>
      <c r="F109" s="16" t="s">
        <v>645</v>
      </c>
      <c r="G109" s="92">
        <v>550</v>
      </c>
      <c r="H109" s="93">
        <f t="shared" si="5"/>
        <v>13200</v>
      </c>
    </row>
    <row r="110" spans="2:8" ht="24">
      <c r="B110" s="18"/>
      <c r="C110" s="29" t="s">
        <v>666</v>
      </c>
      <c r="D110" s="36" t="s">
        <v>651</v>
      </c>
      <c r="E110" s="15">
        <v>78</v>
      </c>
      <c r="F110" s="16" t="s">
        <v>645</v>
      </c>
      <c r="G110" s="92">
        <v>480</v>
      </c>
      <c r="H110" s="93">
        <f t="shared" si="5"/>
        <v>37440</v>
      </c>
    </row>
    <row r="111" spans="2:8" ht="24">
      <c r="B111" s="18"/>
      <c r="C111" s="29" t="s">
        <v>590</v>
      </c>
      <c r="D111" s="36" t="s">
        <v>651</v>
      </c>
      <c r="E111" s="15">
        <v>78</v>
      </c>
      <c r="F111" s="16" t="s">
        <v>645</v>
      </c>
      <c r="G111" s="92">
        <v>380</v>
      </c>
      <c r="H111" s="93">
        <f t="shared" si="5"/>
        <v>29640</v>
      </c>
    </row>
    <row r="112" spans="2:8" ht="24">
      <c r="B112" s="18"/>
      <c r="C112" s="29" t="s">
        <v>662</v>
      </c>
      <c r="D112" s="36" t="s">
        <v>651</v>
      </c>
      <c r="E112" s="15">
        <v>5</v>
      </c>
      <c r="F112" s="16" t="s">
        <v>645</v>
      </c>
      <c r="G112" s="92">
        <v>270</v>
      </c>
      <c r="H112" s="93">
        <f t="shared" si="5"/>
        <v>1350</v>
      </c>
    </row>
    <row r="113" spans="2:8" ht="24">
      <c r="B113" s="18"/>
      <c r="C113" s="29" t="s">
        <v>598</v>
      </c>
      <c r="D113" s="36" t="s">
        <v>720</v>
      </c>
      <c r="E113" s="15">
        <v>1</v>
      </c>
      <c r="F113" s="16" t="s">
        <v>644</v>
      </c>
      <c r="G113" s="92">
        <v>400</v>
      </c>
      <c r="H113" s="93">
        <f t="shared" si="5"/>
        <v>400</v>
      </c>
    </row>
    <row r="114" spans="2:8" ht="24">
      <c r="B114" s="18"/>
      <c r="C114" s="29" t="s">
        <v>537</v>
      </c>
      <c r="D114" s="36" t="s">
        <v>650</v>
      </c>
      <c r="E114" s="15">
        <v>60</v>
      </c>
      <c r="F114" s="16" t="s">
        <v>644</v>
      </c>
      <c r="G114" s="92"/>
      <c r="H114" s="93">
        <f t="shared" si="5"/>
        <v>0</v>
      </c>
    </row>
    <row r="115" spans="2:8">
      <c r="B115" s="18"/>
      <c r="C115" s="29" t="s">
        <v>663</v>
      </c>
      <c r="D115" s="36" t="s">
        <v>714</v>
      </c>
      <c r="E115" s="15"/>
      <c r="F115" s="16" t="s">
        <v>644</v>
      </c>
      <c r="G115" s="92">
        <v>750</v>
      </c>
      <c r="H115" s="93">
        <f t="shared" si="5"/>
        <v>0</v>
      </c>
    </row>
    <row r="116" spans="2:8" ht="24">
      <c r="B116" s="18"/>
      <c r="C116" s="29" t="s">
        <v>599</v>
      </c>
      <c r="D116" s="36" t="s">
        <v>647</v>
      </c>
      <c r="E116" s="15">
        <v>1</v>
      </c>
      <c r="F116" s="16" t="s">
        <v>644</v>
      </c>
      <c r="G116" s="92">
        <v>2000</v>
      </c>
      <c r="H116" s="93">
        <f t="shared" si="5"/>
        <v>2000</v>
      </c>
    </row>
    <row r="117" spans="2:8" ht="36">
      <c r="B117" s="18"/>
      <c r="C117" s="29" t="s">
        <v>601</v>
      </c>
      <c r="D117" s="36" t="s">
        <v>723</v>
      </c>
      <c r="E117" s="15">
        <v>1</v>
      </c>
      <c r="F117" s="16" t="s">
        <v>644</v>
      </c>
      <c r="G117" s="92">
        <v>1250</v>
      </c>
      <c r="H117" s="93">
        <f t="shared" si="5"/>
        <v>1250</v>
      </c>
    </row>
    <row r="118" spans="2:8" ht="24">
      <c r="B118" s="18"/>
      <c r="C118" s="29" t="s">
        <v>600</v>
      </c>
      <c r="D118" s="36" t="s">
        <v>647</v>
      </c>
      <c r="E118" s="15">
        <v>1</v>
      </c>
      <c r="F118" s="16" t="s">
        <v>644</v>
      </c>
      <c r="G118" s="92">
        <v>5000</v>
      </c>
      <c r="H118" s="93">
        <f t="shared" si="5"/>
        <v>5000</v>
      </c>
    </row>
    <row r="119" spans="2:8" ht="36">
      <c r="B119" s="18"/>
      <c r="C119" s="29" t="s">
        <v>668</v>
      </c>
      <c r="D119" s="36" t="s">
        <v>717</v>
      </c>
      <c r="E119" s="15">
        <v>63</v>
      </c>
      <c r="F119" s="16" t="s">
        <v>644</v>
      </c>
      <c r="G119" s="92"/>
      <c r="H119" s="93">
        <f t="shared" si="5"/>
        <v>0</v>
      </c>
    </row>
    <row r="120" spans="2:8">
      <c r="B120" s="18">
        <v>7</v>
      </c>
      <c r="C120" s="31" t="s">
        <v>675</v>
      </c>
      <c r="D120" s="13"/>
      <c r="E120" s="12"/>
      <c r="F120" s="13"/>
      <c r="G120" s="92"/>
      <c r="H120" s="93"/>
    </row>
    <row r="121" spans="2:8" ht="24">
      <c r="B121" s="18"/>
      <c r="C121" s="29" t="s">
        <v>583</v>
      </c>
      <c r="D121" s="36" t="s">
        <v>722</v>
      </c>
      <c r="E121" s="15">
        <v>13</v>
      </c>
      <c r="F121" s="16" t="s">
        <v>644</v>
      </c>
      <c r="G121" s="92">
        <v>200</v>
      </c>
      <c r="H121" s="93">
        <f t="shared" ref="H121:H139" si="6">G121*E121</f>
        <v>2600</v>
      </c>
    </row>
    <row r="122" spans="2:8">
      <c r="B122" s="18"/>
      <c r="C122" s="29" t="s">
        <v>654</v>
      </c>
      <c r="D122" s="36" t="s">
        <v>648</v>
      </c>
      <c r="E122" s="15">
        <v>1</v>
      </c>
      <c r="F122" s="16" t="s">
        <v>644</v>
      </c>
      <c r="G122" s="92">
        <v>750</v>
      </c>
      <c r="H122" s="93">
        <f t="shared" si="6"/>
        <v>750</v>
      </c>
    </row>
    <row r="123" spans="2:8" ht="24">
      <c r="B123" s="18"/>
      <c r="C123" s="29" t="s">
        <v>655</v>
      </c>
      <c r="D123" s="36" t="s">
        <v>649</v>
      </c>
      <c r="E123" s="15">
        <v>2</v>
      </c>
      <c r="F123" s="16" t="s">
        <v>644</v>
      </c>
      <c r="G123" s="92"/>
      <c r="H123" s="93">
        <f t="shared" si="6"/>
        <v>0</v>
      </c>
    </row>
    <row r="124" spans="2:8" ht="24">
      <c r="B124" s="18"/>
      <c r="C124" s="29" t="s">
        <v>656</v>
      </c>
      <c r="D124" s="36" t="s">
        <v>649</v>
      </c>
      <c r="E124" s="15">
        <v>13</v>
      </c>
      <c r="F124" s="16" t="s">
        <v>644</v>
      </c>
      <c r="G124" s="92"/>
      <c r="H124" s="93">
        <f t="shared" si="6"/>
        <v>0</v>
      </c>
    </row>
    <row r="125" spans="2:8" ht="24">
      <c r="B125" s="18"/>
      <c r="C125" s="29" t="s">
        <v>584</v>
      </c>
      <c r="D125" s="36" t="s">
        <v>649</v>
      </c>
      <c r="E125" s="15">
        <v>2</v>
      </c>
      <c r="F125" s="16" t="s">
        <v>644</v>
      </c>
      <c r="G125" s="92"/>
      <c r="H125" s="93">
        <f t="shared" si="6"/>
        <v>0</v>
      </c>
    </row>
    <row r="126" spans="2:8" ht="24">
      <c r="B126" s="18"/>
      <c r="C126" s="29" t="s">
        <v>585</v>
      </c>
      <c r="D126" s="36" t="s">
        <v>649</v>
      </c>
      <c r="E126" s="15">
        <v>13</v>
      </c>
      <c r="F126" s="16" t="s">
        <v>644</v>
      </c>
      <c r="G126" s="92"/>
      <c r="H126" s="93">
        <f t="shared" si="6"/>
        <v>0</v>
      </c>
    </row>
    <row r="127" spans="2:8" ht="24">
      <c r="B127" s="18"/>
      <c r="C127" s="29" t="s">
        <v>658</v>
      </c>
      <c r="D127" s="36" t="s">
        <v>649</v>
      </c>
      <c r="E127" s="15">
        <v>11</v>
      </c>
      <c r="F127" s="16" t="s">
        <v>644</v>
      </c>
      <c r="G127" s="92"/>
      <c r="H127" s="93">
        <f t="shared" si="6"/>
        <v>0</v>
      </c>
    </row>
    <row r="128" spans="2:8" ht="24">
      <c r="B128" s="18"/>
      <c r="C128" s="29" t="s">
        <v>659</v>
      </c>
      <c r="D128" s="36" t="s">
        <v>649</v>
      </c>
      <c r="E128" s="15">
        <v>7</v>
      </c>
      <c r="F128" s="16" t="s">
        <v>644</v>
      </c>
      <c r="G128" s="92"/>
      <c r="H128" s="93">
        <f t="shared" si="6"/>
        <v>0</v>
      </c>
    </row>
    <row r="129" spans="2:8" ht="24">
      <c r="B129" s="18"/>
      <c r="C129" s="29" t="s">
        <v>666</v>
      </c>
      <c r="D129" s="36" t="s">
        <v>651</v>
      </c>
      <c r="E129" s="15">
        <v>12</v>
      </c>
      <c r="F129" s="16" t="s">
        <v>645</v>
      </c>
      <c r="G129" s="92">
        <v>480</v>
      </c>
      <c r="H129" s="93">
        <f t="shared" si="6"/>
        <v>5760</v>
      </c>
    </row>
    <row r="130" spans="2:8" ht="24">
      <c r="B130" s="18"/>
      <c r="C130" s="29" t="s">
        <v>590</v>
      </c>
      <c r="D130" s="36" t="s">
        <v>651</v>
      </c>
      <c r="E130" s="15">
        <v>42</v>
      </c>
      <c r="F130" s="16" t="s">
        <v>645</v>
      </c>
      <c r="G130" s="92">
        <v>380</v>
      </c>
      <c r="H130" s="93">
        <f t="shared" si="6"/>
        <v>15960</v>
      </c>
    </row>
    <row r="131" spans="2:8" ht="24">
      <c r="B131" s="18"/>
      <c r="C131" s="29" t="s">
        <v>661</v>
      </c>
      <c r="D131" s="36" t="s">
        <v>651</v>
      </c>
      <c r="E131" s="15">
        <v>42</v>
      </c>
      <c r="F131" s="16" t="s">
        <v>645</v>
      </c>
      <c r="G131" s="92">
        <v>300</v>
      </c>
      <c r="H131" s="93">
        <f t="shared" si="6"/>
        <v>12600</v>
      </c>
    </row>
    <row r="132" spans="2:8" ht="24">
      <c r="B132" s="18"/>
      <c r="C132" s="29" t="s">
        <v>662</v>
      </c>
      <c r="D132" s="36" t="s">
        <v>651</v>
      </c>
      <c r="E132" s="15">
        <v>3</v>
      </c>
      <c r="F132" s="16" t="s">
        <v>645</v>
      </c>
      <c r="G132" s="92">
        <v>270</v>
      </c>
      <c r="H132" s="93">
        <f t="shared" si="6"/>
        <v>810</v>
      </c>
    </row>
    <row r="133" spans="2:8" ht="24">
      <c r="B133" s="18"/>
      <c r="C133" s="29" t="s">
        <v>586</v>
      </c>
      <c r="D133" s="36" t="s">
        <v>720</v>
      </c>
      <c r="E133" s="15">
        <v>1</v>
      </c>
      <c r="F133" s="16" t="s">
        <v>644</v>
      </c>
      <c r="G133" s="92">
        <v>400</v>
      </c>
      <c r="H133" s="93">
        <f t="shared" si="6"/>
        <v>400</v>
      </c>
    </row>
    <row r="134" spans="2:8" ht="24">
      <c r="B134" s="18"/>
      <c r="C134" s="29" t="s">
        <v>537</v>
      </c>
      <c r="D134" s="36" t="s">
        <v>650</v>
      </c>
      <c r="E134" s="15">
        <v>33</v>
      </c>
      <c r="F134" s="16" t="s">
        <v>644</v>
      </c>
      <c r="G134" s="92"/>
      <c r="H134" s="93">
        <f t="shared" si="6"/>
        <v>0</v>
      </c>
    </row>
    <row r="135" spans="2:8">
      <c r="B135" s="18"/>
      <c r="C135" s="29" t="s">
        <v>663</v>
      </c>
      <c r="D135" s="36" t="s">
        <v>714</v>
      </c>
      <c r="E135" s="15"/>
      <c r="F135" s="16" t="s">
        <v>644</v>
      </c>
      <c r="G135" s="92">
        <v>750</v>
      </c>
      <c r="H135" s="93">
        <f t="shared" si="6"/>
        <v>0</v>
      </c>
    </row>
    <row r="136" spans="2:8" ht="24">
      <c r="B136" s="18"/>
      <c r="C136" s="29" t="s">
        <v>587</v>
      </c>
      <c r="D136" s="36" t="s">
        <v>647</v>
      </c>
      <c r="E136" s="15">
        <v>1</v>
      </c>
      <c r="F136" s="16" t="s">
        <v>644</v>
      </c>
      <c r="G136" s="92">
        <v>1750</v>
      </c>
      <c r="H136" s="93">
        <f t="shared" si="6"/>
        <v>1750</v>
      </c>
    </row>
    <row r="137" spans="2:8" ht="36">
      <c r="B137" s="18"/>
      <c r="C137" s="29" t="s">
        <v>588</v>
      </c>
      <c r="D137" s="36" t="s">
        <v>723</v>
      </c>
      <c r="E137" s="15">
        <v>1</v>
      </c>
      <c r="F137" s="16" t="s">
        <v>644</v>
      </c>
      <c r="G137" s="92">
        <v>1250</v>
      </c>
      <c r="H137" s="93">
        <f t="shared" si="6"/>
        <v>1250</v>
      </c>
    </row>
    <row r="138" spans="2:8" ht="24">
      <c r="B138" s="18"/>
      <c r="C138" s="29" t="s">
        <v>589</v>
      </c>
      <c r="D138" s="36" t="s">
        <v>647</v>
      </c>
      <c r="E138" s="15">
        <v>1</v>
      </c>
      <c r="F138" s="16" t="s">
        <v>644</v>
      </c>
      <c r="G138" s="92">
        <v>3000</v>
      </c>
      <c r="H138" s="93">
        <f t="shared" si="6"/>
        <v>3000</v>
      </c>
    </row>
    <row r="139" spans="2:8" ht="36">
      <c r="B139" s="18"/>
      <c r="C139" s="29" t="s">
        <v>668</v>
      </c>
      <c r="D139" s="36" t="s">
        <v>717</v>
      </c>
      <c r="E139" s="15">
        <v>33</v>
      </c>
      <c r="F139" s="16" t="s">
        <v>644</v>
      </c>
      <c r="G139" s="92"/>
      <c r="H139" s="93">
        <f t="shared" si="6"/>
        <v>0</v>
      </c>
    </row>
    <row r="140" spans="2:8">
      <c r="B140" s="18">
        <v>8</v>
      </c>
      <c r="C140" s="31" t="s">
        <v>676</v>
      </c>
      <c r="D140" s="13"/>
      <c r="E140" s="12"/>
      <c r="F140" s="13"/>
      <c r="G140" s="92"/>
      <c r="H140" s="93"/>
    </row>
    <row r="141" spans="2:8" ht="24">
      <c r="B141" s="18"/>
      <c r="C141" s="29" t="s">
        <v>583</v>
      </c>
      <c r="D141" s="36" t="s">
        <v>722</v>
      </c>
      <c r="E141" s="15">
        <v>13</v>
      </c>
      <c r="F141" s="16" t="s">
        <v>644</v>
      </c>
      <c r="G141" s="92">
        <v>200</v>
      </c>
      <c r="H141" s="93">
        <f t="shared" ref="H141:H159" si="7">G141*E141</f>
        <v>2600</v>
      </c>
    </row>
    <row r="142" spans="2:8">
      <c r="B142" s="18"/>
      <c r="C142" s="29" t="s">
        <v>654</v>
      </c>
      <c r="D142" s="36" t="s">
        <v>648</v>
      </c>
      <c r="E142" s="15">
        <v>1</v>
      </c>
      <c r="F142" s="16" t="s">
        <v>644</v>
      </c>
      <c r="G142" s="92">
        <v>750</v>
      </c>
      <c r="H142" s="93">
        <f t="shared" si="7"/>
        <v>750</v>
      </c>
    </row>
    <row r="143" spans="2:8" ht="24">
      <c r="B143" s="18"/>
      <c r="C143" s="29" t="s">
        <v>655</v>
      </c>
      <c r="D143" s="36" t="s">
        <v>649</v>
      </c>
      <c r="E143" s="15">
        <v>2</v>
      </c>
      <c r="F143" s="16" t="s">
        <v>644</v>
      </c>
      <c r="G143" s="92"/>
      <c r="H143" s="93">
        <f t="shared" si="7"/>
        <v>0</v>
      </c>
    </row>
    <row r="144" spans="2:8" ht="24">
      <c r="B144" s="18"/>
      <c r="C144" s="29" t="s">
        <v>656</v>
      </c>
      <c r="D144" s="36" t="s">
        <v>649</v>
      </c>
      <c r="E144" s="15">
        <v>13</v>
      </c>
      <c r="F144" s="16" t="s">
        <v>644</v>
      </c>
      <c r="G144" s="92"/>
      <c r="H144" s="93">
        <f t="shared" si="7"/>
        <v>0</v>
      </c>
    </row>
    <row r="145" spans="2:8" ht="24">
      <c r="B145" s="18"/>
      <c r="C145" s="29" t="s">
        <v>584</v>
      </c>
      <c r="D145" s="36" t="s">
        <v>649</v>
      </c>
      <c r="E145" s="15">
        <v>2</v>
      </c>
      <c r="F145" s="16" t="s">
        <v>644</v>
      </c>
      <c r="G145" s="92"/>
      <c r="H145" s="93">
        <f t="shared" si="7"/>
        <v>0</v>
      </c>
    </row>
    <row r="146" spans="2:8" ht="24">
      <c r="B146" s="18"/>
      <c r="C146" s="29" t="s">
        <v>585</v>
      </c>
      <c r="D146" s="36" t="s">
        <v>649</v>
      </c>
      <c r="E146" s="15">
        <v>13</v>
      </c>
      <c r="F146" s="16" t="s">
        <v>644</v>
      </c>
      <c r="G146" s="92"/>
      <c r="H146" s="93">
        <f t="shared" si="7"/>
        <v>0</v>
      </c>
    </row>
    <row r="147" spans="2:8" ht="24">
      <c r="B147" s="18"/>
      <c r="C147" s="29" t="s">
        <v>658</v>
      </c>
      <c r="D147" s="36" t="s">
        <v>649</v>
      </c>
      <c r="E147" s="15">
        <v>18</v>
      </c>
      <c r="F147" s="16" t="s">
        <v>644</v>
      </c>
      <c r="G147" s="92"/>
      <c r="H147" s="93">
        <f t="shared" si="7"/>
        <v>0</v>
      </c>
    </row>
    <row r="148" spans="2:8" ht="24">
      <c r="B148" s="18"/>
      <c r="C148" s="29" t="s">
        <v>659</v>
      </c>
      <c r="D148" s="36" t="s">
        <v>649</v>
      </c>
      <c r="E148" s="15">
        <v>7</v>
      </c>
      <c r="F148" s="16" t="s">
        <v>644</v>
      </c>
      <c r="G148" s="92"/>
      <c r="H148" s="93">
        <f t="shared" si="7"/>
        <v>0</v>
      </c>
    </row>
    <row r="149" spans="2:8" ht="24">
      <c r="B149" s="18"/>
      <c r="C149" s="29" t="s">
        <v>666</v>
      </c>
      <c r="D149" s="36" t="s">
        <v>651</v>
      </c>
      <c r="E149" s="15">
        <v>12</v>
      </c>
      <c r="F149" s="16" t="s">
        <v>645</v>
      </c>
      <c r="G149" s="92">
        <v>480</v>
      </c>
      <c r="H149" s="93">
        <f t="shared" si="7"/>
        <v>5760</v>
      </c>
    </row>
    <row r="150" spans="2:8" ht="24">
      <c r="B150" s="18"/>
      <c r="C150" s="29" t="s">
        <v>590</v>
      </c>
      <c r="D150" s="36" t="s">
        <v>651</v>
      </c>
      <c r="E150" s="15">
        <v>48</v>
      </c>
      <c r="F150" s="16" t="s">
        <v>645</v>
      </c>
      <c r="G150" s="92">
        <v>380</v>
      </c>
      <c r="H150" s="93">
        <f t="shared" si="7"/>
        <v>18240</v>
      </c>
    </row>
    <row r="151" spans="2:8" ht="24">
      <c r="B151" s="18"/>
      <c r="C151" s="29" t="s">
        <v>661</v>
      </c>
      <c r="D151" s="36" t="s">
        <v>651</v>
      </c>
      <c r="E151" s="15">
        <v>42</v>
      </c>
      <c r="F151" s="16" t="s">
        <v>645</v>
      </c>
      <c r="G151" s="92">
        <v>300</v>
      </c>
      <c r="H151" s="93">
        <f t="shared" si="7"/>
        <v>12600</v>
      </c>
    </row>
    <row r="152" spans="2:8" ht="24">
      <c r="B152" s="18"/>
      <c r="C152" s="29" t="s">
        <v>662</v>
      </c>
      <c r="D152" s="36" t="s">
        <v>651</v>
      </c>
      <c r="E152" s="15">
        <v>3</v>
      </c>
      <c r="F152" s="16" t="s">
        <v>645</v>
      </c>
      <c r="G152" s="92">
        <v>270</v>
      </c>
      <c r="H152" s="93">
        <f t="shared" si="7"/>
        <v>810</v>
      </c>
    </row>
    <row r="153" spans="2:8" ht="24">
      <c r="B153" s="18"/>
      <c r="C153" s="29" t="s">
        <v>586</v>
      </c>
      <c r="D153" s="36" t="s">
        <v>720</v>
      </c>
      <c r="E153" s="15">
        <v>1</v>
      </c>
      <c r="F153" s="16" t="s">
        <v>644</v>
      </c>
      <c r="G153" s="92">
        <v>400</v>
      </c>
      <c r="H153" s="93">
        <f t="shared" si="7"/>
        <v>400</v>
      </c>
    </row>
    <row r="154" spans="2:8" ht="24">
      <c r="B154" s="18"/>
      <c r="C154" s="29" t="s">
        <v>537</v>
      </c>
      <c r="D154" s="36" t="s">
        <v>650</v>
      </c>
      <c r="E154" s="15">
        <v>35</v>
      </c>
      <c r="F154" s="16" t="s">
        <v>644</v>
      </c>
      <c r="G154" s="92"/>
      <c r="H154" s="93">
        <f t="shared" si="7"/>
        <v>0</v>
      </c>
    </row>
    <row r="155" spans="2:8">
      <c r="B155" s="18"/>
      <c r="C155" s="29" t="s">
        <v>663</v>
      </c>
      <c r="D155" s="36" t="s">
        <v>714</v>
      </c>
      <c r="E155" s="15"/>
      <c r="F155" s="16" t="s">
        <v>644</v>
      </c>
      <c r="G155" s="92">
        <v>750</v>
      </c>
      <c r="H155" s="93">
        <f t="shared" si="7"/>
        <v>0</v>
      </c>
    </row>
    <row r="156" spans="2:8" ht="24">
      <c r="B156" s="18"/>
      <c r="C156" s="29" t="s">
        <v>677</v>
      </c>
      <c r="D156" s="36" t="s">
        <v>647</v>
      </c>
      <c r="E156" s="15">
        <v>1</v>
      </c>
      <c r="F156" s="16" t="s">
        <v>644</v>
      </c>
      <c r="G156" s="92">
        <v>1750</v>
      </c>
      <c r="H156" s="93">
        <f t="shared" si="7"/>
        <v>1750</v>
      </c>
    </row>
    <row r="157" spans="2:8" ht="36">
      <c r="B157" s="18"/>
      <c r="C157" s="29" t="s">
        <v>678</v>
      </c>
      <c r="D157" s="36" t="s">
        <v>723</v>
      </c>
      <c r="E157" s="15">
        <v>1</v>
      </c>
      <c r="F157" s="16" t="s">
        <v>644</v>
      </c>
      <c r="G157" s="92">
        <v>1250</v>
      </c>
      <c r="H157" s="93">
        <f t="shared" si="7"/>
        <v>1250</v>
      </c>
    </row>
    <row r="158" spans="2:8" ht="24">
      <c r="B158" s="18"/>
      <c r="C158" s="29" t="s">
        <v>679</v>
      </c>
      <c r="D158" s="36" t="s">
        <v>647</v>
      </c>
      <c r="E158" s="15">
        <v>1</v>
      </c>
      <c r="F158" s="16" t="s">
        <v>644</v>
      </c>
      <c r="G158" s="92">
        <v>4000</v>
      </c>
      <c r="H158" s="93">
        <f t="shared" si="7"/>
        <v>4000</v>
      </c>
    </row>
    <row r="159" spans="2:8" ht="36">
      <c r="B159" s="18"/>
      <c r="C159" s="29" t="s">
        <v>668</v>
      </c>
      <c r="D159" s="36" t="s">
        <v>717</v>
      </c>
      <c r="E159" s="15">
        <v>33</v>
      </c>
      <c r="F159" s="16" t="s">
        <v>644</v>
      </c>
      <c r="G159" s="92"/>
      <c r="H159" s="93">
        <f t="shared" si="7"/>
        <v>0</v>
      </c>
    </row>
    <row r="160" spans="2:8">
      <c r="B160" s="18">
        <v>9</v>
      </c>
      <c r="C160" s="31" t="s">
        <v>680</v>
      </c>
      <c r="D160" s="13"/>
      <c r="E160" s="12"/>
      <c r="F160" s="13"/>
      <c r="G160" s="92"/>
      <c r="H160" s="93"/>
    </row>
    <row r="161" spans="2:8" ht="24">
      <c r="B161" s="18"/>
      <c r="C161" s="29" t="s">
        <v>583</v>
      </c>
      <c r="D161" s="36" t="s">
        <v>722</v>
      </c>
      <c r="E161" s="15">
        <v>53</v>
      </c>
      <c r="F161" s="16" t="s">
        <v>644</v>
      </c>
      <c r="G161" s="92">
        <v>200</v>
      </c>
      <c r="H161" s="93">
        <f t="shared" ref="H161:H179" si="8">G161*E161</f>
        <v>10600</v>
      </c>
    </row>
    <row r="162" spans="2:8">
      <c r="B162" s="18"/>
      <c r="C162" s="29" t="s">
        <v>654</v>
      </c>
      <c r="D162" s="36" t="s">
        <v>648</v>
      </c>
      <c r="E162" s="15">
        <v>1</v>
      </c>
      <c r="F162" s="16" t="s">
        <v>644</v>
      </c>
      <c r="G162" s="92">
        <v>750</v>
      </c>
      <c r="H162" s="93">
        <f t="shared" si="8"/>
        <v>750</v>
      </c>
    </row>
    <row r="163" spans="2:8" ht="24">
      <c r="B163" s="18"/>
      <c r="C163" s="29" t="s">
        <v>681</v>
      </c>
      <c r="D163" s="36" t="s">
        <v>649</v>
      </c>
      <c r="E163" s="15">
        <v>2</v>
      </c>
      <c r="F163" s="16" t="s">
        <v>644</v>
      </c>
      <c r="G163" s="92"/>
      <c r="H163" s="93">
        <f t="shared" si="8"/>
        <v>0</v>
      </c>
    </row>
    <row r="164" spans="2:8" ht="24">
      <c r="B164" s="18"/>
      <c r="C164" s="29" t="s">
        <v>592</v>
      </c>
      <c r="D164" s="36" t="s">
        <v>649</v>
      </c>
      <c r="E164" s="15">
        <v>53</v>
      </c>
      <c r="F164" s="16" t="s">
        <v>644</v>
      </c>
      <c r="G164" s="92"/>
      <c r="H164" s="93">
        <f t="shared" si="8"/>
        <v>0</v>
      </c>
    </row>
    <row r="165" spans="2:8" ht="24">
      <c r="B165" s="18"/>
      <c r="C165" s="29" t="s">
        <v>682</v>
      </c>
      <c r="D165" s="36" t="s">
        <v>649</v>
      </c>
      <c r="E165" s="15">
        <v>2</v>
      </c>
      <c r="F165" s="16" t="s">
        <v>644</v>
      </c>
      <c r="G165" s="92"/>
      <c r="H165" s="93">
        <f t="shared" si="8"/>
        <v>0</v>
      </c>
    </row>
    <row r="166" spans="2:8" ht="24">
      <c r="B166" s="18"/>
      <c r="C166" s="29" t="s">
        <v>683</v>
      </c>
      <c r="D166" s="36" t="s">
        <v>649</v>
      </c>
      <c r="E166" s="15">
        <v>13</v>
      </c>
      <c r="F166" s="16" t="s">
        <v>644</v>
      </c>
      <c r="G166" s="92"/>
      <c r="H166" s="93">
        <f t="shared" si="8"/>
        <v>0</v>
      </c>
    </row>
    <row r="167" spans="2:8" ht="24">
      <c r="B167" s="18"/>
      <c r="C167" s="29" t="s">
        <v>597</v>
      </c>
      <c r="D167" s="36" t="s">
        <v>649</v>
      </c>
      <c r="E167" s="15">
        <v>41</v>
      </c>
      <c r="F167" s="16" t="s">
        <v>644</v>
      </c>
      <c r="G167" s="92"/>
      <c r="H167" s="93">
        <f t="shared" si="8"/>
        <v>0</v>
      </c>
    </row>
    <row r="168" spans="2:8" ht="24">
      <c r="B168" s="18"/>
      <c r="C168" s="29" t="s">
        <v>594</v>
      </c>
      <c r="D168" s="36" t="s">
        <v>649</v>
      </c>
      <c r="E168" s="15">
        <v>32</v>
      </c>
      <c r="F168" s="16" t="s">
        <v>644</v>
      </c>
      <c r="G168" s="92"/>
      <c r="H168" s="93">
        <f t="shared" si="8"/>
        <v>0</v>
      </c>
    </row>
    <row r="169" spans="2:8" ht="24">
      <c r="B169" s="18"/>
      <c r="C169" s="29" t="s">
        <v>684</v>
      </c>
      <c r="D169" s="36" t="s">
        <v>651</v>
      </c>
      <c r="E169" s="15">
        <v>12</v>
      </c>
      <c r="F169" s="16" t="s">
        <v>645</v>
      </c>
      <c r="G169" s="92">
        <v>675</v>
      </c>
      <c r="H169" s="93">
        <f t="shared" si="8"/>
        <v>8100</v>
      </c>
    </row>
    <row r="170" spans="2:8" ht="24">
      <c r="B170" s="18"/>
      <c r="C170" s="29" t="s">
        <v>595</v>
      </c>
      <c r="D170" s="36" t="s">
        <v>651</v>
      </c>
      <c r="E170" s="15">
        <v>198</v>
      </c>
      <c r="F170" s="16" t="s">
        <v>645</v>
      </c>
      <c r="G170" s="92">
        <v>550</v>
      </c>
      <c r="H170" s="93">
        <f t="shared" si="8"/>
        <v>108900</v>
      </c>
    </row>
    <row r="171" spans="2:8" ht="24">
      <c r="B171" s="18"/>
      <c r="C171" s="29" t="s">
        <v>685</v>
      </c>
      <c r="D171" s="36" t="s">
        <v>651</v>
      </c>
      <c r="E171" s="15">
        <v>192</v>
      </c>
      <c r="F171" s="16" t="s">
        <v>645</v>
      </c>
      <c r="G171" s="92">
        <v>420</v>
      </c>
      <c r="H171" s="93">
        <f t="shared" si="8"/>
        <v>80640</v>
      </c>
    </row>
    <row r="172" spans="2:8" ht="24">
      <c r="B172" s="18"/>
      <c r="C172" s="29" t="s">
        <v>662</v>
      </c>
      <c r="D172" s="36" t="s">
        <v>651</v>
      </c>
      <c r="E172" s="15">
        <v>11</v>
      </c>
      <c r="F172" s="16" t="s">
        <v>645</v>
      </c>
      <c r="G172" s="92">
        <v>270</v>
      </c>
      <c r="H172" s="93">
        <f t="shared" si="8"/>
        <v>2970</v>
      </c>
    </row>
    <row r="173" spans="2:8" ht="24">
      <c r="B173" s="18"/>
      <c r="C173" s="29" t="s">
        <v>686</v>
      </c>
      <c r="D173" s="36" t="s">
        <v>720</v>
      </c>
      <c r="E173" s="15">
        <v>1</v>
      </c>
      <c r="F173" s="16" t="s">
        <v>644</v>
      </c>
      <c r="G173" s="92">
        <v>400</v>
      </c>
      <c r="H173" s="93">
        <f t="shared" si="8"/>
        <v>400</v>
      </c>
    </row>
    <row r="174" spans="2:8" ht="24">
      <c r="B174" s="18"/>
      <c r="C174" s="29" t="s">
        <v>537</v>
      </c>
      <c r="D174" s="36" t="s">
        <v>650</v>
      </c>
      <c r="E174" s="15">
        <v>138</v>
      </c>
      <c r="F174" s="16" t="s">
        <v>644</v>
      </c>
      <c r="G174" s="92"/>
      <c r="H174" s="93">
        <f t="shared" si="8"/>
        <v>0</v>
      </c>
    </row>
    <row r="175" spans="2:8">
      <c r="B175" s="18"/>
      <c r="C175" s="29" t="s">
        <v>663</v>
      </c>
      <c r="D175" s="36" t="s">
        <v>714</v>
      </c>
      <c r="E175" s="15"/>
      <c r="F175" s="16" t="s">
        <v>644</v>
      </c>
      <c r="G175" s="92">
        <v>750</v>
      </c>
      <c r="H175" s="93">
        <f t="shared" si="8"/>
        <v>0</v>
      </c>
    </row>
    <row r="176" spans="2:8" ht="24">
      <c r="B176" s="18"/>
      <c r="C176" s="29" t="s">
        <v>687</v>
      </c>
      <c r="D176" s="36" t="s">
        <v>647</v>
      </c>
      <c r="E176" s="15">
        <v>1</v>
      </c>
      <c r="F176" s="16" t="s">
        <v>644</v>
      </c>
      <c r="G176" s="92">
        <v>3000</v>
      </c>
      <c r="H176" s="93">
        <f t="shared" si="8"/>
        <v>3000</v>
      </c>
    </row>
    <row r="177" spans="2:8" ht="36">
      <c r="B177" s="18"/>
      <c r="C177" s="29" t="s">
        <v>688</v>
      </c>
      <c r="D177" s="36" t="s">
        <v>723</v>
      </c>
      <c r="E177" s="15">
        <v>1</v>
      </c>
      <c r="F177" s="16" t="s">
        <v>644</v>
      </c>
      <c r="G177" s="92">
        <v>1500</v>
      </c>
      <c r="H177" s="93">
        <f t="shared" si="8"/>
        <v>1500</v>
      </c>
    </row>
    <row r="178" spans="2:8" ht="24">
      <c r="B178" s="18"/>
      <c r="C178" s="29" t="s">
        <v>689</v>
      </c>
      <c r="D178" s="36" t="s">
        <v>647</v>
      </c>
      <c r="E178" s="15">
        <v>1</v>
      </c>
      <c r="F178" s="16" t="s">
        <v>644</v>
      </c>
      <c r="G178" s="92">
        <v>7500</v>
      </c>
      <c r="H178" s="93">
        <f t="shared" si="8"/>
        <v>7500</v>
      </c>
    </row>
    <row r="179" spans="2:8" ht="36">
      <c r="B179" s="18"/>
      <c r="C179" s="29" t="s">
        <v>668</v>
      </c>
      <c r="D179" s="36" t="s">
        <v>717</v>
      </c>
      <c r="E179" s="15">
        <v>162</v>
      </c>
      <c r="F179" s="16" t="s">
        <v>644</v>
      </c>
      <c r="G179" s="92"/>
      <c r="H179" s="93">
        <f t="shared" si="8"/>
        <v>0</v>
      </c>
    </row>
    <row r="180" spans="2:8">
      <c r="B180" s="18">
        <v>10</v>
      </c>
      <c r="C180" s="31" t="s">
        <v>690</v>
      </c>
      <c r="D180" s="13"/>
      <c r="E180" s="12"/>
      <c r="F180" s="13"/>
      <c r="G180" s="92"/>
      <c r="H180" s="93"/>
    </row>
    <row r="181" spans="2:8" ht="24">
      <c r="B181" s="18"/>
      <c r="C181" s="29" t="s">
        <v>583</v>
      </c>
      <c r="D181" s="36" t="s">
        <v>722</v>
      </c>
      <c r="E181" s="15">
        <v>4</v>
      </c>
      <c r="F181" s="16" t="s">
        <v>644</v>
      </c>
      <c r="G181" s="92">
        <v>200</v>
      </c>
      <c r="H181" s="93">
        <f t="shared" ref="H181:H196" si="9">G181*E181</f>
        <v>800</v>
      </c>
    </row>
    <row r="182" spans="2:8">
      <c r="B182" s="18"/>
      <c r="C182" s="29" t="s">
        <v>654</v>
      </c>
      <c r="D182" s="36" t="s">
        <v>648</v>
      </c>
      <c r="E182" s="15">
        <v>1</v>
      </c>
      <c r="F182" s="16" t="s">
        <v>644</v>
      </c>
      <c r="G182" s="92">
        <v>750</v>
      </c>
      <c r="H182" s="93">
        <f t="shared" si="9"/>
        <v>750</v>
      </c>
    </row>
    <row r="183" spans="2:8" ht="24">
      <c r="B183" s="18"/>
      <c r="C183" s="29" t="s">
        <v>655</v>
      </c>
      <c r="D183" s="36" t="s">
        <v>649</v>
      </c>
      <c r="E183" s="15">
        <v>2</v>
      </c>
      <c r="F183" s="16" t="s">
        <v>644</v>
      </c>
      <c r="G183" s="92"/>
      <c r="H183" s="93">
        <f t="shared" si="9"/>
        <v>0</v>
      </c>
    </row>
    <row r="184" spans="2:8" ht="24">
      <c r="B184" s="18"/>
      <c r="C184" s="29" t="s">
        <v>656</v>
      </c>
      <c r="D184" s="36" t="s">
        <v>649</v>
      </c>
      <c r="E184" s="15">
        <v>4</v>
      </c>
      <c r="F184" s="16" t="s">
        <v>644</v>
      </c>
      <c r="G184" s="92"/>
      <c r="H184" s="93">
        <f t="shared" si="9"/>
        <v>0</v>
      </c>
    </row>
    <row r="185" spans="2:8" ht="24">
      <c r="B185" s="18"/>
      <c r="C185" s="29" t="s">
        <v>657</v>
      </c>
      <c r="D185" s="36" t="s">
        <v>649</v>
      </c>
      <c r="E185" s="15">
        <v>2</v>
      </c>
      <c r="F185" s="16" t="s">
        <v>644</v>
      </c>
      <c r="G185" s="92"/>
      <c r="H185" s="93">
        <f t="shared" si="9"/>
        <v>0</v>
      </c>
    </row>
    <row r="186" spans="2:8" ht="24">
      <c r="B186" s="18"/>
      <c r="C186" s="29" t="s">
        <v>658</v>
      </c>
      <c r="D186" s="36" t="s">
        <v>649</v>
      </c>
      <c r="E186" s="15">
        <v>16</v>
      </c>
      <c r="F186" s="16" t="s">
        <v>644</v>
      </c>
      <c r="G186" s="92"/>
      <c r="H186" s="93">
        <f t="shared" si="9"/>
        <v>0</v>
      </c>
    </row>
    <row r="187" spans="2:8" ht="24">
      <c r="B187" s="18"/>
      <c r="C187" s="29" t="s">
        <v>659</v>
      </c>
      <c r="D187" s="36" t="s">
        <v>649</v>
      </c>
      <c r="E187" s="15">
        <v>3</v>
      </c>
      <c r="F187" s="16" t="s">
        <v>644</v>
      </c>
      <c r="G187" s="92"/>
      <c r="H187" s="93">
        <f t="shared" si="9"/>
        <v>0</v>
      </c>
    </row>
    <row r="188" spans="2:8" ht="24">
      <c r="B188" s="18"/>
      <c r="C188" s="29" t="s">
        <v>590</v>
      </c>
      <c r="D188" s="36" t="s">
        <v>651</v>
      </c>
      <c r="E188" s="15">
        <v>30</v>
      </c>
      <c r="F188" s="16" t="s">
        <v>645</v>
      </c>
      <c r="G188" s="92">
        <v>380</v>
      </c>
      <c r="H188" s="93">
        <f t="shared" si="9"/>
        <v>11400</v>
      </c>
    </row>
    <row r="189" spans="2:8" ht="24">
      <c r="B189" s="18"/>
      <c r="C189" s="29" t="s">
        <v>661</v>
      </c>
      <c r="D189" s="36" t="s">
        <v>651</v>
      </c>
      <c r="E189" s="15">
        <v>18</v>
      </c>
      <c r="F189" s="16" t="s">
        <v>645</v>
      </c>
      <c r="G189" s="92">
        <v>300</v>
      </c>
      <c r="H189" s="93">
        <f t="shared" si="9"/>
        <v>5400</v>
      </c>
    </row>
    <row r="190" spans="2:8" ht="24">
      <c r="B190" s="18"/>
      <c r="C190" s="29" t="s">
        <v>662</v>
      </c>
      <c r="D190" s="36" t="s">
        <v>651</v>
      </c>
      <c r="E190" s="15">
        <v>1</v>
      </c>
      <c r="F190" s="16" t="s">
        <v>645</v>
      </c>
      <c r="G190" s="92">
        <v>270</v>
      </c>
      <c r="H190" s="93">
        <f t="shared" si="9"/>
        <v>270</v>
      </c>
    </row>
    <row r="191" spans="2:8" ht="24">
      <c r="B191" s="18"/>
      <c r="C191" s="29" t="s">
        <v>537</v>
      </c>
      <c r="D191" s="36" t="s">
        <v>650</v>
      </c>
      <c r="E191" s="15">
        <v>16</v>
      </c>
      <c r="F191" s="16" t="s">
        <v>644</v>
      </c>
      <c r="G191" s="92"/>
      <c r="H191" s="93">
        <f t="shared" si="9"/>
        <v>0</v>
      </c>
    </row>
    <row r="192" spans="2:8">
      <c r="B192" s="18"/>
      <c r="C192" s="29" t="s">
        <v>663</v>
      </c>
      <c r="D192" s="36" t="s">
        <v>714</v>
      </c>
      <c r="E192" s="15"/>
      <c r="F192" s="16" t="s">
        <v>644</v>
      </c>
      <c r="G192" s="92">
        <v>750</v>
      </c>
      <c r="H192" s="93">
        <f t="shared" si="9"/>
        <v>0</v>
      </c>
    </row>
    <row r="193" spans="2:8" ht="24">
      <c r="B193" s="18"/>
      <c r="C193" s="29" t="s">
        <v>574</v>
      </c>
      <c r="D193" s="36" t="s">
        <v>647</v>
      </c>
      <c r="E193" s="15">
        <v>1</v>
      </c>
      <c r="F193" s="16" t="s">
        <v>644</v>
      </c>
      <c r="G193" s="92">
        <v>1000</v>
      </c>
      <c r="H193" s="93">
        <f t="shared" si="9"/>
        <v>1000</v>
      </c>
    </row>
    <row r="194" spans="2:8" ht="36">
      <c r="B194" s="18"/>
      <c r="C194" s="29" t="s">
        <v>602</v>
      </c>
      <c r="D194" s="36" t="s">
        <v>723</v>
      </c>
      <c r="E194" s="15">
        <v>1</v>
      </c>
      <c r="F194" s="16" t="s">
        <v>644</v>
      </c>
      <c r="G194" s="92">
        <v>1000</v>
      </c>
      <c r="H194" s="93">
        <f t="shared" si="9"/>
        <v>1000</v>
      </c>
    </row>
    <row r="195" spans="2:8" ht="24">
      <c r="B195" s="18"/>
      <c r="C195" s="29" t="s">
        <v>591</v>
      </c>
      <c r="D195" s="36" t="s">
        <v>647</v>
      </c>
      <c r="E195" s="15">
        <v>1</v>
      </c>
      <c r="F195" s="16" t="s">
        <v>644</v>
      </c>
      <c r="G195" s="92">
        <v>2500</v>
      </c>
      <c r="H195" s="93">
        <f t="shared" si="9"/>
        <v>2500</v>
      </c>
    </row>
    <row r="196" spans="2:8" ht="36">
      <c r="B196" s="18"/>
      <c r="C196" s="29" t="s">
        <v>668</v>
      </c>
      <c r="D196" s="36" t="s">
        <v>717</v>
      </c>
      <c r="E196" s="15">
        <v>9</v>
      </c>
      <c r="F196" s="16" t="s">
        <v>644</v>
      </c>
      <c r="G196" s="92"/>
      <c r="H196" s="93">
        <f t="shared" si="9"/>
        <v>0</v>
      </c>
    </row>
    <row r="197" spans="2:8">
      <c r="B197" s="18">
        <v>11</v>
      </c>
      <c r="C197" s="31" t="s">
        <v>691</v>
      </c>
      <c r="D197" s="13"/>
      <c r="E197" s="12"/>
      <c r="F197" s="13"/>
      <c r="G197" s="92"/>
      <c r="H197" s="93"/>
    </row>
    <row r="198" spans="2:8" ht="24">
      <c r="B198" s="18"/>
      <c r="C198" s="29" t="s">
        <v>583</v>
      </c>
      <c r="D198" s="36" t="s">
        <v>722</v>
      </c>
      <c r="E198" s="15">
        <v>17</v>
      </c>
      <c r="F198" s="16" t="s">
        <v>644</v>
      </c>
      <c r="G198" s="92">
        <v>200</v>
      </c>
      <c r="H198" s="93">
        <f t="shared" ref="H198:H216" si="10">G198*E198</f>
        <v>3400</v>
      </c>
    </row>
    <row r="199" spans="2:8">
      <c r="B199" s="18"/>
      <c r="C199" s="29" t="s">
        <v>654</v>
      </c>
      <c r="D199" s="36" t="s">
        <v>648</v>
      </c>
      <c r="E199" s="15">
        <v>1</v>
      </c>
      <c r="F199" s="16" t="s">
        <v>644</v>
      </c>
      <c r="G199" s="92">
        <v>750</v>
      </c>
      <c r="H199" s="93">
        <f t="shared" si="10"/>
        <v>750</v>
      </c>
    </row>
    <row r="200" spans="2:8" ht="24">
      <c r="B200" s="18"/>
      <c r="C200" s="29" t="s">
        <v>655</v>
      </c>
      <c r="D200" s="36" t="s">
        <v>649</v>
      </c>
      <c r="E200" s="15">
        <v>2</v>
      </c>
      <c r="F200" s="16" t="s">
        <v>644</v>
      </c>
      <c r="G200" s="92"/>
      <c r="H200" s="93">
        <f t="shared" si="10"/>
        <v>0</v>
      </c>
    </row>
    <row r="201" spans="2:8" ht="24">
      <c r="B201" s="18"/>
      <c r="C201" s="29" t="s">
        <v>656</v>
      </c>
      <c r="D201" s="36" t="s">
        <v>649</v>
      </c>
      <c r="E201" s="15">
        <v>17</v>
      </c>
      <c r="F201" s="16" t="s">
        <v>644</v>
      </c>
      <c r="G201" s="92"/>
      <c r="H201" s="93">
        <f t="shared" si="10"/>
        <v>0</v>
      </c>
    </row>
    <row r="202" spans="2:8" ht="24">
      <c r="B202" s="18"/>
      <c r="C202" s="29" t="s">
        <v>584</v>
      </c>
      <c r="D202" s="36" t="s">
        <v>649</v>
      </c>
      <c r="E202" s="15">
        <v>2</v>
      </c>
      <c r="F202" s="16" t="s">
        <v>644</v>
      </c>
      <c r="G202" s="92"/>
      <c r="H202" s="93">
        <f t="shared" si="10"/>
        <v>0</v>
      </c>
    </row>
    <row r="203" spans="2:8" ht="24">
      <c r="B203" s="18"/>
      <c r="C203" s="29" t="s">
        <v>585</v>
      </c>
      <c r="D203" s="36" t="s">
        <v>649</v>
      </c>
      <c r="E203" s="15">
        <v>13</v>
      </c>
      <c r="F203" s="16" t="s">
        <v>644</v>
      </c>
      <c r="G203" s="92"/>
      <c r="H203" s="93">
        <f t="shared" si="10"/>
        <v>0</v>
      </c>
    </row>
    <row r="204" spans="2:8" ht="24">
      <c r="B204" s="18"/>
      <c r="C204" s="29" t="s">
        <v>658</v>
      </c>
      <c r="D204" s="36" t="s">
        <v>649</v>
      </c>
      <c r="E204" s="15">
        <v>18</v>
      </c>
      <c r="F204" s="16" t="s">
        <v>644</v>
      </c>
      <c r="G204" s="92"/>
      <c r="H204" s="93">
        <f t="shared" si="10"/>
        <v>0</v>
      </c>
    </row>
    <row r="205" spans="2:8" ht="24">
      <c r="B205" s="18"/>
      <c r="C205" s="29" t="s">
        <v>659</v>
      </c>
      <c r="D205" s="36" t="s">
        <v>649</v>
      </c>
      <c r="E205" s="15">
        <v>9</v>
      </c>
      <c r="F205" s="16" t="s">
        <v>644</v>
      </c>
      <c r="G205" s="92"/>
      <c r="H205" s="93">
        <f t="shared" si="10"/>
        <v>0</v>
      </c>
    </row>
    <row r="206" spans="2:8" ht="24">
      <c r="B206" s="18"/>
      <c r="C206" s="29" t="s">
        <v>666</v>
      </c>
      <c r="D206" s="36" t="s">
        <v>651</v>
      </c>
      <c r="E206" s="15">
        <v>24</v>
      </c>
      <c r="F206" s="16" t="s">
        <v>645</v>
      </c>
      <c r="G206" s="92">
        <v>480</v>
      </c>
      <c r="H206" s="93">
        <f t="shared" si="10"/>
        <v>11520</v>
      </c>
    </row>
    <row r="207" spans="2:8" ht="24">
      <c r="B207" s="18"/>
      <c r="C207" s="29" t="s">
        <v>590</v>
      </c>
      <c r="D207" s="36" t="s">
        <v>651</v>
      </c>
      <c r="E207" s="15">
        <v>60</v>
      </c>
      <c r="F207" s="16" t="s">
        <v>645</v>
      </c>
      <c r="G207" s="92">
        <v>380</v>
      </c>
      <c r="H207" s="93">
        <f t="shared" si="10"/>
        <v>22800</v>
      </c>
    </row>
    <row r="208" spans="2:8" ht="24">
      <c r="B208" s="18"/>
      <c r="C208" s="29" t="s">
        <v>661</v>
      </c>
      <c r="D208" s="36" t="s">
        <v>651</v>
      </c>
      <c r="E208" s="15">
        <v>54</v>
      </c>
      <c r="F208" s="16" t="s">
        <v>645</v>
      </c>
      <c r="G208" s="92">
        <v>300</v>
      </c>
      <c r="H208" s="93">
        <f t="shared" si="10"/>
        <v>16200</v>
      </c>
    </row>
    <row r="209" spans="2:8" ht="24">
      <c r="B209" s="18"/>
      <c r="C209" s="29" t="s">
        <v>662</v>
      </c>
      <c r="D209" s="36" t="s">
        <v>651</v>
      </c>
      <c r="E209" s="15">
        <v>4</v>
      </c>
      <c r="F209" s="16" t="s">
        <v>645</v>
      </c>
      <c r="G209" s="92">
        <v>270</v>
      </c>
      <c r="H209" s="93">
        <f t="shared" si="10"/>
        <v>1080</v>
      </c>
    </row>
    <row r="210" spans="2:8" ht="24">
      <c r="B210" s="18"/>
      <c r="C210" s="29" t="s">
        <v>586</v>
      </c>
      <c r="D210" s="36" t="s">
        <v>720</v>
      </c>
      <c r="E210" s="15">
        <v>1</v>
      </c>
      <c r="F210" s="16" t="s">
        <v>644</v>
      </c>
      <c r="G210" s="92">
        <v>400</v>
      </c>
      <c r="H210" s="93">
        <f t="shared" si="10"/>
        <v>400</v>
      </c>
    </row>
    <row r="211" spans="2:8" ht="24">
      <c r="B211" s="18"/>
      <c r="C211" s="29" t="s">
        <v>537</v>
      </c>
      <c r="D211" s="36" t="s">
        <v>650</v>
      </c>
      <c r="E211" s="15">
        <v>39</v>
      </c>
      <c r="F211" s="16" t="s">
        <v>644</v>
      </c>
      <c r="G211" s="92"/>
      <c r="H211" s="93">
        <f t="shared" si="10"/>
        <v>0</v>
      </c>
    </row>
    <row r="212" spans="2:8">
      <c r="B212" s="18"/>
      <c r="C212" s="29" t="s">
        <v>663</v>
      </c>
      <c r="D212" s="36" t="s">
        <v>714</v>
      </c>
      <c r="E212" s="15"/>
      <c r="F212" s="16" t="s">
        <v>644</v>
      </c>
      <c r="G212" s="92">
        <v>750</v>
      </c>
      <c r="H212" s="93">
        <f t="shared" si="10"/>
        <v>0</v>
      </c>
    </row>
    <row r="213" spans="2:8" ht="24">
      <c r="B213" s="18"/>
      <c r="C213" s="29" t="s">
        <v>587</v>
      </c>
      <c r="D213" s="36" t="s">
        <v>647</v>
      </c>
      <c r="E213" s="15">
        <v>1</v>
      </c>
      <c r="F213" s="16" t="s">
        <v>644</v>
      </c>
      <c r="G213" s="92">
        <v>1750</v>
      </c>
      <c r="H213" s="93">
        <f t="shared" si="10"/>
        <v>1750</v>
      </c>
    </row>
    <row r="214" spans="2:8" ht="36">
      <c r="B214" s="18"/>
      <c r="C214" s="29" t="s">
        <v>588</v>
      </c>
      <c r="D214" s="36" t="s">
        <v>723</v>
      </c>
      <c r="E214" s="15">
        <v>1</v>
      </c>
      <c r="F214" s="16" t="s">
        <v>644</v>
      </c>
      <c r="G214" s="92">
        <v>1000</v>
      </c>
      <c r="H214" s="93">
        <f t="shared" si="10"/>
        <v>1000</v>
      </c>
    </row>
    <row r="215" spans="2:8" ht="24">
      <c r="B215" s="18"/>
      <c r="C215" s="29" t="s">
        <v>589</v>
      </c>
      <c r="D215" s="36" t="s">
        <v>647</v>
      </c>
      <c r="E215" s="15">
        <v>1</v>
      </c>
      <c r="F215" s="16" t="s">
        <v>644</v>
      </c>
      <c r="G215" s="92">
        <v>3000</v>
      </c>
      <c r="H215" s="93">
        <f t="shared" si="10"/>
        <v>3000</v>
      </c>
    </row>
    <row r="216" spans="2:8" ht="36">
      <c r="B216" s="18"/>
      <c r="C216" s="29" t="s">
        <v>668</v>
      </c>
      <c r="D216" s="36" t="s">
        <v>717</v>
      </c>
      <c r="E216" s="15">
        <v>42</v>
      </c>
      <c r="F216" s="16" t="s">
        <v>644</v>
      </c>
      <c r="G216" s="92"/>
      <c r="H216" s="93">
        <f t="shared" si="10"/>
        <v>0</v>
      </c>
    </row>
    <row r="217" spans="2:8">
      <c r="B217" s="18">
        <v>12</v>
      </c>
      <c r="C217" s="31" t="s">
        <v>692</v>
      </c>
      <c r="D217" s="13"/>
      <c r="E217" s="12"/>
      <c r="F217" s="13"/>
      <c r="G217" s="92"/>
      <c r="H217" s="93"/>
    </row>
    <row r="218" spans="2:8" ht="24">
      <c r="B218" s="18"/>
      <c r="C218" s="29" t="s">
        <v>583</v>
      </c>
      <c r="D218" s="36" t="s">
        <v>722</v>
      </c>
      <c r="E218" s="15">
        <v>14</v>
      </c>
      <c r="F218" s="16" t="s">
        <v>644</v>
      </c>
      <c r="G218" s="92">
        <v>200</v>
      </c>
      <c r="H218" s="93">
        <f t="shared" ref="H218:H236" si="11">G218*E218</f>
        <v>2800</v>
      </c>
    </row>
    <row r="219" spans="2:8">
      <c r="B219" s="18"/>
      <c r="C219" s="29" t="s">
        <v>654</v>
      </c>
      <c r="D219" s="36" t="s">
        <v>648</v>
      </c>
      <c r="E219" s="15">
        <v>1</v>
      </c>
      <c r="F219" s="16" t="s">
        <v>644</v>
      </c>
      <c r="G219" s="92">
        <v>750</v>
      </c>
      <c r="H219" s="93">
        <f t="shared" si="11"/>
        <v>750</v>
      </c>
    </row>
    <row r="220" spans="2:8" ht="24">
      <c r="B220" s="18"/>
      <c r="C220" s="29" t="s">
        <v>655</v>
      </c>
      <c r="D220" s="36" t="s">
        <v>649</v>
      </c>
      <c r="E220" s="15">
        <v>2</v>
      </c>
      <c r="F220" s="16" t="s">
        <v>644</v>
      </c>
      <c r="G220" s="92"/>
      <c r="H220" s="93">
        <f t="shared" si="11"/>
        <v>0</v>
      </c>
    </row>
    <row r="221" spans="2:8" ht="24">
      <c r="B221" s="18"/>
      <c r="C221" s="29" t="s">
        <v>656</v>
      </c>
      <c r="D221" s="36" t="s">
        <v>649</v>
      </c>
      <c r="E221" s="15">
        <v>14</v>
      </c>
      <c r="F221" s="16" t="s">
        <v>644</v>
      </c>
      <c r="G221" s="92"/>
      <c r="H221" s="93">
        <f t="shared" si="11"/>
        <v>0</v>
      </c>
    </row>
    <row r="222" spans="2:8" ht="24">
      <c r="B222" s="18"/>
      <c r="C222" s="29" t="s">
        <v>584</v>
      </c>
      <c r="D222" s="36" t="s">
        <v>649</v>
      </c>
      <c r="E222" s="15">
        <v>2</v>
      </c>
      <c r="F222" s="16" t="s">
        <v>644</v>
      </c>
      <c r="G222" s="92"/>
      <c r="H222" s="93">
        <f t="shared" si="11"/>
        <v>0</v>
      </c>
    </row>
    <row r="223" spans="2:8" ht="24">
      <c r="B223" s="18"/>
      <c r="C223" s="29" t="s">
        <v>585</v>
      </c>
      <c r="D223" s="36" t="s">
        <v>649</v>
      </c>
      <c r="E223" s="15">
        <v>13</v>
      </c>
      <c r="F223" s="16" t="s">
        <v>644</v>
      </c>
      <c r="G223" s="92"/>
      <c r="H223" s="93">
        <f t="shared" si="11"/>
        <v>0</v>
      </c>
    </row>
    <row r="224" spans="2:8" ht="24">
      <c r="B224" s="18"/>
      <c r="C224" s="29" t="s">
        <v>658</v>
      </c>
      <c r="D224" s="36" t="s">
        <v>649</v>
      </c>
      <c r="E224" s="15">
        <v>16</v>
      </c>
      <c r="F224" s="16" t="s">
        <v>644</v>
      </c>
      <c r="G224" s="92"/>
      <c r="H224" s="93">
        <f t="shared" si="11"/>
        <v>0</v>
      </c>
    </row>
    <row r="225" spans="2:8" ht="24">
      <c r="B225" s="18"/>
      <c r="C225" s="29" t="s">
        <v>659</v>
      </c>
      <c r="D225" s="36" t="s">
        <v>649</v>
      </c>
      <c r="E225" s="15">
        <v>8</v>
      </c>
      <c r="F225" s="16" t="s">
        <v>644</v>
      </c>
      <c r="G225" s="92"/>
      <c r="H225" s="93">
        <f t="shared" si="11"/>
        <v>0</v>
      </c>
    </row>
    <row r="226" spans="2:8" ht="24">
      <c r="B226" s="18"/>
      <c r="C226" s="29" t="s">
        <v>666</v>
      </c>
      <c r="D226" s="36" t="s">
        <v>651</v>
      </c>
      <c r="E226" s="15">
        <v>12</v>
      </c>
      <c r="F226" s="16" t="s">
        <v>645</v>
      </c>
      <c r="G226" s="92">
        <v>480</v>
      </c>
      <c r="H226" s="93">
        <f t="shared" si="11"/>
        <v>5760</v>
      </c>
    </row>
    <row r="227" spans="2:8" ht="24">
      <c r="B227" s="18"/>
      <c r="C227" s="29" t="s">
        <v>590</v>
      </c>
      <c r="D227" s="36" t="s">
        <v>651</v>
      </c>
      <c r="E227" s="15">
        <v>48</v>
      </c>
      <c r="F227" s="16" t="s">
        <v>645</v>
      </c>
      <c r="G227" s="92">
        <v>380</v>
      </c>
      <c r="H227" s="93">
        <f t="shared" si="11"/>
        <v>18240</v>
      </c>
    </row>
    <row r="228" spans="2:8" ht="24">
      <c r="B228" s="18"/>
      <c r="C228" s="29" t="s">
        <v>661</v>
      </c>
      <c r="D228" s="36" t="s">
        <v>651</v>
      </c>
      <c r="E228" s="15">
        <v>48</v>
      </c>
      <c r="F228" s="16" t="s">
        <v>645</v>
      </c>
      <c r="G228" s="92">
        <v>300</v>
      </c>
      <c r="H228" s="93">
        <f t="shared" si="11"/>
        <v>14400</v>
      </c>
    </row>
    <row r="229" spans="2:8" ht="24">
      <c r="B229" s="18"/>
      <c r="C229" s="29" t="s">
        <v>662</v>
      </c>
      <c r="D229" s="36" t="s">
        <v>651</v>
      </c>
      <c r="E229" s="15">
        <v>3</v>
      </c>
      <c r="F229" s="16" t="s">
        <v>645</v>
      </c>
      <c r="G229" s="92">
        <v>270</v>
      </c>
      <c r="H229" s="93">
        <f t="shared" si="11"/>
        <v>810</v>
      </c>
    </row>
    <row r="230" spans="2:8" ht="24">
      <c r="B230" s="18"/>
      <c r="C230" s="29" t="s">
        <v>586</v>
      </c>
      <c r="D230" s="36" t="s">
        <v>720</v>
      </c>
      <c r="E230" s="15">
        <v>1</v>
      </c>
      <c r="F230" s="16" t="s">
        <v>644</v>
      </c>
      <c r="G230" s="92">
        <v>400</v>
      </c>
      <c r="H230" s="93">
        <f t="shared" si="11"/>
        <v>400</v>
      </c>
    </row>
    <row r="231" spans="2:8" ht="24">
      <c r="B231" s="18"/>
      <c r="C231" s="29" t="s">
        <v>537</v>
      </c>
      <c r="D231" s="36" t="s">
        <v>650</v>
      </c>
      <c r="E231" s="15">
        <v>37</v>
      </c>
      <c r="F231" s="16" t="s">
        <v>644</v>
      </c>
      <c r="G231" s="92"/>
      <c r="H231" s="93">
        <f t="shared" si="11"/>
        <v>0</v>
      </c>
    </row>
    <row r="232" spans="2:8">
      <c r="B232" s="18"/>
      <c r="C232" s="29" t="s">
        <v>663</v>
      </c>
      <c r="D232" s="36" t="s">
        <v>714</v>
      </c>
      <c r="E232" s="15"/>
      <c r="F232" s="16" t="s">
        <v>644</v>
      </c>
      <c r="G232" s="92">
        <v>750</v>
      </c>
      <c r="H232" s="93">
        <f t="shared" si="11"/>
        <v>0</v>
      </c>
    </row>
    <row r="233" spans="2:8" ht="24">
      <c r="B233" s="18"/>
      <c r="C233" s="29" t="s">
        <v>587</v>
      </c>
      <c r="D233" s="36" t="s">
        <v>647</v>
      </c>
      <c r="E233" s="15">
        <v>1</v>
      </c>
      <c r="F233" s="16" t="s">
        <v>644</v>
      </c>
      <c r="G233" s="92">
        <v>1750</v>
      </c>
      <c r="H233" s="93">
        <f t="shared" si="11"/>
        <v>1750</v>
      </c>
    </row>
    <row r="234" spans="2:8" ht="36">
      <c r="B234" s="18"/>
      <c r="C234" s="29" t="s">
        <v>588</v>
      </c>
      <c r="D234" s="36" t="s">
        <v>723</v>
      </c>
      <c r="E234" s="15">
        <v>1</v>
      </c>
      <c r="F234" s="16" t="s">
        <v>644</v>
      </c>
      <c r="G234" s="92">
        <v>1000</v>
      </c>
      <c r="H234" s="93">
        <f t="shared" si="11"/>
        <v>1000</v>
      </c>
    </row>
    <row r="235" spans="2:8" ht="24">
      <c r="B235" s="18"/>
      <c r="C235" s="29" t="s">
        <v>589</v>
      </c>
      <c r="D235" s="36" t="s">
        <v>647</v>
      </c>
      <c r="E235" s="15">
        <v>1</v>
      </c>
      <c r="F235" s="16" t="s">
        <v>644</v>
      </c>
      <c r="G235" s="92">
        <v>4000</v>
      </c>
      <c r="H235" s="93">
        <f t="shared" si="11"/>
        <v>4000</v>
      </c>
    </row>
    <row r="236" spans="2:8" ht="36">
      <c r="B236" s="18"/>
      <c r="C236" s="29" t="s">
        <v>668</v>
      </c>
      <c r="D236" s="36" t="s">
        <v>717</v>
      </c>
      <c r="E236" s="15">
        <v>36</v>
      </c>
      <c r="F236" s="16" t="s">
        <v>644</v>
      </c>
      <c r="G236" s="92"/>
      <c r="H236" s="93">
        <f t="shared" si="11"/>
        <v>0</v>
      </c>
    </row>
    <row r="237" spans="2:8">
      <c r="B237" s="18">
        <v>13</v>
      </c>
      <c r="C237" s="31" t="s">
        <v>693</v>
      </c>
      <c r="D237" s="13"/>
      <c r="E237" s="12"/>
      <c r="F237" s="13"/>
      <c r="G237" s="92"/>
      <c r="H237" s="93"/>
    </row>
    <row r="238" spans="2:8" ht="24">
      <c r="B238" s="18"/>
      <c r="C238" s="29" t="s">
        <v>583</v>
      </c>
      <c r="D238" s="36" t="s">
        <v>722</v>
      </c>
      <c r="E238" s="15">
        <v>3</v>
      </c>
      <c r="F238" s="16" t="s">
        <v>644</v>
      </c>
      <c r="G238" s="92">
        <v>200</v>
      </c>
      <c r="H238" s="93">
        <f t="shared" ref="H238:H253" si="12">G238*E238</f>
        <v>600</v>
      </c>
    </row>
    <row r="239" spans="2:8">
      <c r="B239" s="18"/>
      <c r="C239" s="29" t="s">
        <v>654</v>
      </c>
      <c r="D239" s="36" t="s">
        <v>648</v>
      </c>
      <c r="E239" s="15">
        <v>1</v>
      </c>
      <c r="F239" s="16" t="s">
        <v>644</v>
      </c>
      <c r="G239" s="92">
        <v>750</v>
      </c>
      <c r="H239" s="93">
        <f t="shared" si="12"/>
        <v>750</v>
      </c>
    </row>
    <row r="240" spans="2:8" ht="24">
      <c r="B240" s="18"/>
      <c r="C240" s="29" t="s">
        <v>655</v>
      </c>
      <c r="D240" s="36" t="s">
        <v>649</v>
      </c>
      <c r="E240" s="15">
        <v>2</v>
      </c>
      <c r="F240" s="16" t="s">
        <v>644</v>
      </c>
      <c r="G240" s="92"/>
      <c r="H240" s="93">
        <f t="shared" si="12"/>
        <v>0</v>
      </c>
    </row>
    <row r="241" spans="2:8" ht="24">
      <c r="B241" s="18"/>
      <c r="C241" s="29" t="s">
        <v>656</v>
      </c>
      <c r="D241" s="36" t="s">
        <v>649</v>
      </c>
      <c r="E241" s="15">
        <v>3</v>
      </c>
      <c r="F241" s="16" t="s">
        <v>644</v>
      </c>
      <c r="G241" s="92"/>
      <c r="H241" s="93">
        <f t="shared" si="12"/>
        <v>0</v>
      </c>
    </row>
    <row r="242" spans="2:8" ht="24">
      <c r="B242" s="18"/>
      <c r="C242" s="29" t="s">
        <v>657</v>
      </c>
      <c r="D242" s="36" t="s">
        <v>649</v>
      </c>
      <c r="E242" s="15">
        <v>2</v>
      </c>
      <c r="F242" s="16" t="s">
        <v>644</v>
      </c>
      <c r="G242" s="92"/>
      <c r="H242" s="93">
        <f t="shared" si="12"/>
        <v>0</v>
      </c>
    </row>
    <row r="243" spans="2:8" ht="24">
      <c r="B243" s="18"/>
      <c r="C243" s="29" t="s">
        <v>658</v>
      </c>
      <c r="D243" s="36" t="s">
        <v>649</v>
      </c>
      <c r="E243" s="15">
        <v>21</v>
      </c>
      <c r="F243" s="16" t="s">
        <v>644</v>
      </c>
      <c r="G243" s="92"/>
      <c r="H243" s="93">
        <f t="shared" si="12"/>
        <v>0</v>
      </c>
    </row>
    <row r="244" spans="2:8" ht="24">
      <c r="B244" s="18"/>
      <c r="C244" s="29" t="s">
        <v>659</v>
      </c>
      <c r="D244" s="36" t="s">
        <v>649</v>
      </c>
      <c r="E244" s="15">
        <v>2</v>
      </c>
      <c r="F244" s="16" t="s">
        <v>644</v>
      </c>
      <c r="G244" s="92"/>
      <c r="H244" s="93">
        <f t="shared" si="12"/>
        <v>0</v>
      </c>
    </row>
    <row r="245" spans="2:8" ht="24">
      <c r="B245" s="18"/>
      <c r="C245" s="29" t="s">
        <v>590</v>
      </c>
      <c r="D245" s="36" t="s">
        <v>651</v>
      </c>
      <c r="E245" s="15">
        <v>24</v>
      </c>
      <c r="F245" s="16" t="s">
        <v>645</v>
      </c>
      <c r="G245" s="92">
        <v>380</v>
      </c>
      <c r="H245" s="93">
        <f t="shared" si="12"/>
        <v>9120</v>
      </c>
    </row>
    <row r="246" spans="2:8" ht="24">
      <c r="B246" s="18"/>
      <c r="C246" s="29" t="s">
        <v>661</v>
      </c>
      <c r="D246" s="36" t="s">
        <v>651</v>
      </c>
      <c r="E246" s="15">
        <v>12</v>
      </c>
      <c r="F246" s="16" t="s">
        <v>645</v>
      </c>
      <c r="G246" s="92">
        <v>300</v>
      </c>
      <c r="H246" s="93">
        <f t="shared" si="12"/>
        <v>3600</v>
      </c>
    </row>
    <row r="247" spans="2:8" ht="24">
      <c r="B247" s="18"/>
      <c r="C247" s="29" t="s">
        <v>662</v>
      </c>
      <c r="D247" s="36" t="s">
        <v>651</v>
      </c>
      <c r="E247" s="15">
        <v>1</v>
      </c>
      <c r="F247" s="16" t="s">
        <v>645</v>
      </c>
      <c r="G247" s="92">
        <v>270</v>
      </c>
      <c r="H247" s="93">
        <f t="shared" si="12"/>
        <v>270</v>
      </c>
    </row>
    <row r="248" spans="2:8" ht="24">
      <c r="B248" s="18"/>
      <c r="C248" s="29" t="s">
        <v>537</v>
      </c>
      <c r="D248" s="36" t="s">
        <v>650</v>
      </c>
      <c r="E248" s="15">
        <v>12</v>
      </c>
      <c r="F248" s="16" t="s">
        <v>644</v>
      </c>
      <c r="G248" s="92"/>
      <c r="H248" s="93">
        <f t="shared" si="12"/>
        <v>0</v>
      </c>
    </row>
    <row r="249" spans="2:8">
      <c r="B249" s="18"/>
      <c r="C249" s="29" t="s">
        <v>663</v>
      </c>
      <c r="D249" s="36" t="s">
        <v>714</v>
      </c>
      <c r="E249" s="15"/>
      <c r="F249" s="16" t="s">
        <v>644</v>
      </c>
      <c r="G249" s="92">
        <v>750</v>
      </c>
      <c r="H249" s="93">
        <f t="shared" si="12"/>
        <v>0</v>
      </c>
    </row>
    <row r="250" spans="2:8" ht="24">
      <c r="B250" s="18"/>
      <c r="C250" s="29" t="s">
        <v>574</v>
      </c>
      <c r="D250" s="36" t="s">
        <v>647</v>
      </c>
      <c r="E250" s="15">
        <v>1</v>
      </c>
      <c r="F250" s="16" t="s">
        <v>644</v>
      </c>
      <c r="G250" s="92">
        <v>1000</v>
      </c>
      <c r="H250" s="93">
        <f t="shared" si="12"/>
        <v>1000</v>
      </c>
    </row>
    <row r="251" spans="2:8" ht="36">
      <c r="B251" s="18"/>
      <c r="C251" s="29" t="s">
        <v>602</v>
      </c>
      <c r="D251" s="36" t="s">
        <v>723</v>
      </c>
      <c r="E251" s="15">
        <v>1</v>
      </c>
      <c r="F251" s="16" t="s">
        <v>644</v>
      </c>
      <c r="G251" s="92">
        <v>1000</v>
      </c>
      <c r="H251" s="93">
        <f t="shared" si="12"/>
        <v>1000</v>
      </c>
    </row>
    <row r="252" spans="2:8" ht="24">
      <c r="B252" s="18"/>
      <c r="C252" s="29" t="s">
        <v>591</v>
      </c>
      <c r="D252" s="36" t="s">
        <v>647</v>
      </c>
      <c r="E252" s="15">
        <v>1</v>
      </c>
      <c r="F252" s="16" t="s">
        <v>644</v>
      </c>
      <c r="G252" s="92">
        <v>2500</v>
      </c>
      <c r="H252" s="93">
        <f t="shared" si="12"/>
        <v>2500</v>
      </c>
    </row>
    <row r="253" spans="2:8" ht="36.75" thickBot="1">
      <c r="B253" s="23"/>
      <c r="C253" s="37" t="s">
        <v>668</v>
      </c>
      <c r="D253" s="40" t="s">
        <v>717</v>
      </c>
      <c r="E253" s="25">
        <v>9</v>
      </c>
      <c r="F253" s="26" t="s">
        <v>644</v>
      </c>
      <c r="G253" s="96"/>
      <c r="H253" s="97">
        <f t="shared" si="12"/>
        <v>0</v>
      </c>
    </row>
    <row r="254" spans="2:8">
      <c r="B254" s="18">
        <v>14</v>
      </c>
      <c r="C254" s="31" t="s">
        <v>755</v>
      </c>
      <c r="D254" s="13"/>
      <c r="E254" s="12"/>
      <c r="F254" s="13"/>
      <c r="G254" s="92"/>
      <c r="H254" s="93"/>
    </row>
    <row r="255" spans="2:8" ht="24">
      <c r="B255" s="18"/>
      <c r="C255" s="29" t="s">
        <v>583</v>
      </c>
      <c r="D255" s="36" t="s">
        <v>722</v>
      </c>
      <c r="E255" s="15">
        <v>400</v>
      </c>
      <c r="F255" s="16" t="s">
        <v>644</v>
      </c>
      <c r="G255" s="92">
        <v>200</v>
      </c>
      <c r="H255" s="93">
        <f t="shared" ref="H255:H283" si="13">G255*E255</f>
        <v>80000</v>
      </c>
    </row>
    <row r="256" spans="2:8">
      <c r="B256" s="18"/>
      <c r="C256" s="29" t="s">
        <v>654</v>
      </c>
      <c r="D256" s="36" t="s">
        <v>648</v>
      </c>
      <c r="E256" s="15">
        <v>30</v>
      </c>
      <c r="F256" s="16" t="s">
        <v>644</v>
      </c>
      <c r="G256" s="92">
        <v>750</v>
      </c>
      <c r="H256" s="93">
        <f t="shared" si="13"/>
        <v>22500</v>
      </c>
    </row>
    <row r="257" spans="2:8" ht="24">
      <c r="B257" s="18"/>
      <c r="C257" s="29" t="s">
        <v>759</v>
      </c>
      <c r="D257" s="36" t="s">
        <v>649</v>
      </c>
      <c r="E257" s="15">
        <v>400</v>
      </c>
      <c r="F257" s="16" t="s">
        <v>644</v>
      </c>
      <c r="G257" s="92"/>
      <c r="H257" s="93">
        <f t="shared" si="13"/>
        <v>0</v>
      </c>
    </row>
    <row r="258" spans="2:8" ht="24">
      <c r="B258" s="18"/>
      <c r="C258" s="29" t="s">
        <v>655</v>
      </c>
      <c r="D258" s="36" t="s">
        <v>649</v>
      </c>
      <c r="E258" s="15">
        <v>400</v>
      </c>
      <c r="F258" s="16" t="s">
        <v>644</v>
      </c>
      <c r="G258" s="92"/>
      <c r="H258" s="93">
        <f t="shared" si="13"/>
        <v>0</v>
      </c>
    </row>
    <row r="259" spans="2:8" ht="24">
      <c r="B259" s="18"/>
      <c r="C259" s="29" t="s">
        <v>656</v>
      </c>
      <c r="D259" s="36" t="s">
        <v>649</v>
      </c>
      <c r="E259" s="15">
        <v>400</v>
      </c>
      <c r="F259" s="16" t="s">
        <v>644</v>
      </c>
      <c r="G259" s="92"/>
      <c r="H259" s="93">
        <f t="shared" si="13"/>
        <v>0</v>
      </c>
    </row>
    <row r="260" spans="2:8" ht="24">
      <c r="B260" s="18"/>
      <c r="C260" s="29" t="s">
        <v>596</v>
      </c>
      <c r="D260" s="36" t="s">
        <v>649</v>
      </c>
      <c r="E260" s="15">
        <v>400</v>
      </c>
      <c r="F260" s="16" t="s">
        <v>644</v>
      </c>
      <c r="G260" s="92"/>
      <c r="H260" s="93">
        <f t="shared" si="13"/>
        <v>0</v>
      </c>
    </row>
    <row r="261" spans="2:8" ht="24">
      <c r="B261" s="18"/>
      <c r="C261" s="29" t="s">
        <v>584</v>
      </c>
      <c r="D261" s="36" t="s">
        <v>649</v>
      </c>
      <c r="E261" s="15">
        <v>400</v>
      </c>
      <c r="F261" s="16" t="s">
        <v>644</v>
      </c>
      <c r="G261" s="92"/>
      <c r="H261" s="93">
        <f t="shared" si="13"/>
        <v>0</v>
      </c>
    </row>
    <row r="262" spans="2:8" ht="24">
      <c r="B262" s="18"/>
      <c r="C262" s="29" t="s">
        <v>657</v>
      </c>
      <c r="D262" s="36" t="s">
        <v>649</v>
      </c>
      <c r="E262" s="15">
        <v>400</v>
      </c>
      <c r="F262" s="16" t="s">
        <v>644</v>
      </c>
      <c r="G262" s="92"/>
      <c r="H262" s="93">
        <f t="shared" si="13"/>
        <v>0</v>
      </c>
    </row>
    <row r="263" spans="2:8" ht="24">
      <c r="B263" s="18"/>
      <c r="C263" s="29" t="s">
        <v>658</v>
      </c>
      <c r="D263" s="36" t="s">
        <v>649</v>
      </c>
      <c r="E263" s="15">
        <v>400</v>
      </c>
      <c r="F263" s="16" t="s">
        <v>644</v>
      </c>
      <c r="G263" s="92"/>
      <c r="H263" s="93">
        <f t="shared" si="13"/>
        <v>0</v>
      </c>
    </row>
    <row r="264" spans="2:8" ht="24">
      <c r="B264" s="18"/>
      <c r="C264" s="29" t="s">
        <v>659</v>
      </c>
      <c r="D264" s="36" t="s">
        <v>649</v>
      </c>
      <c r="E264" s="15">
        <v>400</v>
      </c>
      <c r="F264" s="16" t="s">
        <v>644</v>
      </c>
      <c r="G264" s="92"/>
      <c r="H264" s="93">
        <f t="shared" si="13"/>
        <v>0</v>
      </c>
    </row>
    <row r="265" spans="2:8" ht="24">
      <c r="B265" s="18"/>
      <c r="C265" s="29" t="s">
        <v>666</v>
      </c>
      <c r="D265" s="36" t="s">
        <v>651</v>
      </c>
      <c r="E265" s="15">
        <v>500</v>
      </c>
      <c r="F265" s="16" t="s">
        <v>645</v>
      </c>
      <c r="G265" s="92">
        <v>480</v>
      </c>
      <c r="H265" s="93">
        <f t="shared" si="13"/>
        <v>240000</v>
      </c>
    </row>
    <row r="266" spans="2:8" ht="24">
      <c r="B266" s="18"/>
      <c r="C266" s="29" t="s">
        <v>590</v>
      </c>
      <c r="D266" s="36" t="s">
        <v>651</v>
      </c>
      <c r="E266" s="15">
        <v>500</v>
      </c>
      <c r="F266" s="16" t="s">
        <v>645</v>
      </c>
      <c r="G266" s="92">
        <v>380</v>
      </c>
      <c r="H266" s="93">
        <f t="shared" si="13"/>
        <v>190000</v>
      </c>
    </row>
    <row r="267" spans="2:8" ht="24">
      <c r="B267" s="18"/>
      <c r="C267" s="29" t="s">
        <v>661</v>
      </c>
      <c r="D267" s="36" t="s">
        <v>651</v>
      </c>
      <c r="E267" s="15">
        <v>500</v>
      </c>
      <c r="F267" s="16" t="s">
        <v>645</v>
      </c>
      <c r="G267" s="92">
        <v>300</v>
      </c>
      <c r="H267" s="93">
        <f t="shared" si="13"/>
        <v>150000</v>
      </c>
    </row>
    <row r="268" spans="2:8" ht="24">
      <c r="B268" s="18"/>
      <c r="C268" s="29" t="s">
        <v>662</v>
      </c>
      <c r="D268" s="36" t="s">
        <v>651</v>
      </c>
      <c r="E268" s="15">
        <v>500</v>
      </c>
      <c r="F268" s="16" t="s">
        <v>645</v>
      </c>
      <c r="G268" s="92">
        <v>270</v>
      </c>
      <c r="H268" s="93">
        <f t="shared" si="13"/>
        <v>135000</v>
      </c>
    </row>
    <row r="269" spans="2:8" ht="24">
      <c r="B269" s="18"/>
      <c r="C269" s="29" t="s">
        <v>537</v>
      </c>
      <c r="D269" s="36" t="s">
        <v>650</v>
      </c>
      <c r="E269" s="15">
        <v>400</v>
      </c>
      <c r="F269" s="16" t="s">
        <v>644</v>
      </c>
      <c r="G269" s="92"/>
      <c r="H269" s="93">
        <f t="shared" si="13"/>
        <v>0</v>
      </c>
    </row>
    <row r="270" spans="2:8">
      <c r="B270" s="18"/>
      <c r="C270" s="29" t="s">
        <v>663</v>
      </c>
      <c r="D270" s="36" t="s">
        <v>714</v>
      </c>
      <c r="E270" s="15">
        <v>30</v>
      </c>
      <c r="F270" s="16" t="s">
        <v>644</v>
      </c>
      <c r="G270" s="92">
        <v>750</v>
      </c>
      <c r="H270" s="93">
        <f t="shared" si="13"/>
        <v>22500</v>
      </c>
    </row>
    <row r="271" spans="2:8" ht="24">
      <c r="B271" s="18"/>
      <c r="C271" s="29" t="s">
        <v>574</v>
      </c>
      <c r="D271" s="36" t="s">
        <v>647</v>
      </c>
      <c r="E271" s="15">
        <v>30</v>
      </c>
      <c r="F271" s="16" t="s">
        <v>644</v>
      </c>
      <c r="G271" s="92">
        <v>1000</v>
      </c>
      <c r="H271" s="93">
        <f t="shared" si="13"/>
        <v>30000</v>
      </c>
    </row>
    <row r="272" spans="2:8" ht="36">
      <c r="B272" s="18"/>
      <c r="C272" s="29" t="s">
        <v>602</v>
      </c>
      <c r="D272" s="36" t="s">
        <v>723</v>
      </c>
      <c r="E272" s="15">
        <v>30</v>
      </c>
      <c r="F272" s="16" t="s">
        <v>644</v>
      </c>
      <c r="G272" s="92">
        <v>1000</v>
      </c>
      <c r="H272" s="93">
        <f t="shared" si="13"/>
        <v>30000</v>
      </c>
    </row>
    <row r="273" spans="2:8" ht="24">
      <c r="B273" s="18"/>
      <c r="C273" s="29" t="s">
        <v>591</v>
      </c>
      <c r="D273" s="36" t="s">
        <v>647</v>
      </c>
      <c r="E273" s="15">
        <v>30</v>
      </c>
      <c r="F273" s="16" t="s">
        <v>644</v>
      </c>
      <c r="G273" s="92">
        <v>2500</v>
      </c>
      <c r="H273" s="93">
        <f t="shared" si="13"/>
        <v>75000</v>
      </c>
    </row>
    <row r="274" spans="2:8" ht="24">
      <c r="B274" s="79"/>
      <c r="C274" s="29" t="s">
        <v>587</v>
      </c>
      <c r="D274" s="36" t="s">
        <v>647</v>
      </c>
      <c r="E274" s="82">
        <v>30</v>
      </c>
      <c r="F274" s="16" t="s">
        <v>644</v>
      </c>
      <c r="G274" s="114">
        <v>1750</v>
      </c>
      <c r="H274" s="115">
        <f t="shared" si="13"/>
        <v>52500</v>
      </c>
    </row>
    <row r="275" spans="2:8" ht="36">
      <c r="B275" s="79"/>
      <c r="C275" s="29" t="s">
        <v>588</v>
      </c>
      <c r="D275" s="36" t="s">
        <v>723</v>
      </c>
      <c r="E275" s="82">
        <v>30</v>
      </c>
      <c r="F275" s="16" t="s">
        <v>644</v>
      </c>
      <c r="G275" s="114">
        <v>1000</v>
      </c>
      <c r="H275" s="115">
        <f t="shared" si="13"/>
        <v>30000</v>
      </c>
    </row>
    <row r="276" spans="2:8" ht="24">
      <c r="B276" s="79"/>
      <c r="C276" s="29" t="s">
        <v>589</v>
      </c>
      <c r="D276" s="36" t="s">
        <v>647</v>
      </c>
      <c r="E276" s="82">
        <v>30</v>
      </c>
      <c r="F276" s="16" t="s">
        <v>644</v>
      </c>
      <c r="G276" s="114">
        <v>4000</v>
      </c>
      <c r="H276" s="115">
        <f t="shared" si="13"/>
        <v>120000</v>
      </c>
    </row>
    <row r="277" spans="2:8" ht="24">
      <c r="B277" s="79"/>
      <c r="C277" s="29" t="s">
        <v>599</v>
      </c>
      <c r="D277" s="36" t="s">
        <v>647</v>
      </c>
      <c r="E277" s="82">
        <v>30</v>
      </c>
      <c r="F277" s="83" t="s">
        <v>644</v>
      </c>
      <c r="G277" s="114">
        <v>2000</v>
      </c>
      <c r="H277" s="115">
        <f t="shared" si="13"/>
        <v>60000</v>
      </c>
    </row>
    <row r="278" spans="2:8" ht="36">
      <c r="B278" s="79"/>
      <c r="C278" s="29" t="s">
        <v>601</v>
      </c>
      <c r="D278" s="36" t="s">
        <v>723</v>
      </c>
      <c r="E278" s="82">
        <v>30</v>
      </c>
      <c r="F278" s="83" t="s">
        <v>644</v>
      </c>
      <c r="G278" s="114">
        <v>1250</v>
      </c>
      <c r="H278" s="115">
        <f t="shared" si="13"/>
        <v>37500</v>
      </c>
    </row>
    <row r="279" spans="2:8" ht="24">
      <c r="B279" s="79"/>
      <c r="C279" s="29" t="s">
        <v>600</v>
      </c>
      <c r="D279" s="36" t="s">
        <v>647</v>
      </c>
      <c r="E279" s="82">
        <v>30</v>
      </c>
      <c r="F279" s="83" t="s">
        <v>644</v>
      </c>
      <c r="G279" s="114">
        <v>5000</v>
      </c>
      <c r="H279" s="115">
        <f t="shared" si="13"/>
        <v>150000</v>
      </c>
    </row>
    <row r="280" spans="2:8">
      <c r="B280" s="79"/>
      <c r="C280" s="80" t="s">
        <v>756</v>
      </c>
      <c r="D280" s="81" t="s">
        <v>717</v>
      </c>
      <c r="E280" s="82">
        <v>15</v>
      </c>
      <c r="F280" s="83" t="s">
        <v>644</v>
      </c>
      <c r="G280" s="114">
        <v>5000</v>
      </c>
      <c r="H280" s="115">
        <f t="shared" si="13"/>
        <v>75000</v>
      </c>
    </row>
    <row r="281" spans="2:8">
      <c r="B281" s="79"/>
      <c r="C281" s="80" t="s">
        <v>757</v>
      </c>
      <c r="D281" s="81" t="s">
        <v>717</v>
      </c>
      <c r="E281" s="82">
        <v>15</v>
      </c>
      <c r="F281" s="16" t="s">
        <v>644</v>
      </c>
      <c r="G281" s="114">
        <v>4000</v>
      </c>
      <c r="H281" s="115">
        <f t="shared" si="13"/>
        <v>60000</v>
      </c>
    </row>
    <row r="282" spans="2:8">
      <c r="B282" s="79"/>
      <c r="C282" s="80" t="s">
        <v>758</v>
      </c>
      <c r="D282" s="81" t="s">
        <v>717</v>
      </c>
      <c r="E282" s="82">
        <v>15</v>
      </c>
      <c r="F282" s="83" t="s">
        <v>644</v>
      </c>
      <c r="G282" s="114">
        <v>2500</v>
      </c>
      <c r="H282" s="115">
        <f t="shared" si="13"/>
        <v>37500</v>
      </c>
    </row>
    <row r="283" spans="2:8" ht="36.75" thickBot="1">
      <c r="B283" s="23"/>
      <c r="C283" s="37" t="s">
        <v>668</v>
      </c>
      <c r="D283" s="40" t="s">
        <v>717</v>
      </c>
      <c r="E283" s="25">
        <v>500</v>
      </c>
      <c r="F283" s="26" t="s">
        <v>644</v>
      </c>
      <c r="G283" s="96"/>
      <c r="H283" s="97">
        <f t="shared" si="13"/>
        <v>0</v>
      </c>
    </row>
    <row r="284" spans="2:8" ht="25.5" customHeight="1">
      <c r="E284" s="174" t="s">
        <v>763</v>
      </c>
      <c r="F284" s="174"/>
      <c r="G284" s="174"/>
      <c r="H284" s="110">
        <f>SUM(H9:H283)</f>
        <v>2343160</v>
      </c>
    </row>
  </sheetData>
  <mergeCells count="2">
    <mergeCell ref="B2:H6"/>
    <mergeCell ref="E284:G284"/>
  </mergeCells>
  <printOptions horizontalCentered="1" verticalCentered="1"/>
  <pageMargins left="0" right="0" top="0" bottom="1.1811023622047245" header="0.31496062992125984" footer="0.31496062992125984"/>
  <pageSetup paperSize="9" fitToHeight="0" orientation="landscape" r:id="rId1"/>
  <headerFooter>
    <oddFooter>&amp;CMerkez Ofis : Üçevler Mh. Esra Sk. No:6/21 Polat Plaza
Nilüfer / BURSA
Fabrika : Minareliçavuş Mah. 106(290)Sok. No:44 Kapı No:1
Nilüfer / BURSA</oddFooter>
  </headerFooter>
  <rowBreaks count="13" manualBreakCount="13">
    <brk id="23" max="8" man="1"/>
    <brk id="43" max="8" man="1"/>
    <brk id="63" max="8" man="1"/>
    <brk id="83" max="8" man="1"/>
    <brk id="104" max="8" man="1"/>
    <brk id="124" max="8" man="1"/>
    <brk id="144" max="8" man="1"/>
    <brk id="164" max="8" man="1"/>
    <brk id="184" max="8" man="1"/>
    <brk id="205" max="8" man="1"/>
    <brk id="225" max="8" man="1"/>
    <brk id="245" max="8" man="1"/>
    <brk id="265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71"/>
  <sheetViews>
    <sheetView view="pageBreakPreview" zoomScaleNormal="100" zoomScaleSheetLayoutView="100" workbookViewId="0">
      <pane ySplit="7" topLeftCell="A57" activePane="bottomLeft" state="frozen"/>
      <selection pane="bottomLeft" activeCell="F72" sqref="F72"/>
    </sheetView>
  </sheetViews>
  <sheetFormatPr defaultRowHeight="15" outlineLevelCol="1"/>
  <cols>
    <col min="1" max="1" width="2.7109375" customWidth="1"/>
    <col min="2" max="2" width="3" bestFit="1" customWidth="1"/>
    <col min="3" max="3" width="67.42578125" bestFit="1" customWidth="1"/>
    <col min="4" max="4" width="5.7109375" bestFit="1" customWidth="1"/>
    <col min="5" max="5" width="5.140625" bestFit="1" customWidth="1"/>
    <col min="6" max="6" width="17.85546875" customWidth="1" outlineLevel="1"/>
    <col min="7" max="7" width="27.7109375" customWidth="1" outlineLevel="1"/>
    <col min="8" max="8" width="2.140625" customWidth="1"/>
  </cols>
  <sheetData>
    <row r="1" spans="2:7" ht="15.75" thickBot="1"/>
    <row r="2" spans="2:7" s="41" customFormat="1" ht="12.4" customHeight="1">
      <c r="B2" s="160" t="s">
        <v>747</v>
      </c>
      <c r="C2" s="161"/>
      <c r="D2" s="161"/>
      <c r="E2" s="161"/>
      <c r="F2" s="161"/>
      <c r="G2" s="162"/>
    </row>
    <row r="3" spans="2:7" s="41" customFormat="1" ht="12.4" customHeight="1">
      <c r="B3" s="163"/>
      <c r="C3" s="164"/>
      <c r="D3" s="164"/>
      <c r="E3" s="164"/>
      <c r="F3" s="164"/>
      <c r="G3" s="165"/>
    </row>
    <row r="4" spans="2:7" s="41" customFormat="1" ht="12.4" customHeight="1">
      <c r="B4" s="163"/>
      <c r="C4" s="164"/>
      <c r="D4" s="164"/>
      <c r="E4" s="164"/>
      <c r="F4" s="164"/>
      <c r="G4" s="165"/>
    </row>
    <row r="5" spans="2:7" s="41" customFormat="1" ht="12.4" customHeight="1">
      <c r="B5" s="163"/>
      <c r="C5" s="164"/>
      <c r="D5" s="164"/>
      <c r="E5" s="164"/>
      <c r="F5" s="164"/>
      <c r="G5" s="165"/>
    </row>
    <row r="6" spans="2:7" s="41" customFormat="1" ht="13.15" customHeight="1" thickBot="1">
      <c r="B6" s="166"/>
      <c r="C6" s="167"/>
      <c r="D6" s="167"/>
      <c r="E6" s="167"/>
      <c r="F6" s="167"/>
      <c r="G6" s="168"/>
    </row>
    <row r="7" spans="2:7" ht="24.75" thickBot="1">
      <c r="B7" s="1" t="s">
        <v>0</v>
      </c>
      <c r="C7" s="19" t="s">
        <v>745</v>
      </c>
      <c r="D7" s="2" t="s">
        <v>2</v>
      </c>
      <c r="E7" s="3" t="s">
        <v>3</v>
      </c>
      <c r="F7" s="6" t="s">
        <v>5</v>
      </c>
      <c r="G7" s="5" t="s">
        <v>6</v>
      </c>
    </row>
    <row r="8" spans="2:7" ht="15.75" thickBot="1">
      <c r="B8" s="7"/>
      <c r="C8" s="20"/>
      <c r="D8" s="8"/>
      <c r="E8" s="9"/>
      <c r="F8" s="103"/>
      <c r="G8" s="116"/>
    </row>
    <row r="9" spans="2:7">
      <c r="B9" s="18"/>
      <c r="C9" s="27"/>
      <c r="D9" s="12"/>
      <c r="E9" s="13"/>
      <c r="F9" s="92"/>
      <c r="G9" s="93"/>
    </row>
    <row r="10" spans="2:7">
      <c r="B10" s="18">
        <v>1</v>
      </c>
      <c r="C10" s="31" t="s">
        <v>527</v>
      </c>
      <c r="D10" s="12">
        <v>1</v>
      </c>
      <c r="E10" s="13" t="s">
        <v>468</v>
      </c>
      <c r="F10" s="92">
        <v>2000</v>
      </c>
      <c r="G10" s="93">
        <f>F10*D10</f>
        <v>2000</v>
      </c>
    </row>
    <row r="11" spans="2:7">
      <c r="B11" s="18"/>
      <c r="C11" s="21" t="s">
        <v>280</v>
      </c>
      <c r="D11" s="12"/>
      <c r="E11" s="13"/>
      <c r="F11" s="92"/>
      <c r="G11" s="93"/>
    </row>
    <row r="12" spans="2:7">
      <c r="B12" s="18"/>
      <c r="C12" s="21" t="s">
        <v>630</v>
      </c>
      <c r="D12" s="12"/>
      <c r="E12" s="13"/>
      <c r="F12" s="92"/>
      <c r="G12" s="93"/>
    </row>
    <row r="13" spans="2:7">
      <c r="B13" s="18"/>
      <c r="C13" s="21" t="s">
        <v>207</v>
      </c>
      <c r="D13" s="12"/>
      <c r="E13" s="13"/>
      <c r="F13" s="92"/>
      <c r="G13" s="93"/>
    </row>
    <row r="14" spans="2:7">
      <c r="B14" s="18"/>
      <c r="C14" s="21" t="s">
        <v>60</v>
      </c>
      <c r="D14" s="12"/>
      <c r="E14" s="13"/>
      <c r="F14" s="92"/>
      <c r="G14" s="93"/>
    </row>
    <row r="15" spans="2:7">
      <c r="B15" s="18"/>
      <c r="C15" s="21" t="s">
        <v>61</v>
      </c>
      <c r="D15" s="12"/>
      <c r="E15" s="13"/>
      <c r="F15" s="92"/>
      <c r="G15" s="93"/>
    </row>
    <row r="16" spans="2:7">
      <c r="B16" s="18"/>
      <c r="C16" s="21" t="s">
        <v>62</v>
      </c>
      <c r="D16" s="12"/>
      <c r="E16" s="13"/>
      <c r="F16" s="92"/>
      <c r="G16" s="93"/>
    </row>
    <row r="17" spans="2:7">
      <c r="B17" s="18"/>
      <c r="C17" s="21" t="s">
        <v>628</v>
      </c>
      <c r="D17" s="12"/>
      <c r="E17" s="13"/>
      <c r="F17" s="92"/>
      <c r="G17" s="93"/>
    </row>
    <row r="18" spans="2:7">
      <c r="B18" s="18"/>
      <c r="C18" s="21" t="s">
        <v>629</v>
      </c>
      <c r="D18" s="12"/>
      <c r="E18" s="13"/>
      <c r="F18" s="92"/>
      <c r="G18" s="93"/>
    </row>
    <row r="19" spans="2:7">
      <c r="B19" s="18">
        <v>2</v>
      </c>
      <c r="C19" s="31" t="s">
        <v>601</v>
      </c>
      <c r="D19" s="12">
        <v>1</v>
      </c>
      <c r="E19" s="13" t="s">
        <v>468</v>
      </c>
      <c r="F19" s="92">
        <v>1250</v>
      </c>
      <c r="G19" s="93">
        <f>F19*D19</f>
        <v>1250</v>
      </c>
    </row>
    <row r="20" spans="2:7">
      <c r="B20" s="18"/>
      <c r="C20" s="21"/>
      <c r="D20" s="12"/>
      <c r="E20" s="13"/>
      <c r="F20" s="92"/>
      <c r="G20" s="93"/>
    </row>
    <row r="21" spans="2:7">
      <c r="B21" s="18">
        <v>3</v>
      </c>
      <c r="C21" s="27" t="s">
        <v>631</v>
      </c>
      <c r="D21" s="12">
        <v>1</v>
      </c>
      <c r="E21" s="13" t="s">
        <v>468</v>
      </c>
      <c r="F21" s="92">
        <v>5000</v>
      </c>
      <c r="G21" s="93">
        <f>F21*D21</f>
        <v>5000</v>
      </c>
    </row>
    <row r="22" spans="2:7">
      <c r="B22" s="18"/>
      <c r="C22" s="21" t="s">
        <v>174</v>
      </c>
      <c r="D22" s="12"/>
      <c r="E22" s="13"/>
      <c r="F22" s="92"/>
      <c r="G22" s="93"/>
    </row>
    <row r="23" spans="2:7">
      <c r="B23" s="18"/>
      <c r="C23" s="21" t="s">
        <v>264</v>
      </c>
      <c r="D23" s="12"/>
      <c r="E23" s="13"/>
      <c r="F23" s="92"/>
      <c r="G23" s="93"/>
    </row>
    <row r="24" spans="2:7">
      <c r="B24" s="18"/>
      <c r="C24" s="21" t="s">
        <v>265</v>
      </c>
      <c r="D24" s="12"/>
      <c r="E24" s="13"/>
      <c r="F24" s="92"/>
      <c r="G24" s="93"/>
    </row>
    <row r="25" spans="2:7">
      <c r="B25" s="18"/>
      <c r="C25" s="21" t="s">
        <v>177</v>
      </c>
      <c r="D25" s="12"/>
      <c r="E25" s="13"/>
      <c r="F25" s="92"/>
      <c r="G25" s="93"/>
    </row>
    <row r="26" spans="2:7">
      <c r="B26" s="18"/>
      <c r="C26" s="21" t="s">
        <v>266</v>
      </c>
      <c r="D26" s="12"/>
      <c r="E26" s="13"/>
      <c r="F26" s="92"/>
      <c r="G26" s="93"/>
    </row>
    <row r="27" spans="2:7">
      <c r="B27" s="18"/>
      <c r="C27" s="21" t="s">
        <v>267</v>
      </c>
      <c r="D27" s="12"/>
      <c r="E27" s="13"/>
      <c r="F27" s="92"/>
      <c r="G27" s="93"/>
    </row>
    <row r="28" spans="2:7">
      <c r="B28" s="18"/>
      <c r="C28" s="21" t="s">
        <v>268</v>
      </c>
      <c r="D28" s="12"/>
      <c r="E28" s="13"/>
      <c r="F28" s="92"/>
      <c r="G28" s="93"/>
    </row>
    <row r="29" spans="2:7">
      <c r="B29" s="18"/>
      <c r="C29" s="21" t="s">
        <v>269</v>
      </c>
      <c r="D29" s="12"/>
      <c r="E29" s="13"/>
      <c r="F29" s="92"/>
      <c r="G29" s="93"/>
    </row>
    <row r="30" spans="2:7">
      <c r="B30" s="18"/>
      <c r="C30" s="21" t="s">
        <v>270</v>
      </c>
      <c r="D30" s="12"/>
      <c r="E30" s="13"/>
      <c r="F30" s="92"/>
      <c r="G30" s="93"/>
    </row>
    <row r="31" spans="2:7">
      <c r="B31" s="18"/>
      <c r="C31" s="21" t="s">
        <v>271</v>
      </c>
      <c r="D31" s="12"/>
      <c r="E31" s="13"/>
      <c r="F31" s="92"/>
      <c r="G31" s="93"/>
    </row>
    <row r="32" spans="2:7">
      <c r="B32" s="18"/>
      <c r="C32" s="21" t="s">
        <v>272</v>
      </c>
      <c r="D32" s="12"/>
      <c r="E32" s="13"/>
      <c r="F32" s="92"/>
      <c r="G32" s="93"/>
    </row>
    <row r="33" spans="2:7">
      <c r="B33" s="18"/>
      <c r="C33" s="21" t="s">
        <v>273</v>
      </c>
      <c r="D33" s="12"/>
      <c r="E33" s="13"/>
      <c r="F33" s="92"/>
      <c r="G33" s="93"/>
    </row>
    <row r="34" spans="2:7">
      <c r="B34" s="18"/>
      <c r="C34" s="21" t="s">
        <v>274</v>
      </c>
      <c r="D34" s="12"/>
      <c r="E34" s="13"/>
      <c r="F34" s="92"/>
      <c r="G34" s="93"/>
    </row>
    <row r="35" spans="2:7">
      <c r="B35" s="18"/>
      <c r="C35" s="21" t="s">
        <v>275</v>
      </c>
      <c r="D35" s="12"/>
      <c r="E35" s="13"/>
      <c r="F35" s="92"/>
      <c r="G35" s="93"/>
    </row>
    <row r="36" spans="2:7">
      <c r="B36" s="18"/>
      <c r="C36" s="21" t="s">
        <v>276</v>
      </c>
      <c r="D36" s="12"/>
      <c r="E36" s="13"/>
      <c r="F36" s="92"/>
      <c r="G36" s="93"/>
    </row>
    <row r="37" spans="2:7">
      <c r="B37" s="18"/>
      <c r="C37" s="21" t="s">
        <v>185</v>
      </c>
      <c r="D37" s="12"/>
      <c r="E37" s="13"/>
      <c r="F37" s="92"/>
      <c r="G37" s="93"/>
    </row>
    <row r="38" spans="2:7">
      <c r="B38" s="18"/>
      <c r="C38" s="21" t="s">
        <v>632</v>
      </c>
      <c r="D38" s="12"/>
      <c r="E38" s="13"/>
      <c r="F38" s="92"/>
      <c r="G38" s="93"/>
    </row>
    <row r="39" spans="2:7">
      <c r="B39" s="18">
        <v>4</v>
      </c>
      <c r="C39" s="27" t="s">
        <v>538</v>
      </c>
      <c r="D39" s="12">
        <v>78</v>
      </c>
      <c r="E39" s="13" t="s">
        <v>469</v>
      </c>
      <c r="F39" s="92">
        <v>550</v>
      </c>
      <c r="G39" s="93">
        <f>F39*D39</f>
        <v>42900</v>
      </c>
    </row>
    <row r="40" spans="2:7">
      <c r="B40" s="18"/>
      <c r="C40" s="21" t="s">
        <v>317</v>
      </c>
      <c r="D40" s="12"/>
      <c r="E40" s="13"/>
      <c r="F40" s="92"/>
      <c r="G40" s="93"/>
    </row>
    <row r="41" spans="2:7">
      <c r="B41" s="18"/>
      <c r="C41" s="21" t="s">
        <v>318</v>
      </c>
      <c r="D41" s="12"/>
      <c r="E41" s="13"/>
      <c r="F41" s="92"/>
      <c r="G41" s="93"/>
    </row>
    <row r="42" spans="2:7">
      <c r="B42" s="18"/>
      <c r="C42" s="21" t="s">
        <v>212</v>
      </c>
      <c r="D42" s="12"/>
      <c r="E42" s="13"/>
      <c r="F42" s="92"/>
      <c r="G42" s="93"/>
    </row>
    <row r="43" spans="2:7">
      <c r="B43" s="18"/>
      <c r="C43" s="21" t="s">
        <v>319</v>
      </c>
      <c r="D43" s="12"/>
      <c r="E43" s="13"/>
      <c r="F43" s="92"/>
      <c r="G43" s="93"/>
    </row>
    <row r="44" spans="2:7">
      <c r="B44" s="18"/>
      <c r="C44" s="21" t="s">
        <v>106</v>
      </c>
      <c r="D44" s="12"/>
      <c r="E44" s="13"/>
      <c r="F44" s="92"/>
      <c r="G44" s="93"/>
    </row>
    <row r="45" spans="2:7">
      <c r="B45" s="18"/>
      <c r="C45" s="21" t="s">
        <v>320</v>
      </c>
      <c r="D45" s="12"/>
      <c r="E45" s="13"/>
      <c r="F45" s="92"/>
      <c r="G45" s="93"/>
    </row>
    <row r="46" spans="2:7">
      <c r="B46" s="18"/>
      <c r="C46" s="21" t="s">
        <v>108</v>
      </c>
      <c r="D46" s="12"/>
      <c r="E46" s="13"/>
      <c r="F46" s="92"/>
      <c r="G46" s="93"/>
    </row>
    <row r="47" spans="2:7">
      <c r="B47" s="18">
        <v>5</v>
      </c>
      <c r="C47" s="27" t="s">
        <v>540</v>
      </c>
      <c r="D47" s="12">
        <v>108</v>
      </c>
      <c r="E47" s="13" t="s">
        <v>469</v>
      </c>
      <c r="F47" s="92">
        <v>380</v>
      </c>
      <c r="G47" s="93">
        <f>F47*D47</f>
        <v>41040</v>
      </c>
    </row>
    <row r="48" spans="2:7">
      <c r="B48" s="18"/>
      <c r="C48" s="21" t="s">
        <v>321</v>
      </c>
      <c r="D48" s="12"/>
      <c r="E48" s="13"/>
      <c r="F48" s="92"/>
      <c r="G48" s="93"/>
    </row>
    <row r="49" spans="2:7" ht="13.9" customHeight="1">
      <c r="B49" s="18"/>
      <c r="C49" s="21" t="s">
        <v>283</v>
      </c>
      <c r="D49" s="12"/>
      <c r="E49" s="13"/>
      <c r="F49" s="92"/>
      <c r="G49" s="93"/>
    </row>
    <row r="50" spans="2:7">
      <c r="B50" s="18">
        <v>6</v>
      </c>
      <c r="C50" s="27" t="s">
        <v>633</v>
      </c>
      <c r="D50" s="12">
        <v>1</v>
      </c>
      <c r="E50" s="13" t="s">
        <v>468</v>
      </c>
      <c r="F50" s="92"/>
      <c r="G50" s="93">
        <f>F50*D50</f>
        <v>0</v>
      </c>
    </row>
    <row r="51" spans="2:7">
      <c r="B51" s="18"/>
      <c r="C51" s="21" t="s">
        <v>216</v>
      </c>
      <c r="D51" s="12"/>
      <c r="E51" s="13"/>
      <c r="F51" s="92"/>
      <c r="G51" s="93"/>
    </row>
    <row r="52" spans="2:7">
      <c r="B52" s="18"/>
      <c r="C52" s="21" t="s">
        <v>88</v>
      </c>
      <c r="D52" s="12"/>
      <c r="E52" s="13"/>
      <c r="F52" s="92"/>
      <c r="G52" s="93"/>
    </row>
    <row r="53" spans="2:7">
      <c r="B53" s="18"/>
      <c r="C53" s="21" t="s">
        <v>217</v>
      </c>
      <c r="D53" s="12"/>
      <c r="E53" s="13"/>
      <c r="F53" s="92"/>
      <c r="G53" s="93"/>
    </row>
    <row r="54" spans="2:7">
      <c r="B54" s="18"/>
      <c r="C54" s="21" t="s">
        <v>90</v>
      </c>
      <c r="D54" s="12"/>
      <c r="E54" s="13"/>
      <c r="F54" s="92"/>
      <c r="G54" s="93"/>
    </row>
    <row r="55" spans="2:7">
      <c r="B55" s="18"/>
      <c r="C55" s="21" t="s">
        <v>183</v>
      </c>
      <c r="D55" s="12"/>
      <c r="E55" s="13"/>
      <c r="F55" s="92"/>
      <c r="G55" s="93"/>
    </row>
    <row r="56" spans="2:7">
      <c r="B56" s="18"/>
      <c r="C56" s="21" t="s">
        <v>218</v>
      </c>
      <c r="D56" s="12"/>
      <c r="E56" s="13"/>
      <c r="F56" s="92"/>
      <c r="G56" s="93"/>
    </row>
    <row r="57" spans="2:7">
      <c r="B57" s="18">
        <v>7</v>
      </c>
      <c r="C57" s="27" t="s">
        <v>637</v>
      </c>
      <c r="D57" s="12">
        <v>30</v>
      </c>
      <c r="E57" s="13" t="s">
        <v>468</v>
      </c>
      <c r="F57" s="92"/>
      <c r="G57" s="93">
        <f>F57*D57</f>
        <v>0</v>
      </c>
    </row>
    <row r="58" spans="2:7">
      <c r="B58" s="18"/>
      <c r="C58" s="21" t="s">
        <v>216</v>
      </c>
      <c r="D58" s="12"/>
      <c r="E58" s="13"/>
      <c r="F58" s="92"/>
      <c r="G58" s="93"/>
    </row>
    <row r="59" spans="2:7">
      <c r="B59" s="18"/>
      <c r="C59" s="21" t="s">
        <v>219</v>
      </c>
      <c r="D59" s="12"/>
      <c r="E59" s="13"/>
      <c r="F59" s="92"/>
      <c r="G59" s="93"/>
    </row>
    <row r="60" spans="2:7">
      <c r="B60" s="18"/>
      <c r="C60" s="21" t="s">
        <v>217</v>
      </c>
      <c r="D60" s="12"/>
      <c r="E60" s="13"/>
      <c r="F60" s="92"/>
      <c r="G60" s="93"/>
    </row>
    <row r="61" spans="2:7">
      <c r="B61" s="18"/>
      <c r="C61" s="21" t="s">
        <v>90</v>
      </c>
      <c r="D61" s="12"/>
      <c r="E61" s="13"/>
      <c r="F61" s="92"/>
      <c r="G61" s="93"/>
    </row>
    <row r="62" spans="2:7">
      <c r="B62" s="18"/>
      <c r="C62" s="21" t="s">
        <v>183</v>
      </c>
      <c r="D62" s="12"/>
      <c r="E62" s="13"/>
      <c r="F62" s="92"/>
      <c r="G62" s="93"/>
    </row>
    <row r="63" spans="2:7">
      <c r="B63" s="18"/>
      <c r="C63" s="21" t="s">
        <v>218</v>
      </c>
      <c r="D63" s="12"/>
      <c r="E63" s="13"/>
      <c r="F63" s="92"/>
      <c r="G63" s="93"/>
    </row>
    <row r="64" spans="2:7">
      <c r="B64" s="18">
        <v>8</v>
      </c>
      <c r="C64" s="27" t="s">
        <v>627</v>
      </c>
      <c r="D64" s="12">
        <v>12</v>
      </c>
      <c r="E64" s="13" t="s">
        <v>468</v>
      </c>
      <c r="F64" s="92"/>
      <c r="G64" s="93">
        <f>F64*D64</f>
        <v>0</v>
      </c>
    </row>
    <row r="65" spans="2:7">
      <c r="B65" s="18"/>
      <c r="C65" s="21" t="s">
        <v>634</v>
      </c>
      <c r="D65" s="12"/>
      <c r="E65" s="13"/>
      <c r="F65" s="92"/>
      <c r="G65" s="93"/>
    </row>
    <row r="66" spans="2:7">
      <c r="B66" s="18"/>
      <c r="C66" s="21" t="s">
        <v>635</v>
      </c>
      <c r="D66" s="12"/>
      <c r="E66" s="13"/>
      <c r="F66" s="92"/>
      <c r="G66" s="93"/>
    </row>
    <row r="67" spans="2:7">
      <c r="B67" s="18"/>
      <c r="C67" s="21" t="s">
        <v>217</v>
      </c>
      <c r="D67" s="12"/>
      <c r="E67" s="13"/>
      <c r="F67" s="92"/>
      <c r="G67" s="93"/>
    </row>
    <row r="68" spans="2:7">
      <c r="B68" s="18"/>
      <c r="C68" s="21" t="s">
        <v>90</v>
      </c>
      <c r="D68" s="12"/>
      <c r="E68" s="13"/>
      <c r="F68" s="92"/>
      <c r="G68" s="93"/>
    </row>
    <row r="69" spans="2:7">
      <c r="B69" s="18"/>
      <c r="C69" s="21" t="s">
        <v>183</v>
      </c>
      <c r="D69" s="12"/>
      <c r="E69" s="13"/>
      <c r="F69" s="92"/>
      <c r="G69" s="93"/>
    </row>
    <row r="70" spans="2:7" ht="15.75" thickBot="1">
      <c r="B70" s="23"/>
      <c r="C70" s="22" t="s">
        <v>636</v>
      </c>
      <c r="D70" s="28"/>
      <c r="E70" s="24"/>
      <c r="F70" s="96"/>
      <c r="G70" s="97"/>
    </row>
    <row r="71" spans="2:7" ht="22.5" customHeight="1">
      <c r="F71" s="113" t="s">
        <v>763</v>
      </c>
      <c r="G71" s="113">
        <f>SUM(G9:G70)</f>
        <v>92190</v>
      </c>
    </row>
  </sheetData>
  <mergeCells count="1">
    <mergeCell ref="B2:G6"/>
  </mergeCells>
  <printOptions horizontalCentered="1" verticalCentered="1"/>
  <pageMargins left="0" right="0" top="0" bottom="1.1811023622047245" header="0.31496062992125984" footer="0.31496062992125984"/>
  <pageSetup paperSize="9" fitToHeight="0" orientation="landscape" r:id="rId1"/>
  <headerFooter>
    <oddFooter>&amp;CMerkez Ofis : Üçevler Mh. Esra Sk. No:6/21 Polat Plaza
Nilüfer / BURSA
Fabrika : Minareliçavuş Mah. 106(290)Sok. No:44 Kapı No:1
Nilüfer / BURSA</oddFooter>
  </headerFooter>
  <rowBreaks count="2" manualBreakCount="2">
    <brk id="32" max="7" man="1"/>
    <brk id="63" max="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0"/>
  <sheetViews>
    <sheetView tabSelected="1" view="pageBreakPreview" topLeftCell="B10" zoomScale="115" zoomScaleNormal="100" zoomScaleSheetLayoutView="115" workbookViewId="0">
      <selection activeCell="E20" sqref="E20:G20"/>
    </sheetView>
  </sheetViews>
  <sheetFormatPr defaultRowHeight="15" outlineLevelCol="1"/>
  <cols>
    <col min="1" max="1" width="3.140625" customWidth="1"/>
    <col min="2" max="2" width="3" bestFit="1" customWidth="1"/>
    <col min="3" max="3" width="57.28515625" customWidth="1"/>
    <col min="4" max="4" width="18.7109375" customWidth="1"/>
    <col min="5" max="5" width="5.7109375" bestFit="1" customWidth="1"/>
    <col min="6" max="6" width="5.140625" bestFit="1" customWidth="1"/>
    <col min="7" max="7" width="10.7109375" customWidth="1" outlineLevel="1"/>
    <col min="8" max="8" width="16.42578125" customWidth="1" outlineLevel="1"/>
    <col min="9" max="10" width="1.42578125" customWidth="1"/>
  </cols>
  <sheetData>
    <row r="1" spans="2:8" ht="15.75" thickBot="1"/>
    <row r="2" spans="2:8" s="41" customFormat="1" ht="12.4" customHeight="1">
      <c r="B2" s="160" t="s">
        <v>747</v>
      </c>
      <c r="C2" s="161"/>
      <c r="D2" s="161"/>
      <c r="E2" s="161"/>
      <c r="F2" s="161"/>
      <c r="G2" s="161"/>
      <c r="H2" s="162"/>
    </row>
    <row r="3" spans="2:8" s="41" customFormat="1" ht="12.4" customHeight="1">
      <c r="B3" s="163"/>
      <c r="C3" s="164"/>
      <c r="D3" s="164"/>
      <c r="E3" s="164"/>
      <c r="F3" s="164"/>
      <c r="G3" s="164"/>
      <c r="H3" s="165"/>
    </row>
    <row r="4" spans="2:8" s="41" customFormat="1" ht="12.4" customHeight="1">
      <c r="B4" s="163"/>
      <c r="C4" s="164"/>
      <c r="D4" s="164"/>
      <c r="E4" s="164"/>
      <c r="F4" s="164"/>
      <c r="G4" s="164"/>
      <c r="H4" s="165"/>
    </row>
    <row r="5" spans="2:8" s="41" customFormat="1" ht="12.4" customHeight="1">
      <c r="B5" s="163"/>
      <c r="C5" s="164"/>
      <c r="D5" s="164"/>
      <c r="E5" s="164"/>
      <c r="F5" s="164"/>
      <c r="G5" s="164"/>
      <c r="H5" s="165"/>
    </row>
    <row r="6" spans="2:8" s="41" customFormat="1" ht="13.15" customHeight="1" thickBot="1">
      <c r="B6" s="166"/>
      <c r="C6" s="167"/>
      <c r="D6" s="167"/>
      <c r="E6" s="167"/>
      <c r="F6" s="167"/>
      <c r="G6" s="167"/>
      <c r="H6" s="168"/>
    </row>
    <row r="7" spans="2:8" ht="40.5" customHeight="1" thickBot="1">
      <c r="B7" s="1" t="s">
        <v>0</v>
      </c>
      <c r="C7" s="19" t="s">
        <v>746</v>
      </c>
      <c r="D7" s="117" t="s">
        <v>646</v>
      </c>
      <c r="E7" s="118" t="s">
        <v>2</v>
      </c>
      <c r="F7" s="117" t="s">
        <v>3</v>
      </c>
      <c r="G7" s="120" t="s">
        <v>5</v>
      </c>
      <c r="H7" s="119" t="s">
        <v>6</v>
      </c>
    </row>
    <row r="8" spans="2:8" ht="15.75" thickBot="1">
      <c r="B8" s="7"/>
      <c r="C8" s="20"/>
      <c r="D8" s="9"/>
      <c r="E8" s="8"/>
      <c r="F8" s="9"/>
      <c r="G8" s="103"/>
      <c r="H8" s="116"/>
    </row>
    <row r="9" spans="2:8">
      <c r="B9" s="18"/>
      <c r="C9" s="27"/>
      <c r="D9" s="13"/>
      <c r="E9" s="12"/>
      <c r="F9" s="13"/>
      <c r="G9" s="92"/>
      <c r="H9" s="93"/>
    </row>
    <row r="10" spans="2:8" ht="25.5" customHeight="1">
      <c r="B10" s="18">
        <v>1</v>
      </c>
      <c r="C10" s="31" t="s">
        <v>638</v>
      </c>
      <c r="D10" s="32" t="s">
        <v>647</v>
      </c>
      <c r="E10" s="12">
        <v>6</v>
      </c>
      <c r="F10" s="13" t="s">
        <v>644</v>
      </c>
      <c r="G10" s="92">
        <v>200</v>
      </c>
      <c r="H10" s="93">
        <f t="shared" ref="H10:H19" si="0">G10*E10</f>
        <v>1200</v>
      </c>
    </row>
    <row r="11" spans="2:8" ht="25.5" customHeight="1">
      <c r="B11" s="18">
        <v>2</v>
      </c>
      <c r="C11" s="27" t="s">
        <v>639</v>
      </c>
      <c r="D11" s="32" t="s">
        <v>648</v>
      </c>
      <c r="E11" s="12">
        <v>1</v>
      </c>
      <c r="F11" s="13" t="s">
        <v>644</v>
      </c>
      <c r="G11" s="92">
        <v>750</v>
      </c>
      <c r="H11" s="93">
        <f t="shared" si="0"/>
        <v>750</v>
      </c>
    </row>
    <row r="12" spans="2:8" ht="25.5" customHeight="1">
      <c r="B12" s="18">
        <v>3</v>
      </c>
      <c r="C12" s="27" t="s">
        <v>592</v>
      </c>
      <c r="D12" s="32" t="s">
        <v>649</v>
      </c>
      <c r="E12" s="12">
        <v>2</v>
      </c>
      <c r="F12" s="13" t="s">
        <v>644</v>
      </c>
      <c r="G12" s="92"/>
      <c r="H12" s="93">
        <f t="shared" si="0"/>
        <v>0</v>
      </c>
    </row>
    <row r="13" spans="2:8" ht="25.5" customHeight="1">
      <c r="B13" s="18">
        <v>4</v>
      </c>
      <c r="C13" s="27" t="s">
        <v>593</v>
      </c>
      <c r="D13" s="32" t="s">
        <v>649</v>
      </c>
      <c r="E13" s="12">
        <v>2</v>
      </c>
      <c r="F13" s="13" t="s">
        <v>644</v>
      </c>
      <c r="G13" s="92"/>
      <c r="H13" s="93">
        <f t="shared" si="0"/>
        <v>0</v>
      </c>
    </row>
    <row r="14" spans="2:8" ht="25.5" customHeight="1">
      <c r="B14" s="18">
        <v>5</v>
      </c>
      <c r="C14" s="27" t="s">
        <v>640</v>
      </c>
      <c r="D14" s="32" t="s">
        <v>650</v>
      </c>
      <c r="E14" s="12">
        <v>6</v>
      </c>
      <c r="F14" s="13" t="s">
        <v>644</v>
      </c>
      <c r="G14" s="92"/>
      <c r="H14" s="93">
        <f t="shared" si="0"/>
        <v>0</v>
      </c>
    </row>
    <row r="15" spans="2:8" ht="25.5" customHeight="1">
      <c r="B15" s="18">
        <v>6</v>
      </c>
      <c r="C15" s="27" t="s">
        <v>641</v>
      </c>
      <c r="D15" s="32" t="s">
        <v>650</v>
      </c>
      <c r="E15" s="12">
        <v>6</v>
      </c>
      <c r="F15" s="13" t="s">
        <v>644</v>
      </c>
      <c r="G15" s="92"/>
      <c r="H15" s="93">
        <f t="shared" si="0"/>
        <v>0</v>
      </c>
    </row>
    <row r="16" spans="2:8" ht="25.5" customHeight="1">
      <c r="B16" s="18">
        <v>7</v>
      </c>
      <c r="C16" s="27" t="s">
        <v>642</v>
      </c>
      <c r="D16" s="32" t="s">
        <v>651</v>
      </c>
      <c r="E16" s="12">
        <v>24</v>
      </c>
      <c r="F16" s="13" t="s">
        <v>645</v>
      </c>
      <c r="G16" s="92">
        <v>380</v>
      </c>
      <c r="H16" s="93">
        <f t="shared" si="0"/>
        <v>9120</v>
      </c>
    </row>
    <row r="17" spans="2:8" ht="25.5" customHeight="1">
      <c r="B17" s="18">
        <v>8</v>
      </c>
      <c r="C17" s="27" t="s">
        <v>643</v>
      </c>
      <c r="D17" s="32" t="s">
        <v>651</v>
      </c>
      <c r="E17" s="12">
        <v>18</v>
      </c>
      <c r="F17" s="13" t="s">
        <v>645</v>
      </c>
      <c r="G17" s="92">
        <v>270</v>
      </c>
      <c r="H17" s="93">
        <f t="shared" si="0"/>
        <v>4860</v>
      </c>
    </row>
    <row r="18" spans="2:8" ht="25.5" customHeight="1">
      <c r="B18" s="18">
        <v>9</v>
      </c>
      <c r="C18" s="27" t="s">
        <v>574</v>
      </c>
      <c r="D18" s="32" t="s">
        <v>647</v>
      </c>
      <c r="E18" s="12">
        <v>1</v>
      </c>
      <c r="F18" s="13" t="s">
        <v>644</v>
      </c>
      <c r="G18" s="92">
        <v>1250</v>
      </c>
      <c r="H18" s="93">
        <f t="shared" si="0"/>
        <v>1250</v>
      </c>
    </row>
    <row r="19" spans="2:8" ht="36.75" thickBot="1">
      <c r="B19" s="23">
        <v>10</v>
      </c>
      <c r="C19" s="38" t="s">
        <v>602</v>
      </c>
      <c r="D19" s="39" t="s">
        <v>652</v>
      </c>
      <c r="E19" s="28">
        <v>1</v>
      </c>
      <c r="F19" s="24" t="s">
        <v>644</v>
      </c>
      <c r="G19" s="96">
        <v>1000</v>
      </c>
      <c r="H19" s="97">
        <f t="shared" si="0"/>
        <v>1000</v>
      </c>
    </row>
    <row r="20" spans="2:8" ht="27" customHeight="1">
      <c r="E20" s="173" t="s">
        <v>763</v>
      </c>
      <c r="F20" s="173"/>
      <c r="G20" s="173"/>
      <c r="H20" s="111">
        <f>SUM(H10:H19)</f>
        <v>18180</v>
      </c>
    </row>
  </sheetData>
  <mergeCells count="2">
    <mergeCell ref="B2:H6"/>
    <mergeCell ref="E20:G20"/>
  </mergeCells>
  <printOptions horizontalCentered="1" verticalCentered="1"/>
  <pageMargins left="0" right="0" top="0" bottom="1.1811023622047245" header="0.31496062992125984" footer="0.31496062992125984"/>
  <pageSetup paperSize="9" fitToHeight="0" orientation="landscape" r:id="rId1"/>
  <headerFooter>
    <oddFooter>&amp;CMerkez Ofis : Üçevler Mh. Esra Sk. No:6/21 Polat Plaza
Nilüfer / BURSA
Fabrika : Minareliçavuş Mah. 106(290)Sok. No:44 Kapı No:1
Nilüfer / BURSA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735"/>
  <sheetViews>
    <sheetView view="pageBreakPreview" zoomScaleNormal="85" zoomScaleSheetLayoutView="100" workbookViewId="0">
      <selection activeCell="F11" sqref="F11"/>
    </sheetView>
  </sheetViews>
  <sheetFormatPr defaultRowHeight="15" outlineLevelCol="1"/>
  <cols>
    <col min="1" max="1" width="3.28515625" customWidth="1"/>
    <col min="2" max="2" width="3.140625" bestFit="1" customWidth="1"/>
    <col min="3" max="3" width="76.7109375" bestFit="1" customWidth="1"/>
    <col min="4" max="5" width="6" bestFit="1" customWidth="1"/>
    <col min="6" max="6" width="14.140625" customWidth="1" outlineLevel="1"/>
    <col min="7" max="7" width="20.42578125" customWidth="1" outlineLevel="1"/>
    <col min="8" max="8" width="1.7109375" customWidth="1"/>
  </cols>
  <sheetData>
    <row r="1" spans="2:7" ht="15.75" thickBot="1"/>
    <row r="2" spans="2:7" s="41" customFormat="1" ht="12.4" customHeight="1">
      <c r="B2" s="160" t="s">
        <v>747</v>
      </c>
      <c r="C2" s="161"/>
      <c r="D2" s="161"/>
      <c r="E2" s="161"/>
      <c r="F2" s="161"/>
      <c r="G2" s="162"/>
    </row>
    <row r="3" spans="2:7" s="41" customFormat="1" ht="12.4" customHeight="1">
      <c r="B3" s="163"/>
      <c r="C3" s="164"/>
      <c r="D3" s="164"/>
      <c r="E3" s="164"/>
      <c r="F3" s="164"/>
      <c r="G3" s="165"/>
    </row>
    <row r="4" spans="2:7" s="41" customFormat="1" ht="12.4" customHeight="1">
      <c r="B4" s="163"/>
      <c r="C4" s="164"/>
      <c r="D4" s="164"/>
      <c r="E4" s="164"/>
      <c r="F4" s="164"/>
      <c r="G4" s="165"/>
    </row>
    <row r="5" spans="2:7" s="41" customFormat="1" ht="12.4" customHeight="1">
      <c r="B5" s="163"/>
      <c r="C5" s="164"/>
      <c r="D5" s="164"/>
      <c r="E5" s="164"/>
      <c r="F5" s="164"/>
      <c r="G5" s="165"/>
    </row>
    <row r="6" spans="2:7" s="41" customFormat="1" ht="13.15" customHeight="1" thickBot="1">
      <c r="B6" s="166"/>
      <c r="C6" s="167"/>
      <c r="D6" s="167"/>
      <c r="E6" s="167"/>
      <c r="F6" s="167"/>
      <c r="G6" s="168"/>
    </row>
    <row r="7" spans="2:7" ht="24.75" thickBot="1">
      <c r="B7" s="1" t="s">
        <v>0</v>
      </c>
      <c r="C7" s="19" t="s">
        <v>740</v>
      </c>
      <c r="D7" s="2" t="s">
        <v>2</v>
      </c>
      <c r="E7" s="3" t="s">
        <v>3</v>
      </c>
      <c r="F7" s="55" t="s">
        <v>5</v>
      </c>
      <c r="G7" s="54" t="s">
        <v>6</v>
      </c>
    </row>
    <row r="8" spans="2:7" ht="15.75" thickBot="1">
      <c r="B8" s="7"/>
      <c r="C8" s="20"/>
      <c r="D8" s="8"/>
      <c r="E8" s="9"/>
      <c r="F8" s="11"/>
      <c r="G8" s="59"/>
    </row>
    <row r="9" spans="2:7">
      <c r="B9" s="18"/>
      <c r="C9" s="27"/>
      <c r="D9" s="12"/>
      <c r="E9" s="13"/>
      <c r="F9" s="92"/>
      <c r="G9" s="93"/>
    </row>
    <row r="10" spans="2:7">
      <c r="B10" s="18">
        <v>1</v>
      </c>
      <c r="C10" s="27" t="s">
        <v>523</v>
      </c>
      <c r="D10" s="12">
        <v>124</v>
      </c>
      <c r="E10" s="13" t="s">
        <v>468</v>
      </c>
      <c r="F10" s="92">
        <v>0</v>
      </c>
      <c r="G10" s="93">
        <f>F10*D10</f>
        <v>0</v>
      </c>
    </row>
    <row r="11" spans="2:7">
      <c r="B11" s="18"/>
      <c r="C11" s="21" t="s">
        <v>260</v>
      </c>
      <c r="D11" s="12"/>
      <c r="E11" s="13"/>
      <c r="F11" s="92"/>
      <c r="G11" s="93"/>
    </row>
    <row r="12" spans="2:7">
      <c r="B12" s="18"/>
      <c r="C12" s="21" t="s">
        <v>165</v>
      </c>
      <c r="D12" s="12"/>
      <c r="E12" s="13"/>
      <c r="F12" s="92"/>
      <c r="G12" s="93"/>
    </row>
    <row r="13" spans="2:7">
      <c r="B13" s="18"/>
      <c r="C13" s="21" t="s">
        <v>166</v>
      </c>
      <c r="D13" s="12"/>
      <c r="E13" s="13"/>
      <c r="F13" s="92"/>
      <c r="G13" s="93"/>
    </row>
    <row r="14" spans="2:7">
      <c r="B14" s="18"/>
      <c r="C14" s="21" t="s">
        <v>167</v>
      </c>
      <c r="D14" s="12"/>
      <c r="E14" s="13"/>
      <c r="F14" s="92"/>
      <c r="G14" s="93"/>
    </row>
    <row r="15" spans="2:7">
      <c r="B15" s="18"/>
      <c r="C15" s="21" t="s">
        <v>261</v>
      </c>
      <c r="D15" s="12"/>
      <c r="E15" s="13"/>
      <c r="F15" s="92"/>
      <c r="G15" s="93"/>
    </row>
    <row r="16" spans="2:7">
      <c r="B16" s="18"/>
      <c r="C16" s="21" t="s">
        <v>262</v>
      </c>
      <c r="D16" s="12"/>
      <c r="E16" s="13"/>
      <c r="F16" s="92"/>
      <c r="G16" s="93"/>
    </row>
    <row r="17" spans="2:7">
      <c r="B17" s="18"/>
      <c r="C17" s="21" t="s">
        <v>46</v>
      </c>
      <c r="D17" s="12"/>
      <c r="E17" s="13"/>
      <c r="F17" s="92"/>
      <c r="G17" s="93"/>
    </row>
    <row r="18" spans="2:7">
      <c r="B18" s="18"/>
      <c r="C18" s="21" t="s">
        <v>263</v>
      </c>
      <c r="D18" s="12"/>
      <c r="E18" s="13"/>
      <c r="F18" s="92"/>
      <c r="G18" s="93"/>
    </row>
    <row r="19" spans="2:7">
      <c r="B19" s="18">
        <v>2</v>
      </c>
      <c r="C19" s="27" t="s">
        <v>524</v>
      </c>
      <c r="D19" s="12">
        <v>1</v>
      </c>
      <c r="E19" s="13" t="s">
        <v>468</v>
      </c>
      <c r="F19" s="92"/>
      <c r="G19" s="93">
        <f>F19*D19</f>
        <v>0</v>
      </c>
    </row>
    <row r="20" spans="2:7">
      <c r="B20" s="18"/>
      <c r="C20" s="21" t="s">
        <v>174</v>
      </c>
      <c r="D20" s="12"/>
      <c r="E20" s="13"/>
      <c r="F20" s="92"/>
      <c r="G20" s="93"/>
    </row>
    <row r="21" spans="2:7">
      <c r="B21" s="18"/>
      <c r="C21" s="21" t="s">
        <v>264</v>
      </c>
      <c r="D21" s="12"/>
      <c r="E21" s="13"/>
      <c r="F21" s="92"/>
      <c r="G21" s="93"/>
    </row>
    <row r="22" spans="2:7">
      <c r="B22" s="18"/>
      <c r="C22" s="21" t="s">
        <v>265</v>
      </c>
      <c r="D22" s="12"/>
      <c r="E22" s="13"/>
      <c r="F22" s="92"/>
      <c r="G22" s="93"/>
    </row>
    <row r="23" spans="2:7">
      <c r="B23" s="18"/>
      <c r="C23" s="21" t="s">
        <v>177</v>
      </c>
      <c r="D23" s="12"/>
      <c r="E23" s="13"/>
      <c r="F23" s="92"/>
      <c r="G23" s="93"/>
    </row>
    <row r="24" spans="2:7">
      <c r="B24" s="18"/>
      <c r="C24" s="21" t="s">
        <v>266</v>
      </c>
      <c r="D24" s="12"/>
      <c r="E24" s="13"/>
      <c r="F24" s="92"/>
      <c r="G24" s="93"/>
    </row>
    <row r="25" spans="2:7">
      <c r="B25" s="18"/>
      <c r="C25" s="21" t="s">
        <v>267</v>
      </c>
      <c r="D25" s="12"/>
      <c r="E25" s="13"/>
      <c r="F25" s="92"/>
      <c r="G25" s="93"/>
    </row>
    <row r="26" spans="2:7">
      <c r="B26" s="18"/>
      <c r="C26" s="21" t="s">
        <v>268</v>
      </c>
      <c r="D26" s="12"/>
      <c r="E26" s="13"/>
      <c r="F26" s="92"/>
      <c r="G26" s="93"/>
    </row>
    <row r="27" spans="2:7">
      <c r="B27" s="18"/>
      <c r="C27" s="21" t="s">
        <v>269</v>
      </c>
      <c r="D27" s="12"/>
      <c r="E27" s="13"/>
      <c r="F27" s="92"/>
      <c r="G27" s="93"/>
    </row>
    <row r="28" spans="2:7">
      <c r="B28" s="18"/>
      <c r="C28" s="21" t="s">
        <v>270</v>
      </c>
      <c r="D28" s="12"/>
      <c r="E28" s="13"/>
      <c r="F28" s="92"/>
      <c r="G28" s="93"/>
    </row>
    <row r="29" spans="2:7">
      <c r="B29" s="18"/>
      <c r="C29" s="21" t="s">
        <v>271</v>
      </c>
      <c r="D29" s="12"/>
      <c r="E29" s="13"/>
      <c r="F29" s="92"/>
      <c r="G29" s="93"/>
    </row>
    <row r="30" spans="2:7">
      <c r="B30" s="18"/>
      <c r="C30" s="21" t="s">
        <v>272</v>
      </c>
      <c r="D30" s="12"/>
      <c r="E30" s="13"/>
      <c r="F30" s="92"/>
      <c r="G30" s="93"/>
    </row>
    <row r="31" spans="2:7">
      <c r="B31" s="18"/>
      <c r="C31" s="21" t="s">
        <v>273</v>
      </c>
      <c r="D31" s="12"/>
      <c r="E31" s="13"/>
      <c r="F31" s="92"/>
      <c r="G31" s="93"/>
    </row>
    <row r="32" spans="2:7">
      <c r="B32" s="18"/>
      <c r="C32" s="21" t="s">
        <v>274</v>
      </c>
      <c r="D32" s="12"/>
      <c r="E32" s="13"/>
      <c r="F32" s="92"/>
      <c r="G32" s="93"/>
    </row>
    <row r="33" spans="2:7">
      <c r="B33" s="18"/>
      <c r="C33" s="21" t="s">
        <v>275</v>
      </c>
      <c r="D33" s="12"/>
      <c r="E33" s="13"/>
      <c r="F33" s="92"/>
      <c r="G33" s="93"/>
    </row>
    <row r="34" spans="2:7">
      <c r="B34" s="18"/>
      <c r="C34" s="21" t="s">
        <v>276</v>
      </c>
      <c r="D34" s="12"/>
      <c r="E34" s="13"/>
      <c r="F34" s="92"/>
      <c r="G34" s="93"/>
    </row>
    <row r="35" spans="2:7">
      <c r="B35" s="18"/>
      <c r="C35" s="21" t="s">
        <v>185</v>
      </c>
      <c r="D35" s="12"/>
      <c r="E35" s="13"/>
      <c r="F35" s="92"/>
      <c r="G35" s="93"/>
    </row>
    <row r="36" spans="2:7">
      <c r="B36" s="18"/>
      <c r="C36" s="21" t="s">
        <v>277</v>
      </c>
      <c r="D36" s="12"/>
      <c r="E36" s="13"/>
      <c r="F36" s="92"/>
      <c r="G36" s="93"/>
    </row>
    <row r="37" spans="2:7">
      <c r="B37" s="18"/>
      <c r="C37" s="21" t="s">
        <v>46</v>
      </c>
      <c r="D37" s="12"/>
      <c r="E37" s="13"/>
      <c r="F37" s="92"/>
      <c r="G37" s="93"/>
    </row>
    <row r="38" spans="2:7">
      <c r="B38" s="18"/>
      <c r="C38" s="21" t="s">
        <v>184</v>
      </c>
      <c r="D38" s="12"/>
      <c r="E38" s="13"/>
      <c r="F38" s="92"/>
      <c r="G38" s="93"/>
    </row>
    <row r="39" spans="2:7">
      <c r="B39" s="18">
        <v>3</v>
      </c>
      <c r="C39" s="27" t="s">
        <v>525</v>
      </c>
      <c r="D39" s="12">
        <v>2</v>
      </c>
      <c r="E39" s="13" t="s">
        <v>468</v>
      </c>
      <c r="F39" s="92"/>
      <c r="G39" s="93">
        <f>F39*D39</f>
        <v>0</v>
      </c>
    </row>
    <row r="40" spans="2:7">
      <c r="B40" s="18"/>
      <c r="C40" s="21" t="s">
        <v>174</v>
      </c>
      <c r="D40" s="12"/>
      <c r="E40" s="13"/>
      <c r="F40" s="92"/>
      <c r="G40" s="93"/>
    </row>
    <row r="41" spans="2:7">
      <c r="B41" s="18"/>
      <c r="C41" s="21" t="s">
        <v>278</v>
      </c>
      <c r="D41" s="12"/>
      <c r="E41" s="13"/>
      <c r="F41" s="92"/>
      <c r="G41" s="93"/>
    </row>
    <row r="42" spans="2:7">
      <c r="B42" s="18"/>
      <c r="C42" s="21" t="s">
        <v>265</v>
      </c>
      <c r="D42" s="12"/>
      <c r="E42" s="13"/>
      <c r="F42" s="92"/>
      <c r="G42" s="93"/>
    </row>
    <row r="43" spans="2:7">
      <c r="B43" s="18">
        <v>4</v>
      </c>
      <c r="C43" s="27" t="s">
        <v>526</v>
      </c>
      <c r="D43" s="12">
        <v>6</v>
      </c>
      <c r="E43" s="13" t="s">
        <v>468</v>
      </c>
      <c r="F43" s="92"/>
      <c r="G43" s="93">
        <f>F43*D43</f>
        <v>0</v>
      </c>
    </row>
    <row r="44" spans="2:7">
      <c r="B44" s="18"/>
      <c r="C44" s="21" t="s">
        <v>174</v>
      </c>
      <c r="D44" s="12"/>
      <c r="E44" s="13"/>
      <c r="F44" s="92"/>
      <c r="G44" s="93"/>
    </row>
    <row r="45" spans="2:7">
      <c r="B45" s="18"/>
      <c r="C45" s="21" t="s">
        <v>279</v>
      </c>
      <c r="D45" s="12"/>
      <c r="E45" s="13"/>
      <c r="F45" s="92"/>
      <c r="G45" s="93"/>
    </row>
    <row r="46" spans="2:7">
      <c r="B46" s="18"/>
      <c r="C46" s="21" t="s">
        <v>265</v>
      </c>
      <c r="D46" s="12"/>
      <c r="E46" s="13"/>
      <c r="F46" s="92"/>
      <c r="G46" s="93"/>
    </row>
    <row r="47" spans="2:7">
      <c r="B47" s="18"/>
      <c r="C47" s="21" t="s">
        <v>177</v>
      </c>
      <c r="D47" s="12"/>
      <c r="E47" s="13"/>
      <c r="F47" s="92"/>
      <c r="G47" s="93"/>
    </row>
    <row r="48" spans="2:7">
      <c r="B48" s="18"/>
      <c r="C48" s="21" t="s">
        <v>266</v>
      </c>
      <c r="D48" s="12"/>
      <c r="E48" s="13"/>
      <c r="F48" s="92"/>
      <c r="G48" s="93"/>
    </row>
    <row r="49" spans="2:7">
      <c r="B49" s="18"/>
      <c r="C49" s="21" t="s">
        <v>267</v>
      </c>
      <c r="D49" s="12"/>
      <c r="E49" s="13"/>
      <c r="F49" s="92"/>
      <c r="G49" s="93"/>
    </row>
    <row r="50" spans="2:7">
      <c r="B50" s="18"/>
      <c r="C50" s="21" t="s">
        <v>268</v>
      </c>
      <c r="D50" s="12"/>
      <c r="E50" s="13"/>
      <c r="F50" s="92"/>
      <c r="G50" s="93"/>
    </row>
    <row r="51" spans="2:7">
      <c r="B51" s="18"/>
      <c r="C51" s="21" t="s">
        <v>269</v>
      </c>
      <c r="D51" s="12"/>
      <c r="E51" s="13"/>
      <c r="F51" s="92"/>
      <c r="G51" s="93"/>
    </row>
    <row r="52" spans="2:7">
      <c r="B52" s="18"/>
      <c r="C52" s="21" t="s">
        <v>270</v>
      </c>
      <c r="D52" s="12"/>
      <c r="E52" s="13"/>
      <c r="F52" s="92"/>
      <c r="G52" s="93"/>
    </row>
    <row r="53" spans="2:7">
      <c r="B53" s="18"/>
      <c r="C53" s="21" t="s">
        <v>271</v>
      </c>
      <c r="D53" s="12"/>
      <c r="E53" s="13"/>
      <c r="F53" s="92"/>
      <c r="G53" s="93"/>
    </row>
    <row r="54" spans="2:7">
      <c r="B54" s="18"/>
      <c r="C54" s="21" t="s">
        <v>272</v>
      </c>
      <c r="D54" s="12"/>
      <c r="E54" s="13"/>
      <c r="F54" s="92"/>
      <c r="G54" s="93"/>
    </row>
    <row r="55" spans="2:7">
      <c r="B55" s="18"/>
      <c r="C55" s="21" t="s">
        <v>273</v>
      </c>
      <c r="D55" s="12"/>
      <c r="E55" s="13"/>
      <c r="F55" s="92"/>
      <c r="G55" s="93"/>
    </row>
    <row r="56" spans="2:7">
      <c r="B56" s="18"/>
      <c r="C56" s="21" t="s">
        <v>274</v>
      </c>
      <c r="D56" s="12"/>
      <c r="E56" s="13"/>
      <c r="F56" s="92"/>
      <c r="G56" s="93"/>
    </row>
    <row r="57" spans="2:7">
      <c r="B57" s="18"/>
      <c r="C57" s="21" t="s">
        <v>275</v>
      </c>
      <c r="D57" s="12"/>
      <c r="E57" s="13"/>
      <c r="F57" s="92"/>
      <c r="G57" s="93"/>
    </row>
    <row r="58" spans="2:7">
      <c r="B58" s="18"/>
      <c r="C58" s="21" t="s">
        <v>276</v>
      </c>
      <c r="D58" s="12"/>
      <c r="E58" s="13"/>
      <c r="F58" s="92"/>
      <c r="G58" s="93"/>
    </row>
    <row r="59" spans="2:7">
      <c r="B59" s="18"/>
      <c r="C59" s="21" t="s">
        <v>185</v>
      </c>
      <c r="D59" s="12"/>
      <c r="E59" s="13"/>
      <c r="F59" s="92"/>
      <c r="G59" s="93"/>
    </row>
    <row r="60" spans="2:7">
      <c r="B60" s="18"/>
      <c r="C60" s="21" t="s">
        <v>277</v>
      </c>
      <c r="D60" s="12"/>
      <c r="E60" s="13"/>
      <c r="F60" s="92"/>
      <c r="G60" s="93"/>
    </row>
    <row r="61" spans="2:7">
      <c r="B61" s="18"/>
      <c r="C61" s="21" t="s">
        <v>46</v>
      </c>
      <c r="D61" s="12"/>
      <c r="E61" s="13"/>
      <c r="F61" s="92"/>
      <c r="G61" s="93"/>
    </row>
    <row r="62" spans="2:7">
      <c r="B62" s="18"/>
      <c r="C62" s="21" t="s">
        <v>184</v>
      </c>
      <c r="D62" s="12"/>
      <c r="E62" s="13"/>
      <c r="F62" s="92"/>
      <c r="G62" s="93"/>
    </row>
    <row r="63" spans="2:7">
      <c r="B63" s="18">
        <v>5</v>
      </c>
      <c r="C63" s="27" t="s">
        <v>527</v>
      </c>
      <c r="D63" s="12">
        <v>1</v>
      </c>
      <c r="E63" s="13" t="s">
        <v>468</v>
      </c>
      <c r="F63" s="92"/>
      <c r="G63" s="93">
        <f>F63*D63</f>
        <v>0</v>
      </c>
    </row>
    <row r="64" spans="2:7">
      <c r="B64" s="18"/>
      <c r="C64" s="21" t="s">
        <v>280</v>
      </c>
      <c r="D64" s="12"/>
      <c r="E64" s="13"/>
      <c r="F64" s="92"/>
      <c r="G64" s="93"/>
    </row>
    <row r="65" spans="2:7">
      <c r="B65" s="18"/>
      <c r="C65" s="21" t="s">
        <v>281</v>
      </c>
      <c r="D65" s="12"/>
      <c r="E65" s="13"/>
      <c r="F65" s="92"/>
      <c r="G65" s="93"/>
    </row>
    <row r="66" spans="2:7">
      <c r="B66" s="18"/>
      <c r="C66" s="21" t="s">
        <v>207</v>
      </c>
      <c r="D66" s="12"/>
      <c r="E66" s="13"/>
      <c r="F66" s="92"/>
      <c r="G66" s="93"/>
    </row>
    <row r="67" spans="2:7">
      <c r="B67" s="18"/>
      <c r="C67" s="21" t="s">
        <v>60</v>
      </c>
      <c r="D67" s="12"/>
      <c r="E67" s="13"/>
      <c r="F67" s="92"/>
      <c r="G67" s="93"/>
    </row>
    <row r="68" spans="2:7">
      <c r="B68" s="18"/>
      <c r="C68" s="21" t="s">
        <v>61</v>
      </c>
      <c r="D68" s="12"/>
      <c r="E68" s="13"/>
      <c r="F68" s="92"/>
      <c r="G68" s="93"/>
    </row>
    <row r="69" spans="2:7">
      <c r="B69" s="18"/>
      <c r="C69" s="21" t="s">
        <v>62</v>
      </c>
      <c r="D69" s="12"/>
      <c r="E69" s="13"/>
      <c r="F69" s="92"/>
      <c r="G69" s="93"/>
    </row>
    <row r="70" spans="2:7">
      <c r="B70" s="18"/>
      <c r="C70" s="21" t="s">
        <v>209</v>
      </c>
      <c r="D70" s="12"/>
      <c r="E70" s="13"/>
      <c r="F70" s="92"/>
      <c r="G70" s="93"/>
    </row>
    <row r="71" spans="2:7">
      <c r="B71" s="18"/>
      <c r="C71" s="21" t="s">
        <v>46</v>
      </c>
      <c r="D71" s="12"/>
      <c r="E71" s="13"/>
      <c r="F71" s="92"/>
      <c r="G71" s="93"/>
    </row>
    <row r="72" spans="2:7">
      <c r="B72" s="18"/>
      <c r="C72" s="21" t="s">
        <v>64</v>
      </c>
      <c r="D72" s="12"/>
      <c r="E72" s="13"/>
      <c r="F72" s="92"/>
      <c r="G72" s="93"/>
    </row>
    <row r="73" spans="2:7">
      <c r="B73" s="18">
        <v>6</v>
      </c>
      <c r="C73" s="27" t="s">
        <v>528</v>
      </c>
      <c r="D73" s="12">
        <v>2</v>
      </c>
      <c r="E73" s="13" t="s">
        <v>468</v>
      </c>
      <c r="F73" s="92"/>
      <c r="G73" s="93">
        <f>F73*D73</f>
        <v>0</v>
      </c>
    </row>
    <row r="74" spans="2:7">
      <c r="B74" s="18"/>
      <c r="C74" s="21" t="s">
        <v>48</v>
      </c>
      <c r="D74" s="12"/>
      <c r="E74" s="13"/>
      <c r="F74" s="92"/>
      <c r="G74" s="93"/>
    </row>
    <row r="75" spans="2:7">
      <c r="B75" s="18"/>
      <c r="C75" s="21" t="s">
        <v>282</v>
      </c>
      <c r="D75" s="12"/>
      <c r="E75" s="13"/>
      <c r="F75" s="92"/>
      <c r="G75" s="93"/>
    </row>
    <row r="76" spans="2:7">
      <c r="B76" s="18">
        <v>7</v>
      </c>
      <c r="C76" s="27" t="s">
        <v>529</v>
      </c>
      <c r="D76" s="12">
        <v>6</v>
      </c>
      <c r="E76" s="13" t="s">
        <v>468</v>
      </c>
      <c r="F76" s="92"/>
      <c r="G76" s="93">
        <f>F76*D76</f>
        <v>0</v>
      </c>
    </row>
    <row r="77" spans="2:7">
      <c r="B77" s="18"/>
      <c r="C77" s="21" t="s">
        <v>48</v>
      </c>
      <c r="D77" s="12"/>
      <c r="E77" s="13"/>
      <c r="F77" s="92"/>
      <c r="G77" s="93"/>
    </row>
    <row r="78" spans="2:7">
      <c r="B78" s="18"/>
      <c r="C78" s="21" t="s">
        <v>283</v>
      </c>
      <c r="D78" s="12"/>
      <c r="E78" s="13"/>
      <c r="F78" s="92"/>
      <c r="G78" s="93"/>
    </row>
    <row r="79" spans="2:7">
      <c r="B79" s="18">
        <v>8</v>
      </c>
      <c r="C79" s="27" t="s">
        <v>530</v>
      </c>
      <c r="D79" s="12">
        <v>660</v>
      </c>
      <c r="E79" s="13" t="s">
        <v>468</v>
      </c>
      <c r="F79" s="92"/>
      <c r="G79" s="93">
        <f>F79*D79</f>
        <v>0</v>
      </c>
    </row>
    <row r="80" spans="2:7">
      <c r="B80" s="18"/>
      <c r="C80" s="21" t="s">
        <v>284</v>
      </c>
      <c r="D80" s="12"/>
      <c r="E80" s="13"/>
      <c r="F80" s="92"/>
      <c r="G80" s="93"/>
    </row>
    <row r="81" spans="2:7">
      <c r="B81" s="18"/>
      <c r="C81" s="21" t="s">
        <v>285</v>
      </c>
      <c r="D81" s="12"/>
      <c r="E81" s="13"/>
      <c r="F81" s="92"/>
      <c r="G81" s="93"/>
    </row>
    <row r="82" spans="2:7">
      <c r="B82" s="18"/>
      <c r="C82" s="21" t="s">
        <v>286</v>
      </c>
      <c r="D82" s="12"/>
      <c r="E82" s="13"/>
      <c r="F82" s="92"/>
      <c r="G82" s="93"/>
    </row>
    <row r="83" spans="2:7">
      <c r="B83" s="18"/>
      <c r="C83" s="21" t="s">
        <v>97</v>
      </c>
      <c r="D83" s="12"/>
      <c r="E83" s="13"/>
      <c r="F83" s="92"/>
      <c r="G83" s="93"/>
    </row>
    <row r="84" spans="2:7">
      <c r="B84" s="18"/>
      <c r="C84" s="21" t="s">
        <v>287</v>
      </c>
      <c r="D84" s="12"/>
      <c r="E84" s="13"/>
      <c r="F84" s="92"/>
      <c r="G84" s="93"/>
    </row>
    <row r="85" spans="2:7">
      <c r="B85" s="18"/>
      <c r="C85" s="21" t="s">
        <v>288</v>
      </c>
      <c r="D85" s="12"/>
      <c r="E85" s="13"/>
      <c r="F85" s="92"/>
      <c r="G85" s="93"/>
    </row>
    <row r="86" spans="2:7">
      <c r="B86" s="18"/>
      <c r="C86" s="21" t="s">
        <v>289</v>
      </c>
      <c r="D86" s="12"/>
      <c r="E86" s="13"/>
      <c r="F86" s="92"/>
      <c r="G86" s="93"/>
    </row>
    <row r="87" spans="2:7">
      <c r="B87" s="18"/>
      <c r="C87" s="21" t="s">
        <v>290</v>
      </c>
      <c r="D87" s="12"/>
      <c r="E87" s="13"/>
      <c r="F87" s="92"/>
      <c r="G87" s="93"/>
    </row>
    <row r="88" spans="2:7">
      <c r="B88" s="18"/>
      <c r="C88" s="21" t="s">
        <v>291</v>
      </c>
      <c r="D88" s="12"/>
      <c r="E88" s="13"/>
      <c r="F88" s="92"/>
      <c r="G88" s="93"/>
    </row>
    <row r="89" spans="2:7">
      <c r="B89" s="18"/>
      <c r="C89" s="21" t="s">
        <v>292</v>
      </c>
      <c r="D89" s="12"/>
      <c r="E89" s="13"/>
      <c r="F89" s="92"/>
      <c r="G89" s="93"/>
    </row>
    <row r="90" spans="2:7">
      <c r="B90" s="18"/>
      <c r="C90" s="21" t="s">
        <v>96</v>
      </c>
      <c r="D90" s="12"/>
      <c r="E90" s="13"/>
      <c r="F90" s="92"/>
      <c r="G90" s="93"/>
    </row>
    <row r="91" spans="2:7">
      <c r="B91" s="18"/>
      <c r="C91" s="21" t="s">
        <v>293</v>
      </c>
      <c r="D91" s="12"/>
      <c r="E91" s="13"/>
      <c r="F91" s="92"/>
      <c r="G91" s="93"/>
    </row>
    <row r="92" spans="2:7">
      <c r="B92" s="18">
        <v>9</v>
      </c>
      <c r="C92" s="27" t="s">
        <v>617</v>
      </c>
      <c r="D92" s="12">
        <v>4</v>
      </c>
      <c r="E92" s="13" t="s">
        <v>468</v>
      </c>
      <c r="F92" s="92"/>
      <c r="G92" s="93">
        <f>F92*D92</f>
        <v>0</v>
      </c>
    </row>
    <row r="93" spans="2:7">
      <c r="B93" s="18"/>
      <c r="C93" s="21" t="s">
        <v>294</v>
      </c>
      <c r="D93" s="12"/>
      <c r="E93" s="13"/>
      <c r="F93" s="92"/>
      <c r="G93" s="93"/>
    </row>
    <row r="94" spans="2:7">
      <c r="B94" s="18"/>
      <c r="C94" s="21" t="s">
        <v>221</v>
      </c>
      <c r="D94" s="12"/>
      <c r="E94" s="13"/>
      <c r="F94" s="92"/>
      <c r="G94" s="93"/>
    </row>
    <row r="95" spans="2:7">
      <c r="B95" s="18"/>
      <c r="C95" s="21" t="s">
        <v>222</v>
      </c>
      <c r="D95" s="12"/>
      <c r="E95" s="13"/>
      <c r="F95" s="92"/>
      <c r="G95" s="93"/>
    </row>
    <row r="96" spans="2:7">
      <c r="B96" s="18"/>
      <c r="C96" s="21" t="s">
        <v>295</v>
      </c>
      <c r="D96" s="12"/>
      <c r="E96" s="13"/>
      <c r="F96" s="92"/>
      <c r="G96" s="93"/>
    </row>
    <row r="97" spans="2:7">
      <c r="B97" s="18"/>
      <c r="C97" s="21" t="s">
        <v>223</v>
      </c>
      <c r="D97" s="12"/>
      <c r="E97" s="13"/>
      <c r="F97" s="92"/>
      <c r="G97" s="93"/>
    </row>
    <row r="98" spans="2:7">
      <c r="B98" s="18"/>
      <c r="C98" s="21" t="s">
        <v>224</v>
      </c>
      <c r="D98" s="12"/>
      <c r="E98" s="13"/>
      <c r="F98" s="92"/>
      <c r="G98" s="93"/>
    </row>
    <row r="99" spans="2:7">
      <c r="B99" s="18"/>
      <c r="C99" s="21" t="s">
        <v>296</v>
      </c>
      <c r="D99" s="12"/>
      <c r="E99" s="13"/>
      <c r="F99" s="92"/>
      <c r="G99" s="93"/>
    </row>
    <row r="100" spans="2:7">
      <c r="B100" s="18"/>
      <c r="C100" s="21" t="s">
        <v>170</v>
      </c>
      <c r="D100" s="12"/>
      <c r="E100" s="13"/>
      <c r="F100" s="92"/>
      <c r="G100" s="93"/>
    </row>
    <row r="101" spans="2:7">
      <c r="B101" s="18"/>
      <c r="C101" s="21" t="s">
        <v>297</v>
      </c>
      <c r="D101" s="12"/>
      <c r="E101" s="13"/>
      <c r="F101" s="92"/>
      <c r="G101" s="93"/>
    </row>
    <row r="102" spans="2:7">
      <c r="B102" s="18">
        <v>9</v>
      </c>
      <c r="C102" s="27" t="s">
        <v>531</v>
      </c>
      <c r="D102" s="12">
        <v>8</v>
      </c>
      <c r="E102" s="13" t="s">
        <v>468</v>
      </c>
      <c r="F102" s="92"/>
      <c r="G102" s="93">
        <f>F102*D102</f>
        <v>0</v>
      </c>
    </row>
    <row r="103" spans="2:7">
      <c r="B103" s="18"/>
      <c r="C103" s="21" t="s">
        <v>48</v>
      </c>
      <c r="D103" s="12"/>
      <c r="E103" s="13"/>
      <c r="F103" s="92"/>
      <c r="G103" s="93"/>
    </row>
    <row r="104" spans="2:7">
      <c r="B104" s="18"/>
      <c r="C104" s="21" t="s">
        <v>282</v>
      </c>
      <c r="D104" s="12"/>
      <c r="E104" s="13"/>
      <c r="F104" s="92"/>
      <c r="G104" s="93"/>
    </row>
    <row r="105" spans="2:7">
      <c r="B105" s="18">
        <v>10</v>
      </c>
      <c r="C105" s="27" t="s">
        <v>532</v>
      </c>
      <c r="D105" s="12">
        <v>24</v>
      </c>
      <c r="E105" s="13" t="s">
        <v>468</v>
      </c>
      <c r="F105" s="92"/>
      <c r="G105" s="93">
        <f>F105*D105</f>
        <v>0</v>
      </c>
    </row>
    <row r="106" spans="2:7">
      <c r="B106" s="18"/>
      <c r="C106" s="21" t="s">
        <v>48</v>
      </c>
      <c r="D106" s="12"/>
      <c r="E106" s="13"/>
      <c r="F106" s="92"/>
      <c r="G106" s="93"/>
    </row>
    <row r="107" spans="2:7">
      <c r="B107" s="18"/>
      <c r="C107" s="21" t="s">
        <v>283</v>
      </c>
      <c r="D107" s="12"/>
      <c r="E107" s="13"/>
      <c r="F107" s="92"/>
      <c r="G107" s="93"/>
    </row>
    <row r="108" spans="2:7">
      <c r="B108" s="18">
        <v>11</v>
      </c>
      <c r="C108" s="27" t="s">
        <v>618</v>
      </c>
      <c r="D108" s="12">
        <v>57</v>
      </c>
      <c r="E108" s="13" t="s">
        <v>468</v>
      </c>
      <c r="F108" s="92"/>
      <c r="G108" s="93">
        <f>F108*D108</f>
        <v>0</v>
      </c>
    </row>
    <row r="109" spans="2:7">
      <c r="B109" s="18"/>
      <c r="C109" s="21" t="s">
        <v>216</v>
      </c>
      <c r="D109" s="12"/>
      <c r="E109" s="13"/>
      <c r="F109" s="92"/>
      <c r="G109" s="93"/>
    </row>
    <row r="110" spans="2:7">
      <c r="B110" s="18"/>
      <c r="C110" s="21" t="s">
        <v>219</v>
      </c>
      <c r="D110" s="12"/>
      <c r="E110" s="13"/>
      <c r="F110" s="92"/>
      <c r="G110" s="93"/>
    </row>
    <row r="111" spans="2:7">
      <c r="B111" s="18"/>
      <c r="C111" s="21" t="s">
        <v>217</v>
      </c>
      <c r="D111" s="12"/>
      <c r="E111" s="13"/>
      <c r="F111" s="92"/>
      <c r="G111" s="93"/>
    </row>
    <row r="112" spans="2:7">
      <c r="B112" s="18"/>
      <c r="C112" s="21" t="s">
        <v>317</v>
      </c>
      <c r="D112" s="12"/>
      <c r="E112" s="13"/>
      <c r="F112" s="92"/>
      <c r="G112" s="93"/>
    </row>
    <row r="113" spans="2:7">
      <c r="B113" s="18"/>
      <c r="C113" s="21" t="s">
        <v>90</v>
      </c>
      <c r="D113" s="12"/>
      <c r="E113" s="13"/>
      <c r="F113" s="92"/>
      <c r="G113" s="93"/>
    </row>
    <row r="114" spans="2:7">
      <c r="B114" s="18"/>
      <c r="C114" s="21" t="s">
        <v>298</v>
      </c>
      <c r="D114" s="12"/>
      <c r="E114" s="13"/>
      <c r="F114" s="92"/>
      <c r="G114" s="93"/>
    </row>
    <row r="115" spans="2:7">
      <c r="B115" s="18"/>
      <c r="C115" s="21" t="s">
        <v>299</v>
      </c>
      <c r="D115" s="12"/>
      <c r="E115" s="13"/>
      <c r="F115" s="92"/>
      <c r="G115" s="93"/>
    </row>
    <row r="116" spans="2:7">
      <c r="B116" s="18">
        <v>11</v>
      </c>
      <c r="C116" s="27" t="s">
        <v>533</v>
      </c>
      <c r="D116" s="12">
        <v>178</v>
      </c>
      <c r="E116" s="13" t="s">
        <v>468</v>
      </c>
      <c r="F116" s="92"/>
      <c r="G116" s="93">
        <f>F116*D116</f>
        <v>0</v>
      </c>
    </row>
    <row r="117" spans="2:7">
      <c r="B117" s="18"/>
      <c r="C117" s="21" t="s">
        <v>216</v>
      </c>
      <c r="D117" s="12"/>
      <c r="E117" s="13"/>
      <c r="F117" s="92"/>
      <c r="G117" s="93"/>
    </row>
    <row r="118" spans="2:7">
      <c r="B118" s="18"/>
      <c r="C118" s="21" t="s">
        <v>219</v>
      </c>
      <c r="D118" s="12"/>
      <c r="E118" s="13"/>
      <c r="F118" s="92"/>
      <c r="G118" s="93"/>
    </row>
    <row r="119" spans="2:7">
      <c r="B119" s="18"/>
      <c r="C119" s="21" t="s">
        <v>217</v>
      </c>
      <c r="D119" s="12"/>
      <c r="E119" s="13"/>
      <c r="F119" s="92"/>
      <c r="G119" s="93"/>
    </row>
    <row r="120" spans="2:7">
      <c r="B120" s="18"/>
      <c r="C120" s="21" t="s">
        <v>282</v>
      </c>
      <c r="D120" s="12"/>
      <c r="E120" s="13"/>
      <c r="F120" s="92"/>
      <c r="G120" s="93"/>
    </row>
    <row r="121" spans="2:7">
      <c r="B121" s="18"/>
      <c r="C121" s="21" t="s">
        <v>90</v>
      </c>
      <c r="D121" s="12"/>
      <c r="E121" s="13"/>
      <c r="F121" s="92"/>
      <c r="G121" s="93"/>
    </row>
    <row r="122" spans="2:7">
      <c r="B122" s="18"/>
      <c r="C122" s="21" t="s">
        <v>298</v>
      </c>
      <c r="D122" s="12"/>
      <c r="E122" s="13"/>
      <c r="F122" s="92"/>
      <c r="G122" s="93"/>
    </row>
    <row r="123" spans="2:7">
      <c r="B123" s="18"/>
      <c r="C123" s="21" t="s">
        <v>299</v>
      </c>
      <c r="D123" s="12"/>
      <c r="E123" s="13"/>
      <c r="F123" s="92"/>
      <c r="G123" s="93"/>
    </row>
    <row r="124" spans="2:7">
      <c r="B124" s="18">
        <v>11</v>
      </c>
      <c r="C124" s="27" t="s">
        <v>619</v>
      </c>
      <c r="D124" s="12">
        <v>360</v>
      </c>
      <c r="E124" s="13" t="s">
        <v>468</v>
      </c>
      <c r="F124" s="92"/>
      <c r="G124" s="93">
        <f>F124*D124</f>
        <v>0</v>
      </c>
    </row>
    <row r="125" spans="2:7">
      <c r="B125" s="18"/>
      <c r="C125" s="21" t="s">
        <v>216</v>
      </c>
      <c r="D125" s="12"/>
      <c r="E125" s="13"/>
      <c r="F125" s="92"/>
      <c r="G125" s="93"/>
    </row>
    <row r="126" spans="2:7">
      <c r="B126" s="18"/>
      <c r="C126" s="21" t="s">
        <v>219</v>
      </c>
      <c r="D126" s="12"/>
      <c r="E126" s="13"/>
      <c r="F126" s="92"/>
      <c r="G126" s="93"/>
    </row>
    <row r="127" spans="2:7">
      <c r="B127" s="18"/>
      <c r="C127" s="21" t="s">
        <v>217</v>
      </c>
      <c r="D127" s="12"/>
      <c r="E127" s="13"/>
      <c r="F127" s="92"/>
      <c r="G127" s="93"/>
    </row>
    <row r="128" spans="2:7">
      <c r="B128" s="18"/>
      <c r="C128" s="21" t="s">
        <v>283</v>
      </c>
      <c r="D128" s="12"/>
      <c r="E128" s="13"/>
      <c r="F128" s="92"/>
      <c r="G128" s="93"/>
    </row>
    <row r="129" spans="2:7">
      <c r="B129" s="18"/>
      <c r="C129" s="21" t="s">
        <v>90</v>
      </c>
      <c r="D129" s="12"/>
      <c r="E129" s="13"/>
      <c r="F129" s="92"/>
      <c r="G129" s="93"/>
    </row>
    <row r="130" spans="2:7">
      <c r="B130" s="18"/>
      <c r="C130" s="21" t="s">
        <v>298</v>
      </c>
      <c r="D130" s="12"/>
      <c r="E130" s="13"/>
      <c r="F130" s="92"/>
      <c r="G130" s="93"/>
    </row>
    <row r="131" spans="2:7">
      <c r="B131" s="18"/>
      <c r="C131" s="21" t="s">
        <v>299</v>
      </c>
      <c r="D131" s="12"/>
      <c r="E131" s="13"/>
      <c r="F131" s="92"/>
      <c r="G131" s="93"/>
    </row>
    <row r="132" spans="2:7">
      <c r="B132" s="18">
        <v>12</v>
      </c>
      <c r="C132" s="27" t="s">
        <v>620</v>
      </c>
      <c r="D132" s="12">
        <v>6</v>
      </c>
      <c r="E132" s="13" t="s">
        <v>468</v>
      </c>
      <c r="F132" s="92"/>
      <c r="G132" s="93">
        <f>F132*D132</f>
        <v>0</v>
      </c>
    </row>
    <row r="133" spans="2:7">
      <c r="B133" s="18"/>
      <c r="C133" s="21" t="s">
        <v>216</v>
      </c>
      <c r="D133" s="12"/>
      <c r="E133" s="13"/>
      <c r="F133" s="92"/>
      <c r="G133" s="93"/>
    </row>
    <row r="134" spans="2:7">
      <c r="B134" s="18"/>
      <c r="C134" s="21" t="s">
        <v>88</v>
      </c>
      <c r="D134" s="12"/>
      <c r="E134" s="13"/>
      <c r="F134" s="92"/>
      <c r="G134" s="93"/>
    </row>
    <row r="135" spans="2:7">
      <c r="B135" s="18"/>
      <c r="C135" s="21" t="s">
        <v>217</v>
      </c>
      <c r="D135" s="12"/>
      <c r="E135" s="13"/>
      <c r="F135" s="92"/>
      <c r="G135" s="93"/>
    </row>
    <row r="136" spans="2:7">
      <c r="B136" s="18"/>
      <c r="C136" s="21" t="s">
        <v>317</v>
      </c>
      <c r="D136" s="12"/>
      <c r="E136" s="13"/>
      <c r="F136" s="92"/>
      <c r="G136" s="93"/>
    </row>
    <row r="137" spans="2:7">
      <c r="B137" s="18"/>
      <c r="C137" s="21" t="s">
        <v>90</v>
      </c>
      <c r="D137" s="12"/>
      <c r="E137" s="13"/>
      <c r="F137" s="92"/>
      <c r="G137" s="93"/>
    </row>
    <row r="138" spans="2:7">
      <c r="B138" s="18"/>
      <c r="C138" s="21" t="s">
        <v>300</v>
      </c>
      <c r="D138" s="12"/>
      <c r="E138" s="13"/>
      <c r="F138" s="92"/>
      <c r="G138" s="93"/>
    </row>
    <row r="139" spans="2:7">
      <c r="B139" s="18"/>
      <c r="C139" s="21" t="s">
        <v>301</v>
      </c>
      <c r="D139" s="12"/>
      <c r="E139" s="13"/>
      <c r="F139" s="92"/>
      <c r="G139" s="93"/>
    </row>
    <row r="140" spans="2:7">
      <c r="B140" s="18"/>
      <c r="C140" s="21" t="s">
        <v>299</v>
      </c>
      <c r="D140" s="12"/>
      <c r="E140" s="13"/>
      <c r="F140" s="92"/>
      <c r="G140" s="93"/>
    </row>
    <row r="141" spans="2:7">
      <c r="B141" s="18">
        <v>12</v>
      </c>
      <c r="C141" s="27" t="s">
        <v>534</v>
      </c>
      <c r="D141" s="12">
        <v>12</v>
      </c>
      <c r="E141" s="13" t="s">
        <v>468</v>
      </c>
      <c r="F141" s="92"/>
      <c r="G141" s="93">
        <f>F141*D141</f>
        <v>0</v>
      </c>
    </row>
    <row r="142" spans="2:7">
      <c r="B142" s="18"/>
      <c r="C142" s="21" t="s">
        <v>216</v>
      </c>
      <c r="D142" s="12"/>
      <c r="E142" s="13"/>
      <c r="F142" s="92"/>
      <c r="G142" s="93"/>
    </row>
    <row r="143" spans="2:7">
      <c r="B143" s="18"/>
      <c r="C143" s="21" t="s">
        <v>88</v>
      </c>
      <c r="D143" s="12"/>
      <c r="E143" s="13"/>
      <c r="F143" s="92"/>
      <c r="G143" s="93"/>
    </row>
    <row r="144" spans="2:7">
      <c r="B144" s="18"/>
      <c r="C144" s="21" t="s">
        <v>217</v>
      </c>
      <c r="D144" s="12"/>
      <c r="E144" s="13"/>
      <c r="F144" s="92"/>
      <c r="G144" s="93"/>
    </row>
    <row r="145" spans="2:7">
      <c r="B145" s="18"/>
      <c r="C145" s="21" t="s">
        <v>282</v>
      </c>
      <c r="D145" s="12"/>
      <c r="E145" s="13"/>
      <c r="F145" s="92"/>
      <c r="G145" s="93"/>
    </row>
    <row r="146" spans="2:7">
      <c r="B146" s="18"/>
      <c r="C146" s="21" t="s">
        <v>90</v>
      </c>
      <c r="D146" s="12"/>
      <c r="E146" s="13"/>
      <c r="F146" s="92"/>
      <c r="G146" s="93"/>
    </row>
    <row r="147" spans="2:7">
      <c r="B147" s="18"/>
      <c r="C147" s="21" t="s">
        <v>300</v>
      </c>
      <c r="D147" s="12"/>
      <c r="E147" s="13"/>
      <c r="F147" s="92"/>
      <c r="G147" s="93"/>
    </row>
    <row r="148" spans="2:7">
      <c r="B148" s="18"/>
      <c r="C148" s="21" t="s">
        <v>301</v>
      </c>
      <c r="D148" s="12"/>
      <c r="E148" s="13"/>
      <c r="F148" s="92"/>
      <c r="G148" s="93"/>
    </row>
    <row r="149" spans="2:7">
      <c r="B149" s="18"/>
      <c r="C149" s="21" t="s">
        <v>299</v>
      </c>
      <c r="D149" s="12"/>
      <c r="E149" s="13"/>
      <c r="F149" s="92"/>
      <c r="G149" s="93"/>
    </row>
    <row r="150" spans="2:7">
      <c r="B150" s="18">
        <v>12</v>
      </c>
      <c r="C150" s="27" t="s">
        <v>621</v>
      </c>
      <c r="D150" s="12">
        <v>36</v>
      </c>
      <c r="E150" s="13" t="s">
        <v>468</v>
      </c>
      <c r="F150" s="92"/>
      <c r="G150" s="93">
        <f>F150*D150</f>
        <v>0</v>
      </c>
    </row>
    <row r="151" spans="2:7">
      <c r="B151" s="18"/>
      <c r="C151" s="21" t="s">
        <v>216</v>
      </c>
      <c r="D151" s="12"/>
      <c r="E151" s="13"/>
      <c r="F151" s="92"/>
      <c r="G151" s="93"/>
    </row>
    <row r="152" spans="2:7">
      <c r="B152" s="18"/>
      <c r="C152" s="21" t="s">
        <v>88</v>
      </c>
      <c r="D152" s="12"/>
      <c r="E152" s="13"/>
      <c r="F152" s="92"/>
      <c r="G152" s="93"/>
    </row>
    <row r="153" spans="2:7">
      <c r="B153" s="18"/>
      <c r="C153" s="21" t="s">
        <v>217</v>
      </c>
      <c r="D153" s="12"/>
      <c r="E153" s="13"/>
      <c r="F153" s="92"/>
      <c r="G153" s="93"/>
    </row>
    <row r="154" spans="2:7">
      <c r="B154" s="18"/>
      <c r="C154" s="21" t="s">
        <v>283</v>
      </c>
      <c r="D154" s="12"/>
      <c r="E154" s="13"/>
      <c r="F154" s="92"/>
      <c r="G154" s="93"/>
    </row>
    <row r="155" spans="2:7">
      <c r="B155" s="18"/>
      <c r="C155" s="21" t="s">
        <v>90</v>
      </c>
      <c r="D155" s="12"/>
      <c r="E155" s="13"/>
      <c r="F155" s="92"/>
      <c r="G155" s="93"/>
    </row>
    <row r="156" spans="2:7">
      <c r="B156" s="18"/>
      <c r="C156" s="21" t="s">
        <v>300</v>
      </c>
      <c r="D156" s="12"/>
      <c r="E156" s="13"/>
      <c r="F156" s="92"/>
      <c r="G156" s="93"/>
    </row>
    <row r="157" spans="2:7">
      <c r="B157" s="18"/>
      <c r="C157" s="21" t="s">
        <v>301</v>
      </c>
      <c r="D157" s="12"/>
      <c r="E157" s="13"/>
      <c r="F157" s="92"/>
      <c r="G157" s="93"/>
    </row>
    <row r="158" spans="2:7">
      <c r="B158" s="18"/>
      <c r="C158" s="21" t="s">
        <v>299</v>
      </c>
      <c r="D158" s="12"/>
      <c r="E158" s="13"/>
      <c r="F158" s="92"/>
      <c r="G158" s="93"/>
    </row>
    <row r="159" spans="2:7">
      <c r="B159" s="18">
        <v>13</v>
      </c>
      <c r="C159" s="27" t="s">
        <v>535</v>
      </c>
      <c r="D159" s="12">
        <v>226</v>
      </c>
      <c r="E159" s="13" t="s">
        <v>468</v>
      </c>
      <c r="F159" s="92"/>
      <c r="G159" s="93">
        <f>F159*D159</f>
        <v>0</v>
      </c>
    </row>
    <row r="160" spans="2:7">
      <c r="B160" s="18"/>
      <c r="C160" s="21" t="s">
        <v>302</v>
      </c>
      <c r="D160" s="12"/>
      <c r="E160" s="13"/>
      <c r="F160" s="92"/>
      <c r="G160" s="93"/>
    </row>
    <row r="161" spans="2:7">
      <c r="B161" s="18"/>
      <c r="C161" s="21" t="s">
        <v>221</v>
      </c>
      <c r="D161" s="12"/>
      <c r="E161" s="13"/>
      <c r="F161" s="92"/>
      <c r="G161" s="93"/>
    </row>
    <row r="162" spans="2:7">
      <c r="B162" s="18"/>
      <c r="C162" s="21" t="s">
        <v>303</v>
      </c>
      <c r="D162" s="12"/>
      <c r="E162" s="13"/>
      <c r="F162" s="92"/>
      <c r="G162" s="93"/>
    </row>
    <row r="163" spans="2:7">
      <c r="B163" s="18"/>
      <c r="C163" s="21" t="s">
        <v>304</v>
      </c>
      <c r="D163" s="12"/>
      <c r="E163" s="13"/>
      <c r="F163" s="92"/>
      <c r="G163" s="93"/>
    </row>
    <row r="164" spans="2:7">
      <c r="B164" s="18"/>
      <c r="C164" s="21" t="s">
        <v>305</v>
      </c>
      <c r="D164" s="12"/>
      <c r="E164" s="13"/>
      <c r="F164" s="92"/>
      <c r="G164" s="93"/>
    </row>
    <row r="165" spans="2:7">
      <c r="B165" s="18"/>
      <c r="C165" s="21" t="s">
        <v>306</v>
      </c>
      <c r="D165" s="12"/>
      <c r="E165" s="13"/>
      <c r="F165" s="92"/>
      <c r="G165" s="93"/>
    </row>
    <row r="166" spans="2:7">
      <c r="B166" s="18"/>
      <c r="C166" s="21" t="s">
        <v>307</v>
      </c>
      <c r="D166" s="12"/>
      <c r="E166" s="13"/>
      <c r="F166" s="92"/>
      <c r="G166" s="93"/>
    </row>
    <row r="167" spans="2:7">
      <c r="B167" s="18"/>
      <c r="C167" s="21" t="s">
        <v>226</v>
      </c>
      <c r="D167" s="12"/>
      <c r="E167" s="13"/>
      <c r="F167" s="92"/>
      <c r="G167" s="93"/>
    </row>
    <row r="168" spans="2:7">
      <c r="B168" s="18"/>
      <c r="C168" s="21" t="s">
        <v>227</v>
      </c>
      <c r="D168" s="12"/>
      <c r="E168" s="13"/>
      <c r="F168" s="92"/>
      <c r="G168" s="93"/>
    </row>
    <row r="169" spans="2:7">
      <c r="B169" s="18">
        <v>14</v>
      </c>
      <c r="C169" s="27" t="s">
        <v>536</v>
      </c>
      <c r="D169" s="12">
        <v>110</v>
      </c>
      <c r="E169" s="13" t="s">
        <v>468</v>
      </c>
      <c r="F169" s="92"/>
      <c r="G169" s="93">
        <f>F169*D169</f>
        <v>0</v>
      </c>
    </row>
    <row r="170" spans="2:7">
      <c r="B170" s="18"/>
      <c r="C170" s="21" t="s">
        <v>302</v>
      </c>
      <c r="D170" s="12"/>
      <c r="E170" s="13"/>
      <c r="F170" s="92"/>
      <c r="G170" s="93"/>
    </row>
    <row r="171" spans="2:7">
      <c r="B171" s="18"/>
      <c r="C171" s="21" t="s">
        <v>221</v>
      </c>
      <c r="D171" s="12"/>
      <c r="E171" s="13"/>
      <c r="F171" s="92"/>
      <c r="G171" s="93"/>
    </row>
    <row r="172" spans="2:7">
      <c r="B172" s="18"/>
      <c r="C172" s="21" t="s">
        <v>303</v>
      </c>
      <c r="D172" s="12"/>
      <c r="E172" s="13"/>
      <c r="F172" s="92"/>
      <c r="G172" s="93"/>
    </row>
    <row r="173" spans="2:7">
      <c r="B173" s="18"/>
      <c r="C173" s="21" t="s">
        <v>304</v>
      </c>
      <c r="D173" s="12"/>
      <c r="E173" s="13"/>
      <c r="F173" s="92"/>
      <c r="G173" s="93"/>
    </row>
    <row r="174" spans="2:7">
      <c r="B174" s="18"/>
      <c r="C174" s="21" t="s">
        <v>308</v>
      </c>
      <c r="D174" s="12"/>
      <c r="E174" s="13"/>
      <c r="F174" s="92"/>
      <c r="G174" s="93"/>
    </row>
    <row r="175" spans="2:7">
      <c r="B175" s="18"/>
      <c r="C175" s="21" t="s">
        <v>223</v>
      </c>
      <c r="D175" s="12"/>
      <c r="E175" s="13"/>
      <c r="F175" s="92"/>
      <c r="G175" s="93"/>
    </row>
    <row r="176" spans="2:7">
      <c r="B176" s="18"/>
      <c r="C176" s="21" t="s">
        <v>306</v>
      </c>
      <c r="D176" s="12"/>
      <c r="E176" s="13"/>
      <c r="F176" s="92"/>
      <c r="G176" s="93"/>
    </row>
    <row r="177" spans="2:7">
      <c r="B177" s="18"/>
      <c r="C177" s="21" t="s">
        <v>307</v>
      </c>
      <c r="D177" s="12"/>
      <c r="E177" s="13"/>
      <c r="F177" s="92"/>
      <c r="G177" s="93"/>
    </row>
    <row r="178" spans="2:7">
      <c r="B178" s="18"/>
      <c r="C178" s="21" t="s">
        <v>96</v>
      </c>
      <c r="D178" s="12"/>
      <c r="E178" s="13"/>
      <c r="F178" s="92"/>
      <c r="G178" s="93"/>
    </row>
    <row r="179" spans="2:7">
      <c r="B179" s="18"/>
      <c r="C179" s="21" t="s">
        <v>309</v>
      </c>
      <c r="D179" s="12"/>
      <c r="E179" s="13"/>
      <c r="F179" s="92"/>
      <c r="G179" s="93"/>
    </row>
    <row r="180" spans="2:7">
      <c r="B180" s="18">
        <v>15</v>
      </c>
      <c r="C180" s="27" t="s">
        <v>537</v>
      </c>
      <c r="D180" s="12">
        <v>660</v>
      </c>
      <c r="E180" s="13" t="s">
        <v>468</v>
      </c>
      <c r="F180" s="92"/>
      <c r="G180" s="93">
        <f>F180*D180</f>
        <v>0</v>
      </c>
    </row>
    <row r="181" spans="2:7">
      <c r="B181" s="18"/>
      <c r="C181" s="21" t="s">
        <v>310</v>
      </c>
      <c r="D181" s="12"/>
      <c r="E181" s="13"/>
      <c r="F181" s="92"/>
      <c r="G181" s="93"/>
    </row>
    <row r="182" spans="2:7">
      <c r="B182" s="18"/>
      <c r="C182" s="21" t="s">
        <v>311</v>
      </c>
      <c r="D182" s="12"/>
      <c r="E182" s="13"/>
      <c r="F182" s="92"/>
      <c r="G182" s="93"/>
    </row>
    <row r="183" spans="2:7">
      <c r="B183" s="18"/>
      <c r="C183" s="21" t="s">
        <v>286</v>
      </c>
      <c r="D183" s="12"/>
      <c r="E183" s="13"/>
      <c r="F183" s="92"/>
      <c r="G183" s="93"/>
    </row>
    <row r="184" spans="2:7">
      <c r="B184" s="18"/>
      <c r="C184" s="21" t="s">
        <v>312</v>
      </c>
      <c r="D184" s="12"/>
      <c r="E184" s="13"/>
      <c r="F184" s="92"/>
      <c r="G184" s="93"/>
    </row>
    <row r="185" spans="2:7">
      <c r="B185" s="18"/>
      <c r="C185" s="21" t="s">
        <v>313</v>
      </c>
      <c r="D185" s="12"/>
      <c r="E185" s="13"/>
      <c r="F185" s="92"/>
      <c r="G185" s="93"/>
    </row>
    <row r="186" spans="2:7">
      <c r="B186" s="18"/>
      <c r="C186" s="21" t="s">
        <v>314</v>
      </c>
      <c r="D186" s="12"/>
      <c r="E186" s="13"/>
      <c r="F186" s="92"/>
      <c r="G186" s="93"/>
    </row>
    <row r="187" spans="2:7">
      <c r="B187" s="18"/>
      <c r="C187" s="21" t="s">
        <v>291</v>
      </c>
      <c r="D187" s="12"/>
      <c r="E187" s="13"/>
      <c r="F187" s="92"/>
      <c r="G187" s="93"/>
    </row>
    <row r="188" spans="2:7">
      <c r="B188" s="18"/>
      <c r="C188" s="21" t="s">
        <v>315</v>
      </c>
      <c r="D188" s="12"/>
      <c r="E188" s="13"/>
      <c r="F188" s="92"/>
      <c r="G188" s="93"/>
    </row>
    <row r="189" spans="2:7">
      <c r="B189" s="18"/>
      <c r="C189" s="21" t="s">
        <v>316</v>
      </c>
      <c r="D189" s="12"/>
      <c r="E189" s="13"/>
      <c r="F189" s="92"/>
      <c r="G189" s="93"/>
    </row>
    <row r="190" spans="2:7">
      <c r="B190" s="18"/>
      <c r="C190" s="21" t="s">
        <v>96</v>
      </c>
      <c r="D190" s="12"/>
      <c r="E190" s="13"/>
      <c r="F190" s="92"/>
      <c r="G190" s="93"/>
    </row>
    <row r="191" spans="2:7">
      <c r="B191" s="18"/>
      <c r="C191" s="21" t="s">
        <v>293</v>
      </c>
      <c r="D191" s="12"/>
      <c r="E191" s="13"/>
      <c r="F191" s="92"/>
      <c r="G191" s="93"/>
    </row>
    <row r="192" spans="2:7">
      <c r="B192" s="18">
        <v>16</v>
      </c>
      <c r="C192" s="27" t="s">
        <v>538</v>
      </c>
      <c r="D192" s="12">
        <v>223</v>
      </c>
      <c r="E192" s="13" t="s">
        <v>469</v>
      </c>
      <c r="F192" s="92"/>
      <c r="G192" s="93">
        <f>F192*D192</f>
        <v>0</v>
      </c>
    </row>
    <row r="193" spans="2:7">
      <c r="B193" s="18"/>
      <c r="C193" s="21" t="s">
        <v>317</v>
      </c>
      <c r="D193" s="12"/>
      <c r="E193" s="13"/>
      <c r="F193" s="92"/>
      <c r="G193" s="93"/>
    </row>
    <row r="194" spans="2:7">
      <c r="B194" s="18"/>
      <c r="C194" s="21" t="s">
        <v>318</v>
      </c>
      <c r="D194" s="12"/>
      <c r="E194" s="13"/>
      <c r="F194" s="92"/>
      <c r="G194" s="93"/>
    </row>
    <row r="195" spans="2:7">
      <c r="B195" s="18"/>
      <c r="C195" s="21" t="s">
        <v>212</v>
      </c>
      <c r="D195" s="12"/>
      <c r="E195" s="13"/>
      <c r="F195" s="92"/>
      <c r="G195" s="93"/>
    </row>
    <row r="196" spans="2:7">
      <c r="B196" s="18"/>
      <c r="C196" s="21" t="s">
        <v>319</v>
      </c>
      <c r="D196" s="12"/>
      <c r="E196" s="13"/>
      <c r="F196" s="92"/>
      <c r="G196" s="93"/>
    </row>
    <row r="197" spans="2:7">
      <c r="B197" s="18"/>
      <c r="C197" s="21" t="s">
        <v>106</v>
      </c>
      <c r="D197" s="12"/>
      <c r="E197" s="13"/>
      <c r="F197" s="92"/>
      <c r="G197" s="93"/>
    </row>
    <row r="198" spans="2:7">
      <c r="B198" s="18"/>
      <c r="C198" s="21" t="s">
        <v>320</v>
      </c>
      <c r="D198" s="12"/>
      <c r="E198" s="13"/>
      <c r="F198" s="92"/>
      <c r="G198" s="93"/>
    </row>
    <row r="199" spans="2:7">
      <c r="B199" s="18"/>
      <c r="C199" s="21" t="s">
        <v>108</v>
      </c>
      <c r="D199" s="12"/>
      <c r="E199" s="13"/>
      <c r="F199" s="92"/>
      <c r="G199" s="93"/>
    </row>
    <row r="200" spans="2:7">
      <c r="B200" s="18">
        <v>17</v>
      </c>
      <c r="C200" s="27" t="s">
        <v>539</v>
      </c>
      <c r="D200" s="12">
        <v>534</v>
      </c>
      <c r="E200" s="13" t="s">
        <v>469</v>
      </c>
      <c r="F200" s="92"/>
      <c r="G200" s="93">
        <f>F200*D200</f>
        <v>0</v>
      </c>
    </row>
    <row r="201" spans="2:7">
      <c r="B201" s="18"/>
      <c r="C201" s="21" t="s">
        <v>321</v>
      </c>
      <c r="D201" s="12"/>
      <c r="E201" s="13"/>
      <c r="F201" s="92"/>
      <c r="G201" s="93"/>
    </row>
    <row r="202" spans="2:7">
      <c r="B202" s="18"/>
      <c r="C202" s="21" t="s">
        <v>282</v>
      </c>
      <c r="D202" s="12"/>
      <c r="E202" s="13"/>
      <c r="F202" s="92"/>
      <c r="G202" s="93"/>
    </row>
    <row r="203" spans="2:7">
      <c r="B203" s="18">
        <v>18</v>
      </c>
      <c r="C203" s="27" t="s">
        <v>540</v>
      </c>
      <c r="D203" s="12">
        <v>1800</v>
      </c>
      <c r="E203" s="13" t="s">
        <v>469</v>
      </c>
      <c r="F203" s="92"/>
      <c r="G203" s="93">
        <f>F203*D203</f>
        <v>0</v>
      </c>
    </row>
    <row r="204" spans="2:7">
      <c r="B204" s="18"/>
      <c r="C204" s="21" t="s">
        <v>321</v>
      </c>
      <c r="D204" s="12"/>
      <c r="E204" s="13"/>
      <c r="F204" s="92"/>
      <c r="G204" s="93"/>
    </row>
    <row r="205" spans="2:7">
      <c r="B205" s="18"/>
      <c r="C205" s="21" t="s">
        <v>283</v>
      </c>
      <c r="D205" s="12"/>
      <c r="E205" s="13"/>
      <c r="F205" s="92"/>
      <c r="G205" s="93"/>
    </row>
    <row r="206" spans="2:7">
      <c r="B206" s="18">
        <v>19</v>
      </c>
      <c r="C206" s="27" t="s">
        <v>541</v>
      </c>
      <c r="D206" s="12">
        <v>24</v>
      </c>
      <c r="E206" s="13" t="s">
        <v>469</v>
      </c>
      <c r="F206" s="92"/>
      <c r="G206" s="93">
        <f>F206*D206</f>
        <v>0</v>
      </c>
    </row>
    <row r="207" spans="2:7">
      <c r="B207" s="18"/>
      <c r="C207" s="21" t="s">
        <v>321</v>
      </c>
      <c r="D207" s="12"/>
      <c r="E207" s="13"/>
      <c r="F207" s="92"/>
      <c r="G207" s="93"/>
    </row>
    <row r="208" spans="2:7">
      <c r="B208" s="18"/>
      <c r="C208" s="21" t="s">
        <v>322</v>
      </c>
      <c r="D208" s="12"/>
      <c r="E208" s="13"/>
      <c r="F208" s="92"/>
      <c r="G208" s="93"/>
    </row>
    <row r="209" spans="2:7">
      <c r="B209" s="18">
        <v>20</v>
      </c>
      <c r="C209" s="27" t="s">
        <v>542</v>
      </c>
      <c r="D209" s="12">
        <v>240</v>
      </c>
      <c r="E209" s="13" t="s">
        <v>469</v>
      </c>
      <c r="F209" s="92"/>
      <c r="G209" s="93">
        <f>F209*D209</f>
        <v>0</v>
      </c>
    </row>
    <row r="210" spans="2:7">
      <c r="B210" s="18"/>
      <c r="C210" s="21" t="s">
        <v>321</v>
      </c>
      <c r="D210" s="12"/>
      <c r="E210" s="13"/>
      <c r="F210" s="92"/>
      <c r="G210" s="93"/>
    </row>
    <row r="211" spans="2:7">
      <c r="B211" s="18"/>
      <c r="C211" s="21" t="s">
        <v>323</v>
      </c>
      <c r="D211" s="12"/>
      <c r="E211" s="13"/>
      <c r="F211" s="92"/>
      <c r="G211" s="93"/>
    </row>
    <row r="212" spans="2:7">
      <c r="B212" s="18">
        <v>21</v>
      </c>
      <c r="C212" s="27" t="s">
        <v>543</v>
      </c>
      <c r="D212" s="12">
        <v>1</v>
      </c>
      <c r="E212" s="13" t="s">
        <v>468</v>
      </c>
      <c r="F212" s="92"/>
      <c r="G212" s="93">
        <f>F212*D212</f>
        <v>0</v>
      </c>
    </row>
    <row r="213" spans="2:7">
      <c r="B213" s="18"/>
      <c r="C213" s="21" t="s">
        <v>324</v>
      </c>
      <c r="D213" s="12"/>
      <c r="E213" s="13"/>
      <c r="F213" s="92"/>
      <c r="G213" s="93"/>
    </row>
    <row r="214" spans="2:7">
      <c r="B214" s="18"/>
      <c r="C214" s="21" t="s">
        <v>111</v>
      </c>
      <c r="D214" s="12"/>
      <c r="E214" s="13"/>
      <c r="F214" s="92"/>
      <c r="G214" s="93"/>
    </row>
    <row r="215" spans="2:7">
      <c r="B215" s="18"/>
      <c r="C215" s="21" t="s">
        <v>325</v>
      </c>
      <c r="D215" s="12"/>
      <c r="E215" s="13"/>
      <c r="F215" s="92"/>
      <c r="G215" s="93"/>
    </row>
    <row r="216" spans="2:7">
      <c r="B216" s="18"/>
      <c r="C216" s="21" t="s">
        <v>326</v>
      </c>
      <c r="D216" s="12"/>
      <c r="E216" s="13"/>
      <c r="F216" s="92"/>
      <c r="G216" s="93"/>
    </row>
    <row r="217" spans="2:7">
      <c r="B217" s="18"/>
      <c r="C217" s="21" t="s">
        <v>318</v>
      </c>
      <c r="D217" s="12"/>
      <c r="E217" s="13"/>
      <c r="F217" s="92"/>
      <c r="G217" s="93"/>
    </row>
    <row r="218" spans="2:7">
      <c r="B218" s="18"/>
      <c r="C218" s="21" t="s">
        <v>327</v>
      </c>
      <c r="D218" s="12"/>
      <c r="E218" s="13"/>
      <c r="F218" s="92"/>
      <c r="G218" s="93"/>
    </row>
    <row r="219" spans="2:7">
      <c r="B219" s="18"/>
      <c r="C219" s="21" t="s">
        <v>116</v>
      </c>
      <c r="D219" s="12"/>
      <c r="E219" s="13"/>
      <c r="F219" s="92"/>
      <c r="G219" s="93"/>
    </row>
    <row r="220" spans="2:7">
      <c r="B220" s="18"/>
      <c r="C220" s="21" t="s">
        <v>108</v>
      </c>
      <c r="D220" s="12"/>
      <c r="E220" s="13"/>
      <c r="F220" s="92"/>
      <c r="G220" s="93"/>
    </row>
    <row r="221" spans="2:7">
      <c r="B221" s="18"/>
      <c r="C221" s="21" t="s">
        <v>96</v>
      </c>
      <c r="D221" s="12"/>
      <c r="E221" s="13"/>
      <c r="F221" s="92"/>
      <c r="G221" s="93"/>
    </row>
    <row r="222" spans="2:7">
      <c r="B222" s="18">
        <v>22</v>
      </c>
      <c r="C222" s="27" t="s">
        <v>544</v>
      </c>
      <c r="D222" s="12">
        <v>1</v>
      </c>
      <c r="E222" s="13" t="s">
        <v>468</v>
      </c>
      <c r="F222" s="92"/>
      <c r="G222" s="93">
        <f>F222*D222</f>
        <v>0</v>
      </c>
    </row>
    <row r="223" spans="2:7">
      <c r="B223" s="18"/>
      <c r="C223" s="21" t="s">
        <v>328</v>
      </c>
      <c r="D223" s="12"/>
      <c r="E223" s="13"/>
      <c r="F223" s="92"/>
      <c r="G223" s="93"/>
    </row>
    <row r="224" spans="2:7">
      <c r="B224" s="18"/>
      <c r="C224" s="21" t="s">
        <v>111</v>
      </c>
      <c r="D224" s="12"/>
      <c r="E224" s="13"/>
      <c r="F224" s="92"/>
      <c r="G224" s="93"/>
    </row>
    <row r="225" spans="2:7">
      <c r="B225" s="18"/>
      <c r="C225" s="21" t="s">
        <v>325</v>
      </c>
      <c r="D225" s="12"/>
      <c r="E225" s="13"/>
      <c r="F225" s="92"/>
      <c r="G225" s="93"/>
    </row>
    <row r="226" spans="2:7">
      <c r="B226" s="18"/>
      <c r="C226" s="21" t="s">
        <v>329</v>
      </c>
      <c r="D226" s="12"/>
      <c r="E226" s="13"/>
      <c r="F226" s="92"/>
      <c r="G226" s="93"/>
    </row>
    <row r="227" spans="2:7">
      <c r="B227" s="18"/>
      <c r="C227" s="21" t="s">
        <v>330</v>
      </c>
      <c r="D227" s="12"/>
      <c r="E227" s="13"/>
      <c r="F227" s="92"/>
      <c r="G227" s="93"/>
    </row>
    <row r="228" spans="2:7">
      <c r="B228" s="18"/>
      <c r="C228" s="21" t="s">
        <v>318</v>
      </c>
      <c r="D228" s="12"/>
      <c r="E228" s="13"/>
      <c r="F228" s="92"/>
      <c r="G228" s="93"/>
    </row>
    <row r="229" spans="2:7">
      <c r="B229" s="18"/>
      <c r="C229" s="21" t="s">
        <v>327</v>
      </c>
      <c r="D229" s="12"/>
      <c r="E229" s="13"/>
      <c r="F229" s="92"/>
      <c r="G229" s="93"/>
    </row>
    <row r="230" spans="2:7">
      <c r="B230" s="18"/>
      <c r="C230" s="21" t="s">
        <v>116</v>
      </c>
      <c r="D230" s="12"/>
      <c r="E230" s="13"/>
      <c r="F230" s="92"/>
      <c r="G230" s="93"/>
    </row>
    <row r="231" spans="2:7">
      <c r="B231" s="18"/>
      <c r="C231" s="21" t="s">
        <v>108</v>
      </c>
      <c r="D231" s="12"/>
      <c r="E231" s="13"/>
      <c r="F231" s="92"/>
      <c r="G231" s="93"/>
    </row>
    <row r="232" spans="2:7">
      <c r="B232" s="18"/>
      <c r="C232" s="21" t="s">
        <v>96</v>
      </c>
      <c r="D232" s="12"/>
      <c r="E232" s="13"/>
      <c r="F232" s="92"/>
      <c r="G232" s="93"/>
    </row>
    <row r="233" spans="2:7">
      <c r="B233" s="18">
        <v>23</v>
      </c>
      <c r="C233" s="27" t="s">
        <v>545</v>
      </c>
      <c r="D233" s="12">
        <v>2</v>
      </c>
      <c r="E233" s="13" t="s">
        <v>468</v>
      </c>
      <c r="F233" s="92"/>
      <c r="G233" s="93">
        <f>F233*D233</f>
        <v>0</v>
      </c>
    </row>
    <row r="234" spans="2:7">
      <c r="B234" s="18"/>
      <c r="C234" s="21" t="s">
        <v>331</v>
      </c>
      <c r="D234" s="12"/>
      <c r="E234" s="13"/>
      <c r="F234" s="92"/>
      <c r="G234" s="93"/>
    </row>
    <row r="235" spans="2:7">
      <c r="B235" s="18"/>
      <c r="C235" s="21" t="s">
        <v>82</v>
      </c>
      <c r="D235" s="12"/>
      <c r="E235" s="13"/>
      <c r="F235" s="92"/>
      <c r="G235" s="93"/>
    </row>
    <row r="236" spans="2:7">
      <c r="B236" s="18"/>
      <c r="C236" s="21" t="s">
        <v>83</v>
      </c>
      <c r="D236" s="12"/>
      <c r="E236" s="13"/>
      <c r="F236" s="92"/>
      <c r="G236" s="93"/>
    </row>
    <row r="237" spans="2:7">
      <c r="B237" s="18"/>
      <c r="C237" s="21" t="s">
        <v>84</v>
      </c>
      <c r="D237" s="12"/>
      <c r="E237" s="13"/>
      <c r="F237" s="92"/>
      <c r="G237" s="93"/>
    </row>
    <row r="238" spans="2:7">
      <c r="B238" s="18"/>
      <c r="C238" s="21" t="s">
        <v>332</v>
      </c>
      <c r="D238" s="12"/>
      <c r="E238" s="13"/>
      <c r="F238" s="92"/>
      <c r="G238" s="93"/>
    </row>
    <row r="239" spans="2:7">
      <c r="B239" s="18"/>
      <c r="C239" s="21" t="s">
        <v>96</v>
      </c>
      <c r="D239" s="12"/>
      <c r="E239" s="13"/>
      <c r="F239" s="92"/>
      <c r="G239" s="93"/>
    </row>
    <row r="240" spans="2:7">
      <c r="B240" s="18">
        <v>24</v>
      </c>
      <c r="C240" s="27" t="s">
        <v>546</v>
      </c>
      <c r="D240" s="12">
        <v>2</v>
      </c>
      <c r="E240" s="13" t="s">
        <v>468</v>
      </c>
      <c r="F240" s="92"/>
      <c r="G240" s="93">
        <f>F240*D240</f>
        <v>0</v>
      </c>
    </row>
    <row r="241" spans="2:7">
      <c r="B241" s="18"/>
      <c r="C241" s="21" t="s">
        <v>333</v>
      </c>
      <c r="D241" s="12"/>
      <c r="E241" s="13"/>
      <c r="F241" s="92"/>
      <c r="G241" s="93"/>
    </row>
    <row r="242" spans="2:7">
      <c r="B242" s="18"/>
      <c r="C242" s="21" t="s">
        <v>334</v>
      </c>
      <c r="D242" s="12"/>
      <c r="E242" s="13"/>
      <c r="F242" s="92"/>
      <c r="G242" s="93"/>
    </row>
    <row r="243" spans="2:7">
      <c r="B243" s="18"/>
      <c r="C243" s="21" t="s">
        <v>94</v>
      </c>
      <c r="D243" s="12"/>
      <c r="E243" s="13"/>
      <c r="F243" s="92"/>
      <c r="G243" s="93"/>
    </row>
    <row r="244" spans="2:7">
      <c r="B244" s="18"/>
      <c r="C244" s="21" t="s">
        <v>95</v>
      </c>
      <c r="D244" s="12"/>
      <c r="E244" s="13"/>
      <c r="F244" s="92"/>
      <c r="G244" s="93"/>
    </row>
    <row r="245" spans="2:7">
      <c r="B245" s="18"/>
      <c r="C245" s="21" t="s">
        <v>96</v>
      </c>
      <c r="D245" s="12"/>
      <c r="E245" s="13"/>
      <c r="F245" s="92"/>
      <c r="G245" s="93"/>
    </row>
    <row r="246" spans="2:7">
      <c r="B246" s="18">
        <v>25</v>
      </c>
      <c r="C246" s="27" t="s">
        <v>547</v>
      </c>
      <c r="D246" s="12">
        <v>1</v>
      </c>
      <c r="E246" s="13" t="s">
        <v>468</v>
      </c>
      <c r="F246" s="92"/>
      <c r="G246" s="93">
        <f>F246*D246</f>
        <v>0</v>
      </c>
    </row>
    <row r="247" spans="2:7">
      <c r="B247" s="18"/>
      <c r="C247" s="21" t="s">
        <v>335</v>
      </c>
      <c r="D247" s="12"/>
      <c r="E247" s="13"/>
      <c r="F247" s="92"/>
      <c r="G247" s="93"/>
    </row>
    <row r="248" spans="2:7">
      <c r="B248" s="18"/>
      <c r="C248" s="21" t="s">
        <v>336</v>
      </c>
      <c r="D248" s="12"/>
      <c r="E248" s="13"/>
      <c r="F248" s="92"/>
      <c r="G248" s="93"/>
    </row>
    <row r="249" spans="2:7">
      <c r="B249" s="18"/>
      <c r="C249" s="21" t="s">
        <v>393</v>
      </c>
      <c r="D249" s="12"/>
      <c r="E249" s="13"/>
      <c r="F249" s="92"/>
      <c r="G249" s="93"/>
    </row>
    <row r="250" spans="2:7">
      <c r="B250" s="18"/>
      <c r="C250" s="21" t="s">
        <v>337</v>
      </c>
      <c r="D250" s="12"/>
      <c r="E250" s="13"/>
      <c r="F250" s="92"/>
      <c r="G250" s="93"/>
    </row>
    <row r="251" spans="2:7">
      <c r="B251" s="18"/>
      <c r="C251" s="21" t="s">
        <v>338</v>
      </c>
      <c r="D251" s="12"/>
      <c r="E251" s="13"/>
      <c r="F251" s="92"/>
      <c r="G251" s="93"/>
    </row>
    <row r="252" spans="2:7">
      <c r="B252" s="18"/>
      <c r="C252" s="21" t="s">
        <v>339</v>
      </c>
      <c r="D252" s="12"/>
      <c r="E252" s="13"/>
      <c r="F252" s="92"/>
      <c r="G252" s="93"/>
    </row>
    <row r="253" spans="2:7">
      <c r="B253" s="18"/>
      <c r="C253" s="21" t="s">
        <v>340</v>
      </c>
      <c r="D253" s="12"/>
      <c r="E253" s="13"/>
      <c r="F253" s="92"/>
      <c r="G253" s="93"/>
    </row>
    <row r="254" spans="2:7">
      <c r="B254" s="18"/>
      <c r="C254" s="21" t="s">
        <v>394</v>
      </c>
      <c r="D254" s="12"/>
      <c r="E254" s="13"/>
      <c r="F254" s="92"/>
      <c r="G254" s="93"/>
    </row>
    <row r="255" spans="2:7">
      <c r="B255" s="18"/>
      <c r="C255" s="21" t="s">
        <v>395</v>
      </c>
      <c r="D255" s="12"/>
      <c r="E255" s="13"/>
      <c r="F255" s="92"/>
      <c r="G255" s="93"/>
    </row>
    <row r="256" spans="2:7">
      <c r="B256" s="18"/>
      <c r="C256" s="21" t="s">
        <v>396</v>
      </c>
      <c r="D256" s="12"/>
      <c r="E256" s="13"/>
      <c r="F256" s="92"/>
      <c r="G256" s="93"/>
    </row>
    <row r="257" spans="2:7">
      <c r="B257" s="18"/>
      <c r="C257" s="21" t="s">
        <v>341</v>
      </c>
      <c r="D257" s="12"/>
      <c r="E257" s="13"/>
      <c r="F257" s="92"/>
      <c r="G257" s="93"/>
    </row>
    <row r="258" spans="2:7">
      <c r="B258" s="18"/>
      <c r="C258" s="21" t="s">
        <v>342</v>
      </c>
      <c r="D258" s="12"/>
      <c r="E258" s="13"/>
      <c r="F258" s="92"/>
      <c r="G258" s="93"/>
    </row>
    <row r="259" spans="2:7">
      <c r="B259" s="18"/>
      <c r="C259" s="21" t="s">
        <v>343</v>
      </c>
      <c r="D259" s="12"/>
      <c r="E259" s="13"/>
      <c r="F259" s="92"/>
      <c r="G259" s="93"/>
    </row>
    <row r="260" spans="2:7">
      <c r="B260" s="18">
        <v>26</v>
      </c>
      <c r="C260" s="27" t="s">
        <v>548</v>
      </c>
      <c r="D260" s="12">
        <v>1000</v>
      </c>
      <c r="E260" s="13" t="s">
        <v>510</v>
      </c>
      <c r="F260" s="92"/>
      <c r="G260" s="93">
        <f>F260*D260</f>
        <v>0</v>
      </c>
    </row>
    <row r="261" spans="2:7">
      <c r="B261" s="18"/>
      <c r="C261" s="21" t="s">
        <v>344</v>
      </c>
      <c r="D261" s="12"/>
      <c r="E261" s="13"/>
      <c r="F261" s="92"/>
      <c r="G261" s="93"/>
    </row>
    <row r="262" spans="2:7">
      <c r="B262" s="18"/>
      <c r="C262" s="21" t="s">
        <v>345</v>
      </c>
      <c r="D262" s="12"/>
      <c r="E262" s="13"/>
      <c r="F262" s="92"/>
      <c r="G262" s="93"/>
    </row>
    <row r="263" spans="2:7">
      <c r="B263" s="18"/>
      <c r="C263" s="21" t="s">
        <v>346</v>
      </c>
      <c r="D263" s="12"/>
      <c r="E263" s="13"/>
      <c r="F263" s="92"/>
      <c r="G263" s="93"/>
    </row>
    <row r="264" spans="2:7">
      <c r="B264" s="18"/>
      <c r="C264" s="21" t="s">
        <v>347</v>
      </c>
      <c r="D264" s="12"/>
      <c r="E264" s="13"/>
      <c r="F264" s="92"/>
      <c r="G264" s="93"/>
    </row>
    <row r="265" spans="2:7">
      <c r="B265" s="18"/>
      <c r="C265" s="21" t="s">
        <v>348</v>
      </c>
      <c r="D265" s="12"/>
      <c r="E265" s="13"/>
      <c r="F265" s="92"/>
      <c r="G265" s="93"/>
    </row>
    <row r="266" spans="2:7">
      <c r="B266" s="18"/>
      <c r="C266" s="21" t="s">
        <v>349</v>
      </c>
      <c r="D266" s="12"/>
      <c r="E266" s="13"/>
      <c r="F266" s="92"/>
      <c r="G266" s="93"/>
    </row>
    <row r="267" spans="2:7">
      <c r="B267" s="18"/>
      <c r="C267" s="21" t="s">
        <v>350</v>
      </c>
      <c r="D267" s="12"/>
      <c r="E267" s="13"/>
      <c r="F267" s="92"/>
      <c r="G267" s="93"/>
    </row>
    <row r="268" spans="2:7">
      <c r="B268" s="18"/>
      <c r="C268" s="21" t="s">
        <v>351</v>
      </c>
      <c r="D268" s="12"/>
      <c r="E268" s="13"/>
      <c r="F268" s="92"/>
      <c r="G268" s="93"/>
    </row>
    <row r="269" spans="2:7">
      <c r="B269" s="18">
        <v>27</v>
      </c>
      <c r="C269" s="27" t="s">
        <v>549</v>
      </c>
      <c r="D269" s="12">
        <v>1</v>
      </c>
      <c r="E269" s="13" t="s">
        <v>468</v>
      </c>
      <c r="F269" s="92"/>
      <c r="G269" s="93">
        <f>F269*D269</f>
        <v>0</v>
      </c>
    </row>
    <row r="270" spans="2:7">
      <c r="B270" s="18"/>
      <c r="C270" s="21" t="s">
        <v>352</v>
      </c>
      <c r="D270" s="12"/>
      <c r="E270" s="13"/>
      <c r="F270" s="92"/>
      <c r="G270" s="93"/>
    </row>
    <row r="271" spans="2:7">
      <c r="B271" s="18"/>
      <c r="C271" s="21" t="s">
        <v>345</v>
      </c>
      <c r="D271" s="12"/>
      <c r="E271" s="13"/>
      <c r="F271" s="92"/>
      <c r="G271" s="93"/>
    </row>
    <row r="272" spans="2:7">
      <c r="B272" s="18"/>
      <c r="C272" s="21" t="s">
        <v>349</v>
      </c>
      <c r="D272" s="12"/>
      <c r="E272" s="13"/>
      <c r="F272" s="92"/>
      <c r="G272" s="93"/>
    </row>
    <row r="273" spans="2:7">
      <c r="B273" s="18"/>
      <c r="C273" s="21" t="s">
        <v>353</v>
      </c>
      <c r="D273" s="12"/>
      <c r="E273" s="13"/>
      <c r="F273" s="92"/>
      <c r="G273" s="93"/>
    </row>
    <row r="274" spans="2:7">
      <c r="B274" s="18"/>
      <c r="C274" s="21" t="s">
        <v>354</v>
      </c>
      <c r="D274" s="12"/>
      <c r="E274" s="13"/>
      <c r="F274" s="92"/>
      <c r="G274" s="93"/>
    </row>
    <row r="275" spans="2:7">
      <c r="B275" s="18">
        <v>28</v>
      </c>
      <c r="C275" s="27" t="s">
        <v>550</v>
      </c>
      <c r="D275" s="12">
        <v>1</v>
      </c>
      <c r="E275" s="13" t="s">
        <v>468</v>
      </c>
      <c r="F275" s="92"/>
      <c r="G275" s="93">
        <f>F275*D275</f>
        <v>0</v>
      </c>
    </row>
    <row r="276" spans="2:7">
      <c r="B276" s="18"/>
      <c r="C276" s="21" t="s">
        <v>355</v>
      </c>
      <c r="D276" s="12"/>
      <c r="E276" s="13"/>
      <c r="F276" s="92"/>
      <c r="G276" s="93"/>
    </row>
    <row r="277" spans="2:7">
      <c r="B277" s="18"/>
      <c r="C277" s="21" t="s">
        <v>356</v>
      </c>
      <c r="D277" s="12"/>
      <c r="E277" s="13"/>
      <c r="F277" s="92"/>
      <c r="G277" s="93"/>
    </row>
    <row r="278" spans="2:7">
      <c r="B278" s="18"/>
      <c r="C278" s="21" t="s">
        <v>357</v>
      </c>
      <c r="D278" s="12"/>
      <c r="E278" s="13"/>
      <c r="F278" s="92"/>
      <c r="G278" s="93"/>
    </row>
    <row r="279" spans="2:7">
      <c r="B279" s="18"/>
      <c r="C279" s="21" t="s">
        <v>358</v>
      </c>
      <c r="D279" s="12"/>
      <c r="E279" s="13"/>
      <c r="F279" s="92"/>
      <c r="G279" s="93"/>
    </row>
    <row r="280" spans="2:7">
      <c r="B280" s="18"/>
      <c r="C280" s="21" t="s">
        <v>269</v>
      </c>
      <c r="D280" s="12"/>
      <c r="E280" s="13"/>
      <c r="F280" s="92"/>
      <c r="G280" s="93"/>
    </row>
    <row r="281" spans="2:7">
      <c r="B281" s="18"/>
      <c r="C281" s="21" t="s">
        <v>359</v>
      </c>
      <c r="D281" s="12"/>
      <c r="E281" s="13"/>
      <c r="F281" s="92"/>
      <c r="G281" s="93"/>
    </row>
    <row r="282" spans="2:7">
      <c r="B282" s="18"/>
      <c r="C282" s="21" t="s">
        <v>360</v>
      </c>
      <c r="D282" s="12"/>
      <c r="E282" s="13"/>
      <c r="F282" s="92"/>
      <c r="G282" s="93"/>
    </row>
    <row r="283" spans="2:7">
      <c r="B283" s="18"/>
      <c r="C283" s="21" t="s">
        <v>353</v>
      </c>
      <c r="D283" s="12"/>
      <c r="E283" s="13"/>
      <c r="F283" s="92"/>
      <c r="G283" s="93"/>
    </row>
    <row r="284" spans="2:7">
      <c r="B284" s="18"/>
      <c r="C284" s="21" t="s">
        <v>343</v>
      </c>
      <c r="D284" s="12"/>
      <c r="E284" s="13"/>
      <c r="F284" s="92"/>
      <c r="G284" s="93"/>
    </row>
    <row r="285" spans="2:7">
      <c r="B285" s="18">
        <v>29</v>
      </c>
      <c r="C285" s="27" t="s">
        <v>551</v>
      </c>
      <c r="D285" s="12">
        <v>1</v>
      </c>
      <c r="E285" s="13" t="s">
        <v>468</v>
      </c>
      <c r="F285" s="92"/>
      <c r="G285" s="93">
        <f>F285*D285</f>
        <v>0</v>
      </c>
    </row>
    <row r="286" spans="2:7">
      <c r="B286" s="18"/>
      <c r="C286" s="21" t="s">
        <v>361</v>
      </c>
      <c r="D286" s="12"/>
      <c r="E286" s="13"/>
      <c r="F286" s="92"/>
      <c r="G286" s="93"/>
    </row>
    <row r="287" spans="2:7">
      <c r="B287" s="18"/>
      <c r="C287" s="21" t="s">
        <v>362</v>
      </c>
      <c r="D287" s="12"/>
      <c r="E287" s="13"/>
      <c r="F287" s="92"/>
      <c r="G287" s="93"/>
    </row>
    <row r="288" spans="2:7">
      <c r="B288" s="18"/>
      <c r="C288" s="21" t="s">
        <v>51</v>
      </c>
      <c r="D288" s="12"/>
      <c r="E288" s="13"/>
      <c r="F288" s="92"/>
      <c r="G288" s="93"/>
    </row>
    <row r="289" spans="2:7">
      <c r="B289" s="18"/>
      <c r="C289" s="21" t="s">
        <v>363</v>
      </c>
      <c r="D289" s="12"/>
      <c r="E289" s="13"/>
      <c r="F289" s="92"/>
      <c r="G289" s="93"/>
    </row>
    <row r="290" spans="2:7">
      <c r="B290" s="18"/>
      <c r="C290" s="21" t="s">
        <v>207</v>
      </c>
      <c r="D290" s="12"/>
      <c r="E290" s="13"/>
      <c r="F290" s="92"/>
      <c r="G290" s="93"/>
    </row>
    <row r="291" spans="2:7">
      <c r="B291" s="18"/>
      <c r="C291" s="21" t="s">
        <v>343</v>
      </c>
      <c r="D291" s="12"/>
      <c r="E291" s="13"/>
      <c r="F291" s="92"/>
      <c r="G291" s="93"/>
    </row>
    <row r="292" spans="2:7">
      <c r="B292" s="18"/>
      <c r="C292" s="21" t="s">
        <v>55</v>
      </c>
      <c r="D292" s="12"/>
      <c r="E292" s="13"/>
      <c r="F292" s="92"/>
      <c r="G292" s="93"/>
    </row>
    <row r="293" spans="2:7">
      <c r="B293" s="18">
        <v>30</v>
      </c>
      <c r="C293" s="27" t="s">
        <v>552</v>
      </c>
      <c r="D293" s="12">
        <v>2</v>
      </c>
      <c r="E293" s="13" t="s">
        <v>468</v>
      </c>
      <c r="F293" s="92"/>
      <c r="G293" s="93">
        <f>F293*D293</f>
        <v>0</v>
      </c>
    </row>
    <row r="294" spans="2:7">
      <c r="B294" s="18"/>
      <c r="C294" s="21" t="s">
        <v>364</v>
      </c>
      <c r="D294" s="12"/>
      <c r="E294" s="13"/>
      <c r="F294" s="92"/>
      <c r="G294" s="93"/>
    </row>
    <row r="295" spans="2:7">
      <c r="B295" s="18"/>
      <c r="C295" s="21" t="s">
        <v>361</v>
      </c>
      <c r="D295" s="12"/>
      <c r="E295" s="13"/>
      <c r="F295" s="92"/>
      <c r="G295" s="93"/>
    </row>
    <row r="296" spans="2:7">
      <c r="B296" s="18"/>
      <c r="C296" s="21" t="s">
        <v>207</v>
      </c>
      <c r="D296" s="12"/>
      <c r="E296" s="13"/>
      <c r="F296" s="92"/>
      <c r="G296" s="93"/>
    </row>
    <row r="297" spans="2:7">
      <c r="B297" s="18"/>
      <c r="C297" s="21" t="s">
        <v>60</v>
      </c>
      <c r="D297" s="12"/>
      <c r="E297" s="13"/>
      <c r="F297" s="92"/>
      <c r="G297" s="93"/>
    </row>
    <row r="298" spans="2:7">
      <c r="B298" s="18"/>
      <c r="C298" s="21" t="s">
        <v>61</v>
      </c>
      <c r="D298" s="12"/>
      <c r="E298" s="13"/>
      <c r="F298" s="92"/>
      <c r="G298" s="93"/>
    </row>
    <row r="299" spans="2:7">
      <c r="B299" s="18"/>
      <c r="C299" s="21" t="s">
        <v>208</v>
      </c>
      <c r="D299" s="12"/>
      <c r="E299" s="13"/>
      <c r="F299" s="92"/>
      <c r="G299" s="93"/>
    </row>
    <row r="300" spans="2:7">
      <c r="B300" s="18"/>
      <c r="C300" s="21" t="s">
        <v>62</v>
      </c>
      <c r="D300" s="12"/>
      <c r="E300" s="13"/>
      <c r="F300" s="92"/>
      <c r="G300" s="93"/>
    </row>
    <row r="301" spans="2:7">
      <c r="B301" s="18"/>
      <c r="C301" s="21" t="s">
        <v>209</v>
      </c>
      <c r="D301" s="12"/>
      <c r="E301" s="13"/>
      <c r="F301" s="92"/>
      <c r="G301" s="93"/>
    </row>
    <row r="302" spans="2:7">
      <c r="B302" s="18"/>
      <c r="C302" s="21" t="s">
        <v>46</v>
      </c>
      <c r="D302" s="12"/>
      <c r="E302" s="13"/>
      <c r="F302" s="92"/>
      <c r="G302" s="93"/>
    </row>
    <row r="303" spans="2:7">
      <c r="B303" s="18"/>
      <c r="C303" s="21" t="s">
        <v>343</v>
      </c>
      <c r="D303" s="12"/>
      <c r="E303" s="13"/>
      <c r="F303" s="92"/>
      <c r="G303" s="93"/>
    </row>
    <row r="304" spans="2:7">
      <c r="B304" s="18">
        <v>31</v>
      </c>
      <c r="C304" s="27" t="s">
        <v>553</v>
      </c>
      <c r="D304" s="12">
        <v>1</v>
      </c>
      <c r="E304" s="13" t="s">
        <v>470</v>
      </c>
      <c r="F304" s="92"/>
      <c r="G304" s="93">
        <f>F304*D304</f>
        <v>0</v>
      </c>
    </row>
    <row r="305" spans="2:7">
      <c r="B305" s="18"/>
      <c r="C305" s="21" t="s">
        <v>365</v>
      </c>
      <c r="D305" s="12"/>
      <c r="E305" s="13"/>
      <c r="F305" s="92"/>
      <c r="G305" s="93"/>
    </row>
    <row r="306" spans="2:7">
      <c r="B306" s="18"/>
      <c r="C306" s="21"/>
      <c r="D306" s="12"/>
      <c r="E306" s="13"/>
      <c r="F306" s="92"/>
      <c r="G306" s="93"/>
    </row>
    <row r="307" spans="2:7">
      <c r="B307" s="18"/>
      <c r="C307" s="27" t="s">
        <v>366</v>
      </c>
      <c r="D307" s="12"/>
      <c r="E307" s="13"/>
      <c r="F307" s="92"/>
      <c r="G307" s="93"/>
    </row>
    <row r="308" spans="2:7">
      <c r="B308" s="18">
        <v>1</v>
      </c>
      <c r="C308" s="27" t="s">
        <v>523</v>
      </c>
      <c r="D308" s="12">
        <v>6</v>
      </c>
      <c r="E308" s="13" t="s">
        <v>468</v>
      </c>
      <c r="F308" s="92"/>
      <c r="G308" s="93">
        <f>F308*D308</f>
        <v>0</v>
      </c>
    </row>
    <row r="309" spans="2:7">
      <c r="B309" s="18"/>
      <c r="C309" s="21" t="s">
        <v>260</v>
      </c>
      <c r="D309" s="12"/>
      <c r="E309" s="13"/>
      <c r="F309" s="92"/>
      <c r="G309" s="93"/>
    </row>
    <row r="310" spans="2:7">
      <c r="B310" s="18"/>
      <c r="C310" s="21" t="s">
        <v>165</v>
      </c>
      <c r="D310" s="12"/>
      <c r="E310" s="13"/>
      <c r="F310" s="92"/>
      <c r="G310" s="93"/>
    </row>
    <row r="311" spans="2:7">
      <c r="B311" s="18"/>
      <c r="C311" s="21" t="s">
        <v>166</v>
      </c>
      <c r="D311" s="12"/>
      <c r="E311" s="13"/>
      <c r="F311" s="92"/>
      <c r="G311" s="93"/>
    </row>
    <row r="312" spans="2:7">
      <c r="B312" s="18"/>
      <c r="C312" s="21" t="s">
        <v>167</v>
      </c>
      <c r="D312" s="12"/>
      <c r="E312" s="13"/>
      <c r="F312" s="92"/>
      <c r="G312" s="93"/>
    </row>
    <row r="313" spans="2:7">
      <c r="B313" s="18"/>
      <c r="C313" s="21" t="s">
        <v>261</v>
      </c>
      <c r="D313" s="12"/>
      <c r="E313" s="13"/>
      <c r="F313" s="92"/>
      <c r="G313" s="93"/>
    </row>
    <row r="314" spans="2:7">
      <c r="B314" s="18"/>
      <c r="C314" s="21" t="s">
        <v>262</v>
      </c>
      <c r="D314" s="12"/>
      <c r="E314" s="13"/>
      <c r="F314" s="92"/>
      <c r="G314" s="93"/>
    </row>
    <row r="315" spans="2:7">
      <c r="B315" s="18"/>
      <c r="C315" s="21" t="s">
        <v>46</v>
      </c>
      <c r="D315" s="12"/>
      <c r="E315" s="13"/>
      <c r="F315" s="92"/>
      <c r="G315" s="93"/>
    </row>
    <row r="316" spans="2:7">
      <c r="B316" s="18"/>
      <c r="C316" s="21" t="s">
        <v>263</v>
      </c>
      <c r="D316" s="12"/>
      <c r="E316" s="13"/>
      <c r="F316" s="92"/>
      <c r="G316" s="93"/>
    </row>
    <row r="317" spans="2:7">
      <c r="B317" s="18">
        <v>2</v>
      </c>
      <c r="C317" s="27" t="s">
        <v>525</v>
      </c>
      <c r="D317" s="12">
        <v>1</v>
      </c>
      <c r="E317" s="13" t="s">
        <v>468</v>
      </c>
      <c r="F317" s="92"/>
      <c r="G317" s="93">
        <f>F317*D317</f>
        <v>0</v>
      </c>
    </row>
    <row r="318" spans="2:7">
      <c r="B318" s="18"/>
      <c r="C318" s="21" t="s">
        <v>174</v>
      </c>
      <c r="D318" s="12"/>
      <c r="E318" s="13"/>
      <c r="F318" s="92"/>
      <c r="G318" s="93"/>
    </row>
    <row r="319" spans="2:7">
      <c r="B319" s="18"/>
      <c r="C319" s="21" t="s">
        <v>278</v>
      </c>
      <c r="D319" s="12"/>
      <c r="E319" s="13"/>
      <c r="F319" s="92"/>
      <c r="G319" s="93"/>
    </row>
    <row r="320" spans="2:7">
      <c r="B320" s="18"/>
      <c r="C320" s="21" t="s">
        <v>265</v>
      </c>
      <c r="D320" s="12"/>
      <c r="E320" s="13"/>
      <c r="F320" s="92"/>
      <c r="G320" s="93"/>
    </row>
    <row r="321" spans="2:7">
      <c r="B321" s="18"/>
      <c r="C321" s="21" t="s">
        <v>177</v>
      </c>
      <c r="D321" s="12"/>
      <c r="E321" s="13"/>
      <c r="F321" s="92"/>
      <c r="G321" s="93"/>
    </row>
    <row r="322" spans="2:7">
      <c r="B322" s="18"/>
      <c r="C322" s="21" t="s">
        <v>266</v>
      </c>
      <c r="D322" s="12"/>
      <c r="E322" s="13"/>
      <c r="F322" s="92"/>
      <c r="G322" s="93"/>
    </row>
    <row r="323" spans="2:7">
      <c r="B323" s="18"/>
      <c r="C323" s="21" t="s">
        <v>267</v>
      </c>
      <c r="D323" s="12"/>
      <c r="E323" s="13"/>
      <c r="F323" s="92"/>
      <c r="G323" s="93"/>
    </row>
    <row r="324" spans="2:7">
      <c r="B324" s="18"/>
      <c r="C324" s="21" t="s">
        <v>268</v>
      </c>
      <c r="D324" s="12"/>
      <c r="E324" s="13"/>
      <c r="F324" s="92"/>
      <c r="G324" s="93"/>
    </row>
    <row r="325" spans="2:7">
      <c r="B325" s="18"/>
      <c r="C325" s="21" t="s">
        <v>269</v>
      </c>
      <c r="D325" s="12"/>
      <c r="E325" s="13"/>
      <c r="F325" s="92"/>
      <c r="G325" s="93"/>
    </row>
    <row r="326" spans="2:7">
      <c r="B326" s="18"/>
      <c r="C326" s="21" t="s">
        <v>270</v>
      </c>
      <c r="D326" s="12"/>
      <c r="E326" s="13"/>
      <c r="F326" s="92"/>
      <c r="G326" s="93"/>
    </row>
    <row r="327" spans="2:7">
      <c r="B327" s="18"/>
      <c r="C327" s="21" t="s">
        <v>397</v>
      </c>
      <c r="D327" s="12"/>
      <c r="E327" s="13"/>
      <c r="F327" s="92"/>
      <c r="G327" s="93"/>
    </row>
    <row r="328" spans="2:7">
      <c r="B328" s="18"/>
      <c r="C328" s="21" t="s">
        <v>273</v>
      </c>
      <c r="D328" s="12"/>
      <c r="E328" s="13"/>
      <c r="F328" s="92"/>
      <c r="G328" s="93"/>
    </row>
    <row r="329" spans="2:7">
      <c r="B329" s="18"/>
      <c r="C329" s="21" t="s">
        <v>274</v>
      </c>
      <c r="D329" s="12"/>
      <c r="E329" s="13"/>
      <c r="F329" s="92"/>
      <c r="G329" s="93"/>
    </row>
    <row r="330" spans="2:7">
      <c r="B330" s="18"/>
      <c r="C330" s="21" t="s">
        <v>275</v>
      </c>
      <c r="D330" s="12"/>
      <c r="E330" s="13"/>
      <c r="F330" s="92"/>
      <c r="G330" s="93"/>
    </row>
    <row r="331" spans="2:7">
      <c r="B331" s="18"/>
      <c r="C331" s="21" t="s">
        <v>276</v>
      </c>
      <c r="D331" s="12"/>
      <c r="E331" s="13"/>
      <c r="F331" s="92"/>
      <c r="G331" s="93"/>
    </row>
    <row r="332" spans="2:7">
      <c r="B332" s="18"/>
      <c r="C332" s="21" t="s">
        <v>185</v>
      </c>
      <c r="D332" s="12"/>
      <c r="E332" s="13"/>
      <c r="F332" s="92"/>
      <c r="G332" s="93"/>
    </row>
    <row r="333" spans="2:7">
      <c r="B333" s="18"/>
      <c r="C333" s="21" t="s">
        <v>277</v>
      </c>
      <c r="D333" s="12"/>
      <c r="E333" s="13"/>
      <c r="F333" s="92"/>
      <c r="G333" s="93"/>
    </row>
    <row r="334" spans="2:7">
      <c r="B334" s="18"/>
      <c r="C334" s="21" t="s">
        <v>46</v>
      </c>
      <c r="D334" s="12"/>
      <c r="E334" s="13"/>
      <c r="F334" s="92"/>
      <c r="G334" s="93"/>
    </row>
    <row r="335" spans="2:7">
      <c r="B335" s="18"/>
      <c r="C335" s="21" t="s">
        <v>184</v>
      </c>
      <c r="D335" s="12"/>
      <c r="E335" s="13"/>
      <c r="F335" s="92"/>
      <c r="G335" s="93"/>
    </row>
    <row r="336" spans="2:7">
      <c r="B336" s="18">
        <v>3</v>
      </c>
      <c r="C336" s="27" t="s">
        <v>574</v>
      </c>
      <c r="D336" s="12">
        <v>1</v>
      </c>
      <c r="E336" s="13" t="s">
        <v>468</v>
      </c>
      <c r="F336" s="92"/>
      <c r="G336" s="93">
        <f>F336*D336</f>
        <v>0</v>
      </c>
    </row>
    <row r="337" spans="2:7">
      <c r="B337" s="18"/>
      <c r="C337" s="21" t="s">
        <v>280</v>
      </c>
      <c r="D337" s="12"/>
      <c r="E337" s="13"/>
      <c r="F337" s="92"/>
      <c r="G337" s="93"/>
    </row>
    <row r="338" spans="2:7">
      <c r="B338" s="18"/>
      <c r="C338" s="21" t="s">
        <v>367</v>
      </c>
      <c r="D338" s="12"/>
      <c r="E338" s="13"/>
      <c r="F338" s="92"/>
      <c r="G338" s="93"/>
    </row>
    <row r="339" spans="2:7">
      <c r="B339" s="18"/>
      <c r="C339" s="21" t="s">
        <v>207</v>
      </c>
      <c r="D339" s="12"/>
      <c r="E339" s="13"/>
      <c r="F339" s="92"/>
      <c r="G339" s="93"/>
    </row>
    <row r="340" spans="2:7">
      <c r="B340" s="18"/>
      <c r="C340" s="21" t="s">
        <v>60</v>
      </c>
      <c r="D340" s="12"/>
      <c r="E340" s="13"/>
      <c r="F340" s="92"/>
      <c r="G340" s="93"/>
    </row>
    <row r="341" spans="2:7">
      <c r="B341" s="18"/>
      <c r="C341" s="21" t="s">
        <v>61</v>
      </c>
      <c r="D341" s="12"/>
      <c r="E341" s="13"/>
      <c r="F341" s="92"/>
      <c r="G341" s="93"/>
    </row>
    <row r="342" spans="2:7">
      <c r="B342" s="18"/>
      <c r="C342" s="21" t="s">
        <v>62</v>
      </c>
      <c r="D342" s="12"/>
      <c r="E342" s="13"/>
      <c r="F342" s="92"/>
      <c r="G342" s="93"/>
    </row>
    <row r="343" spans="2:7">
      <c r="B343" s="18"/>
      <c r="C343" s="21" t="s">
        <v>209</v>
      </c>
      <c r="D343" s="12"/>
      <c r="E343" s="13"/>
      <c r="F343" s="92"/>
      <c r="G343" s="93"/>
    </row>
    <row r="344" spans="2:7">
      <c r="B344" s="18"/>
      <c r="C344" s="21" t="s">
        <v>46</v>
      </c>
      <c r="D344" s="12"/>
      <c r="E344" s="13"/>
      <c r="F344" s="92"/>
      <c r="G344" s="93"/>
    </row>
    <row r="345" spans="2:7">
      <c r="B345" s="18"/>
      <c r="C345" s="21" t="s">
        <v>64</v>
      </c>
      <c r="D345" s="12"/>
      <c r="E345" s="13"/>
      <c r="F345" s="92"/>
      <c r="G345" s="93"/>
    </row>
    <row r="346" spans="2:7">
      <c r="B346" s="18">
        <v>4</v>
      </c>
      <c r="C346" s="27" t="s">
        <v>530</v>
      </c>
      <c r="D346" s="12">
        <v>11</v>
      </c>
      <c r="E346" s="13" t="s">
        <v>468</v>
      </c>
      <c r="F346" s="92"/>
      <c r="G346" s="93">
        <f>F346*D346</f>
        <v>0</v>
      </c>
    </row>
    <row r="347" spans="2:7">
      <c r="B347" s="18"/>
      <c r="C347" s="21" t="s">
        <v>284</v>
      </c>
      <c r="D347" s="12"/>
      <c r="E347" s="13"/>
      <c r="F347" s="92"/>
      <c r="G347" s="93"/>
    </row>
    <row r="348" spans="2:7">
      <c r="B348" s="18"/>
      <c r="C348" s="21" t="s">
        <v>285</v>
      </c>
      <c r="D348" s="12"/>
      <c r="E348" s="13"/>
      <c r="F348" s="92"/>
      <c r="G348" s="93"/>
    </row>
    <row r="349" spans="2:7">
      <c r="B349" s="18"/>
      <c r="C349" s="21" t="s">
        <v>286</v>
      </c>
      <c r="D349" s="12"/>
      <c r="E349" s="13"/>
      <c r="F349" s="92"/>
      <c r="G349" s="93"/>
    </row>
    <row r="350" spans="2:7">
      <c r="B350" s="18"/>
      <c r="C350" s="21" t="s">
        <v>97</v>
      </c>
      <c r="D350" s="12"/>
      <c r="E350" s="13"/>
      <c r="F350" s="92"/>
      <c r="G350" s="93"/>
    </row>
    <row r="351" spans="2:7">
      <c r="B351" s="18"/>
      <c r="C351" s="21" t="s">
        <v>287</v>
      </c>
      <c r="D351" s="12"/>
      <c r="E351" s="13"/>
      <c r="F351" s="92"/>
      <c r="G351" s="93"/>
    </row>
    <row r="352" spans="2:7">
      <c r="B352" s="18"/>
      <c r="C352" s="21" t="s">
        <v>288</v>
      </c>
      <c r="D352" s="12"/>
      <c r="E352" s="13"/>
      <c r="F352" s="92"/>
      <c r="G352" s="93"/>
    </row>
    <row r="353" spans="2:7">
      <c r="B353" s="18"/>
      <c r="C353" s="21" t="s">
        <v>289</v>
      </c>
      <c r="D353" s="12"/>
      <c r="E353" s="13"/>
      <c r="F353" s="92"/>
      <c r="G353" s="93"/>
    </row>
    <row r="354" spans="2:7">
      <c r="B354" s="18"/>
      <c r="C354" s="21" t="s">
        <v>290</v>
      </c>
      <c r="D354" s="12"/>
      <c r="E354" s="13"/>
      <c r="F354" s="92"/>
      <c r="G354" s="93"/>
    </row>
    <row r="355" spans="2:7">
      <c r="B355" s="18"/>
      <c r="C355" s="21" t="s">
        <v>291</v>
      </c>
      <c r="D355" s="12"/>
      <c r="E355" s="13"/>
      <c r="F355" s="92"/>
      <c r="G355" s="93"/>
    </row>
    <row r="356" spans="2:7">
      <c r="B356" s="18"/>
      <c r="C356" s="21" t="s">
        <v>292</v>
      </c>
      <c r="D356" s="12"/>
      <c r="E356" s="13"/>
      <c r="F356" s="92"/>
      <c r="G356" s="93"/>
    </row>
    <row r="357" spans="2:7">
      <c r="B357" s="18"/>
      <c r="C357" s="21" t="s">
        <v>96</v>
      </c>
      <c r="D357" s="12"/>
      <c r="E357" s="13"/>
      <c r="F357" s="92"/>
      <c r="G357" s="93"/>
    </row>
    <row r="358" spans="2:7">
      <c r="B358" s="18"/>
      <c r="C358" s="21" t="s">
        <v>293</v>
      </c>
      <c r="D358" s="12"/>
      <c r="E358" s="13"/>
      <c r="F358" s="92"/>
      <c r="G358" s="93"/>
    </row>
    <row r="359" spans="2:7">
      <c r="B359" s="18">
        <v>5</v>
      </c>
      <c r="C359" s="27" t="s">
        <v>554</v>
      </c>
      <c r="D359" s="12">
        <v>2</v>
      </c>
      <c r="E359" s="13" t="s">
        <v>468</v>
      </c>
      <c r="F359" s="92"/>
      <c r="G359" s="93">
        <f>F359*D359</f>
        <v>0</v>
      </c>
    </row>
    <row r="360" spans="2:7">
      <c r="B360" s="18"/>
      <c r="C360" s="21" t="s">
        <v>294</v>
      </c>
      <c r="D360" s="12"/>
      <c r="E360" s="13"/>
      <c r="F360" s="92"/>
      <c r="G360" s="93"/>
    </row>
    <row r="361" spans="2:7">
      <c r="B361" s="18"/>
      <c r="C361" s="21" t="s">
        <v>221</v>
      </c>
      <c r="D361" s="12"/>
      <c r="E361" s="13"/>
      <c r="F361" s="92"/>
      <c r="G361" s="93"/>
    </row>
    <row r="362" spans="2:7">
      <c r="B362" s="18"/>
      <c r="C362" s="21" t="s">
        <v>222</v>
      </c>
      <c r="D362" s="12"/>
      <c r="E362" s="13"/>
      <c r="F362" s="92"/>
      <c r="G362" s="93"/>
    </row>
    <row r="363" spans="2:7">
      <c r="B363" s="18"/>
      <c r="C363" s="21" t="s">
        <v>295</v>
      </c>
      <c r="D363" s="12"/>
      <c r="E363" s="13"/>
      <c r="F363" s="92"/>
      <c r="G363" s="93"/>
    </row>
    <row r="364" spans="2:7">
      <c r="B364" s="18"/>
      <c r="C364" s="21" t="s">
        <v>223</v>
      </c>
      <c r="D364" s="12"/>
      <c r="E364" s="13"/>
      <c r="F364" s="92"/>
      <c r="G364" s="93"/>
    </row>
    <row r="365" spans="2:7">
      <c r="B365" s="18"/>
      <c r="C365" s="21" t="s">
        <v>224</v>
      </c>
      <c r="D365" s="12"/>
      <c r="E365" s="13"/>
      <c r="F365" s="92"/>
      <c r="G365" s="93"/>
    </row>
    <row r="366" spans="2:7">
      <c r="B366" s="18"/>
      <c r="C366" s="21" t="s">
        <v>296</v>
      </c>
      <c r="D366" s="12"/>
      <c r="E366" s="13"/>
      <c r="F366" s="92"/>
      <c r="G366" s="93"/>
    </row>
    <row r="367" spans="2:7">
      <c r="B367" s="18"/>
      <c r="C367" s="21" t="s">
        <v>170</v>
      </c>
      <c r="D367" s="12"/>
      <c r="E367" s="13"/>
      <c r="F367" s="92"/>
      <c r="G367" s="93"/>
    </row>
    <row r="368" spans="2:7">
      <c r="B368" s="18"/>
      <c r="C368" s="21" t="s">
        <v>297</v>
      </c>
      <c r="D368" s="12"/>
      <c r="E368" s="13"/>
      <c r="F368" s="92"/>
      <c r="G368" s="93"/>
    </row>
    <row r="369" spans="2:7">
      <c r="B369" s="18">
        <v>6</v>
      </c>
      <c r="C369" s="27" t="s">
        <v>535</v>
      </c>
      <c r="D369" s="12">
        <v>2</v>
      </c>
      <c r="E369" s="13" t="s">
        <v>468</v>
      </c>
      <c r="F369" s="92"/>
      <c r="G369" s="93">
        <f>F369*D369</f>
        <v>0</v>
      </c>
    </row>
    <row r="370" spans="2:7">
      <c r="B370" s="18"/>
      <c r="C370" s="21" t="s">
        <v>302</v>
      </c>
      <c r="D370" s="12"/>
      <c r="E370" s="13"/>
      <c r="F370" s="92"/>
      <c r="G370" s="93"/>
    </row>
    <row r="371" spans="2:7">
      <c r="B371" s="18"/>
      <c r="C371" s="21" t="s">
        <v>221</v>
      </c>
      <c r="D371" s="12"/>
      <c r="E371" s="13"/>
      <c r="F371" s="92"/>
      <c r="G371" s="93"/>
    </row>
    <row r="372" spans="2:7">
      <c r="B372" s="18"/>
      <c r="C372" s="21" t="s">
        <v>303</v>
      </c>
      <c r="D372" s="12"/>
      <c r="E372" s="13"/>
      <c r="F372" s="92"/>
      <c r="G372" s="93"/>
    </row>
    <row r="373" spans="2:7">
      <c r="B373" s="18"/>
      <c r="C373" s="21" t="s">
        <v>304</v>
      </c>
      <c r="D373" s="12"/>
      <c r="E373" s="13"/>
      <c r="F373" s="92"/>
      <c r="G373" s="93"/>
    </row>
    <row r="374" spans="2:7">
      <c r="B374" s="18"/>
      <c r="C374" s="21" t="s">
        <v>305</v>
      </c>
      <c r="D374" s="12"/>
      <c r="E374" s="13"/>
      <c r="F374" s="92"/>
      <c r="G374" s="93"/>
    </row>
    <row r="375" spans="2:7">
      <c r="B375" s="18"/>
      <c r="C375" s="21" t="s">
        <v>306</v>
      </c>
      <c r="D375" s="12"/>
      <c r="E375" s="13"/>
      <c r="F375" s="92"/>
      <c r="G375" s="93"/>
    </row>
    <row r="376" spans="2:7">
      <c r="B376" s="18"/>
      <c r="C376" s="21" t="s">
        <v>307</v>
      </c>
      <c r="D376" s="12"/>
      <c r="E376" s="13"/>
      <c r="F376" s="92"/>
      <c r="G376" s="93"/>
    </row>
    <row r="377" spans="2:7">
      <c r="B377" s="18"/>
      <c r="C377" s="21" t="s">
        <v>226</v>
      </c>
      <c r="D377" s="12"/>
      <c r="E377" s="13"/>
      <c r="F377" s="92"/>
      <c r="G377" s="93"/>
    </row>
    <row r="378" spans="2:7">
      <c r="B378" s="18"/>
      <c r="C378" s="21" t="s">
        <v>227</v>
      </c>
      <c r="D378" s="12"/>
      <c r="E378" s="13"/>
      <c r="F378" s="92"/>
      <c r="G378" s="93"/>
    </row>
    <row r="379" spans="2:7">
      <c r="B379" s="18">
        <v>7</v>
      </c>
      <c r="C379" s="27" t="s">
        <v>536</v>
      </c>
      <c r="D379" s="12">
        <v>1</v>
      </c>
      <c r="E379" s="13" t="s">
        <v>468</v>
      </c>
      <c r="F379" s="92"/>
      <c r="G379" s="93">
        <f>F379*D379</f>
        <v>0</v>
      </c>
    </row>
    <row r="380" spans="2:7">
      <c r="B380" s="18"/>
      <c r="C380" s="21" t="s">
        <v>368</v>
      </c>
      <c r="D380" s="12"/>
      <c r="E380" s="13"/>
      <c r="F380" s="92"/>
      <c r="G380" s="93"/>
    </row>
    <row r="381" spans="2:7">
      <c r="B381" s="18"/>
      <c r="C381" s="21" t="s">
        <v>221</v>
      </c>
      <c r="D381" s="12"/>
      <c r="E381" s="13"/>
      <c r="F381" s="92"/>
      <c r="G381" s="93"/>
    </row>
    <row r="382" spans="2:7">
      <c r="B382" s="18"/>
      <c r="C382" s="21" t="s">
        <v>303</v>
      </c>
      <c r="D382" s="12"/>
      <c r="E382" s="13"/>
      <c r="F382" s="92"/>
      <c r="G382" s="93"/>
    </row>
    <row r="383" spans="2:7">
      <c r="B383" s="18"/>
      <c r="C383" s="21" t="s">
        <v>304</v>
      </c>
      <c r="D383" s="12"/>
      <c r="E383" s="13"/>
      <c r="F383" s="92"/>
      <c r="G383" s="93"/>
    </row>
    <row r="384" spans="2:7">
      <c r="B384" s="18"/>
      <c r="C384" s="21" t="s">
        <v>308</v>
      </c>
      <c r="D384" s="12"/>
      <c r="E384" s="13"/>
      <c r="F384" s="92"/>
      <c r="G384" s="93"/>
    </row>
    <row r="385" spans="2:7">
      <c r="B385" s="18"/>
      <c r="C385" s="21" t="s">
        <v>223</v>
      </c>
      <c r="D385" s="12"/>
      <c r="E385" s="13"/>
      <c r="F385" s="92"/>
      <c r="G385" s="93"/>
    </row>
    <row r="386" spans="2:7">
      <c r="B386" s="18"/>
      <c r="C386" s="21" t="s">
        <v>306</v>
      </c>
      <c r="D386" s="12"/>
      <c r="E386" s="13"/>
      <c r="F386" s="92"/>
      <c r="G386" s="93"/>
    </row>
    <row r="387" spans="2:7">
      <c r="B387" s="18"/>
      <c r="C387" s="21" t="s">
        <v>307</v>
      </c>
      <c r="D387" s="12"/>
      <c r="E387" s="13"/>
      <c r="F387" s="92"/>
      <c r="G387" s="93"/>
    </row>
    <row r="388" spans="2:7">
      <c r="B388" s="18"/>
      <c r="C388" s="21" t="s">
        <v>96</v>
      </c>
      <c r="D388" s="12"/>
      <c r="E388" s="13"/>
      <c r="F388" s="92"/>
      <c r="G388" s="93"/>
    </row>
    <row r="389" spans="2:7">
      <c r="B389" s="18"/>
      <c r="C389" s="21" t="s">
        <v>309</v>
      </c>
      <c r="D389" s="12"/>
      <c r="E389" s="13"/>
      <c r="F389" s="92"/>
      <c r="G389" s="93"/>
    </row>
    <row r="390" spans="2:7">
      <c r="B390" s="18">
        <v>8</v>
      </c>
      <c r="C390" s="27" t="s">
        <v>537</v>
      </c>
      <c r="D390" s="12">
        <v>11</v>
      </c>
      <c r="E390" s="13" t="s">
        <v>468</v>
      </c>
      <c r="F390" s="92"/>
      <c r="G390" s="93">
        <f>F390*D390</f>
        <v>0</v>
      </c>
    </row>
    <row r="391" spans="2:7">
      <c r="B391" s="18"/>
      <c r="C391" s="21" t="s">
        <v>310</v>
      </c>
      <c r="D391" s="12"/>
      <c r="E391" s="13"/>
      <c r="F391" s="92"/>
      <c r="G391" s="93"/>
    </row>
    <row r="392" spans="2:7">
      <c r="B392" s="18"/>
      <c r="C392" s="21" t="s">
        <v>311</v>
      </c>
      <c r="D392" s="12"/>
      <c r="E392" s="13"/>
      <c r="F392" s="92"/>
      <c r="G392" s="93"/>
    </row>
    <row r="393" spans="2:7">
      <c r="B393" s="18"/>
      <c r="C393" s="21" t="s">
        <v>286</v>
      </c>
      <c r="D393" s="12"/>
      <c r="E393" s="13"/>
      <c r="F393" s="92"/>
      <c r="G393" s="93"/>
    </row>
    <row r="394" spans="2:7">
      <c r="B394" s="18"/>
      <c r="C394" s="21" t="s">
        <v>312</v>
      </c>
      <c r="D394" s="12"/>
      <c r="E394" s="13"/>
      <c r="F394" s="92"/>
      <c r="G394" s="93"/>
    </row>
    <row r="395" spans="2:7">
      <c r="B395" s="18"/>
      <c r="C395" s="21" t="s">
        <v>313</v>
      </c>
      <c r="D395" s="12"/>
      <c r="E395" s="13"/>
      <c r="F395" s="92"/>
      <c r="G395" s="93"/>
    </row>
    <row r="396" spans="2:7">
      <c r="B396" s="18"/>
      <c r="C396" s="21" t="s">
        <v>314</v>
      </c>
      <c r="D396" s="12"/>
      <c r="E396" s="13"/>
      <c r="F396" s="92"/>
      <c r="G396" s="93"/>
    </row>
    <row r="397" spans="2:7">
      <c r="B397" s="18"/>
      <c r="C397" s="21" t="s">
        <v>291</v>
      </c>
      <c r="D397" s="12"/>
      <c r="E397" s="13"/>
      <c r="F397" s="92"/>
      <c r="G397" s="93"/>
    </row>
    <row r="398" spans="2:7">
      <c r="B398" s="18"/>
      <c r="C398" s="21" t="s">
        <v>315</v>
      </c>
      <c r="D398" s="12"/>
      <c r="E398" s="13"/>
      <c r="F398" s="92"/>
      <c r="G398" s="93"/>
    </row>
    <row r="399" spans="2:7">
      <c r="B399" s="18"/>
      <c r="C399" s="21" t="s">
        <v>316</v>
      </c>
      <c r="D399" s="12"/>
      <c r="E399" s="13"/>
      <c r="F399" s="92"/>
      <c r="G399" s="93"/>
    </row>
    <row r="400" spans="2:7">
      <c r="B400" s="18"/>
      <c r="C400" s="21" t="s">
        <v>96</v>
      </c>
      <c r="D400" s="12"/>
      <c r="E400" s="13"/>
      <c r="F400" s="92"/>
      <c r="G400" s="93"/>
    </row>
    <row r="401" spans="2:7">
      <c r="B401" s="18"/>
      <c r="C401" s="21" t="s">
        <v>293</v>
      </c>
      <c r="D401" s="12"/>
      <c r="E401" s="13"/>
      <c r="F401" s="92"/>
      <c r="G401" s="93"/>
    </row>
    <row r="402" spans="2:7">
      <c r="B402" s="18">
        <v>9</v>
      </c>
      <c r="C402" s="27" t="s">
        <v>540</v>
      </c>
      <c r="D402" s="12">
        <v>12</v>
      </c>
      <c r="E402" s="13" t="s">
        <v>469</v>
      </c>
      <c r="F402" s="92"/>
      <c r="G402" s="93">
        <f>F402*D402</f>
        <v>0</v>
      </c>
    </row>
    <row r="403" spans="2:7">
      <c r="B403" s="18"/>
      <c r="C403" s="21" t="s">
        <v>321</v>
      </c>
      <c r="D403" s="12"/>
      <c r="E403" s="13"/>
      <c r="F403" s="92"/>
      <c r="G403" s="93"/>
    </row>
    <row r="404" spans="2:7">
      <c r="B404" s="18"/>
      <c r="C404" s="21" t="s">
        <v>322</v>
      </c>
      <c r="D404" s="12"/>
      <c r="E404" s="13"/>
      <c r="F404" s="92"/>
      <c r="G404" s="93"/>
    </row>
    <row r="405" spans="2:7">
      <c r="B405" s="18">
        <v>10</v>
      </c>
      <c r="C405" s="27" t="s">
        <v>541</v>
      </c>
      <c r="D405" s="12">
        <v>4</v>
      </c>
      <c r="E405" s="13" t="s">
        <v>469</v>
      </c>
      <c r="F405" s="92"/>
      <c r="G405" s="93">
        <f>F405*D405</f>
        <v>0</v>
      </c>
    </row>
    <row r="406" spans="2:7">
      <c r="B406" s="18"/>
      <c r="C406" s="21" t="s">
        <v>321</v>
      </c>
      <c r="D406" s="12"/>
      <c r="E406" s="13"/>
      <c r="F406" s="92"/>
      <c r="G406" s="93"/>
    </row>
    <row r="407" spans="2:7">
      <c r="B407" s="18"/>
      <c r="C407" s="21" t="s">
        <v>322</v>
      </c>
      <c r="D407" s="12"/>
      <c r="E407" s="13"/>
      <c r="F407" s="92"/>
      <c r="G407" s="93"/>
    </row>
    <row r="408" spans="2:7">
      <c r="B408" s="18">
        <v>11</v>
      </c>
      <c r="C408" s="27" t="s">
        <v>542</v>
      </c>
      <c r="D408" s="12">
        <v>16</v>
      </c>
      <c r="E408" s="13" t="s">
        <v>469</v>
      </c>
      <c r="F408" s="92"/>
      <c r="G408" s="93">
        <f>F408*D408</f>
        <v>0</v>
      </c>
    </row>
    <row r="409" spans="2:7">
      <c r="B409" s="18"/>
      <c r="C409" s="21" t="s">
        <v>321</v>
      </c>
      <c r="D409" s="12"/>
      <c r="E409" s="13"/>
      <c r="F409" s="92"/>
      <c r="G409" s="93"/>
    </row>
    <row r="410" spans="2:7">
      <c r="B410" s="18"/>
      <c r="C410" s="21" t="s">
        <v>323</v>
      </c>
      <c r="D410" s="12"/>
      <c r="E410" s="13"/>
      <c r="F410" s="92"/>
      <c r="G410" s="93"/>
    </row>
    <row r="411" spans="2:7">
      <c r="B411" s="18">
        <v>12</v>
      </c>
      <c r="C411" s="27" t="s">
        <v>543</v>
      </c>
      <c r="D411" s="12">
        <v>1</v>
      </c>
      <c r="E411" s="13" t="s">
        <v>468</v>
      </c>
      <c r="F411" s="92"/>
      <c r="G411" s="93">
        <f>F411*D411</f>
        <v>0</v>
      </c>
    </row>
    <row r="412" spans="2:7">
      <c r="B412" s="18"/>
      <c r="C412" s="21" t="s">
        <v>324</v>
      </c>
      <c r="D412" s="12"/>
      <c r="E412" s="13"/>
      <c r="F412" s="92"/>
      <c r="G412" s="93"/>
    </row>
    <row r="413" spans="2:7">
      <c r="B413" s="18"/>
      <c r="C413" s="21" t="s">
        <v>111</v>
      </c>
      <c r="D413" s="12"/>
      <c r="E413" s="13"/>
      <c r="F413" s="92"/>
      <c r="G413" s="93"/>
    </row>
    <row r="414" spans="2:7">
      <c r="B414" s="18"/>
      <c r="C414" s="21" t="s">
        <v>325</v>
      </c>
      <c r="D414" s="12"/>
      <c r="E414" s="13"/>
      <c r="F414" s="92"/>
      <c r="G414" s="93"/>
    </row>
    <row r="415" spans="2:7">
      <c r="B415" s="18"/>
      <c r="C415" s="21" t="s">
        <v>326</v>
      </c>
      <c r="D415" s="12"/>
      <c r="E415" s="13"/>
      <c r="F415" s="92"/>
      <c r="G415" s="93"/>
    </row>
    <row r="416" spans="2:7">
      <c r="B416" s="18"/>
      <c r="C416" s="21" t="s">
        <v>318</v>
      </c>
      <c r="D416" s="12"/>
      <c r="E416" s="13"/>
      <c r="F416" s="92"/>
      <c r="G416" s="93"/>
    </row>
    <row r="417" spans="2:7">
      <c r="B417" s="18"/>
      <c r="C417" s="21" t="s">
        <v>327</v>
      </c>
      <c r="D417" s="12"/>
      <c r="E417" s="13"/>
      <c r="F417" s="92"/>
      <c r="G417" s="93"/>
    </row>
    <row r="418" spans="2:7">
      <c r="B418" s="18"/>
      <c r="C418" s="21" t="s">
        <v>116</v>
      </c>
      <c r="D418" s="12"/>
      <c r="E418" s="13"/>
      <c r="F418" s="92"/>
      <c r="G418" s="93"/>
    </row>
    <row r="419" spans="2:7">
      <c r="B419" s="18"/>
      <c r="C419" s="21" t="s">
        <v>108</v>
      </c>
      <c r="D419" s="12"/>
      <c r="E419" s="13"/>
      <c r="F419" s="92"/>
      <c r="G419" s="93"/>
    </row>
    <row r="420" spans="2:7">
      <c r="B420" s="18"/>
      <c r="C420" s="21" t="s">
        <v>96</v>
      </c>
      <c r="D420" s="12"/>
      <c r="E420" s="13"/>
      <c r="F420" s="92"/>
      <c r="G420" s="93"/>
    </row>
    <row r="421" spans="2:7">
      <c r="B421" s="18">
        <v>13</v>
      </c>
      <c r="C421" s="27" t="s">
        <v>555</v>
      </c>
      <c r="D421" s="12">
        <v>1</v>
      </c>
      <c r="E421" s="13" t="s">
        <v>468</v>
      </c>
      <c r="F421" s="92"/>
      <c r="G421" s="93">
        <f>F421*D421</f>
        <v>0</v>
      </c>
    </row>
    <row r="422" spans="2:7">
      <c r="B422" s="18"/>
      <c r="C422" s="21" t="s">
        <v>328</v>
      </c>
      <c r="D422" s="12"/>
      <c r="E422" s="13"/>
      <c r="F422" s="92"/>
      <c r="G422" s="93"/>
    </row>
    <row r="423" spans="2:7">
      <c r="B423" s="18"/>
      <c r="C423" s="21" t="s">
        <v>111</v>
      </c>
      <c r="D423" s="12"/>
      <c r="E423" s="13"/>
      <c r="F423" s="92"/>
      <c r="G423" s="93"/>
    </row>
    <row r="424" spans="2:7">
      <c r="B424" s="18"/>
      <c r="C424" s="21" t="s">
        <v>325</v>
      </c>
      <c r="D424" s="12"/>
      <c r="E424" s="13"/>
      <c r="F424" s="92"/>
      <c r="G424" s="93"/>
    </row>
    <row r="425" spans="2:7">
      <c r="B425" s="18"/>
      <c r="C425" s="21" t="s">
        <v>369</v>
      </c>
      <c r="D425" s="12"/>
      <c r="E425" s="13"/>
      <c r="F425" s="92"/>
      <c r="G425" s="93"/>
    </row>
    <row r="426" spans="2:7">
      <c r="B426" s="18"/>
      <c r="C426" s="21" t="s">
        <v>318</v>
      </c>
      <c r="D426" s="12"/>
      <c r="E426" s="13"/>
      <c r="F426" s="92"/>
      <c r="G426" s="93"/>
    </row>
    <row r="427" spans="2:7">
      <c r="B427" s="18"/>
      <c r="C427" s="21" t="s">
        <v>327</v>
      </c>
      <c r="D427" s="12"/>
      <c r="E427" s="13"/>
      <c r="F427" s="92"/>
      <c r="G427" s="93"/>
    </row>
    <row r="428" spans="2:7">
      <c r="B428" s="18"/>
      <c r="C428" s="21" t="s">
        <v>116</v>
      </c>
      <c r="D428" s="12"/>
      <c r="E428" s="13"/>
      <c r="F428" s="92"/>
      <c r="G428" s="93"/>
    </row>
    <row r="429" spans="2:7">
      <c r="B429" s="18"/>
      <c r="C429" s="21" t="s">
        <v>108</v>
      </c>
      <c r="D429" s="12"/>
      <c r="E429" s="13"/>
      <c r="F429" s="92"/>
      <c r="G429" s="93"/>
    </row>
    <row r="430" spans="2:7">
      <c r="B430" s="18"/>
      <c r="C430" s="21" t="s">
        <v>96</v>
      </c>
      <c r="D430" s="12"/>
      <c r="E430" s="13"/>
      <c r="F430" s="92"/>
      <c r="G430" s="93"/>
    </row>
    <row r="431" spans="2:7">
      <c r="B431" s="18">
        <v>14</v>
      </c>
      <c r="C431" s="27" t="s">
        <v>545</v>
      </c>
      <c r="D431" s="12">
        <v>2</v>
      </c>
      <c r="E431" s="13" t="s">
        <v>468</v>
      </c>
      <c r="F431" s="92"/>
      <c r="G431" s="93">
        <f>F431*D431</f>
        <v>0</v>
      </c>
    </row>
    <row r="432" spans="2:7">
      <c r="B432" s="18"/>
      <c r="C432" s="21" t="s">
        <v>331</v>
      </c>
      <c r="D432" s="12"/>
      <c r="E432" s="13"/>
      <c r="F432" s="92"/>
      <c r="G432" s="93"/>
    </row>
    <row r="433" spans="2:7">
      <c r="B433" s="18"/>
      <c r="C433" s="21" t="s">
        <v>82</v>
      </c>
      <c r="D433" s="12"/>
      <c r="E433" s="13"/>
      <c r="F433" s="92"/>
      <c r="G433" s="93"/>
    </row>
    <row r="434" spans="2:7">
      <c r="B434" s="18"/>
      <c r="C434" s="21" t="s">
        <v>83</v>
      </c>
      <c r="D434" s="12"/>
      <c r="E434" s="13"/>
      <c r="F434" s="92"/>
      <c r="G434" s="93"/>
    </row>
    <row r="435" spans="2:7">
      <c r="B435" s="18"/>
      <c r="C435" s="21" t="s">
        <v>84</v>
      </c>
      <c r="D435" s="12"/>
      <c r="E435" s="13"/>
      <c r="F435" s="92"/>
      <c r="G435" s="93"/>
    </row>
    <row r="436" spans="2:7">
      <c r="B436" s="18"/>
      <c r="C436" s="21" t="s">
        <v>332</v>
      </c>
      <c r="D436" s="12"/>
      <c r="E436" s="13"/>
      <c r="F436" s="92"/>
      <c r="G436" s="93"/>
    </row>
    <row r="437" spans="2:7">
      <c r="B437" s="18"/>
      <c r="C437" s="21" t="s">
        <v>96</v>
      </c>
      <c r="D437" s="12"/>
      <c r="E437" s="13"/>
      <c r="F437" s="92"/>
      <c r="G437" s="93"/>
    </row>
    <row r="438" spans="2:7">
      <c r="B438" s="18">
        <v>15</v>
      </c>
      <c r="C438" s="27" t="s">
        <v>546</v>
      </c>
      <c r="D438" s="12">
        <v>2</v>
      </c>
      <c r="E438" s="13" t="s">
        <v>468</v>
      </c>
      <c r="F438" s="92"/>
      <c r="G438" s="93">
        <f>F438*D438</f>
        <v>0</v>
      </c>
    </row>
    <row r="439" spans="2:7">
      <c r="B439" s="18"/>
      <c r="C439" s="21" t="s">
        <v>333</v>
      </c>
      <c r="D439" s="12"/>
      <c r="E439" s="13"/>
      <c r="F439" s="92"/>
      <c r="G439" s="93"/>
    </row>
    <row r="440" spans="2:7">
      <c r="B440" s="18"/>
      <c r="C440" s="21" t="s">
        <v>334</v>
      </c>
      <c r="D440" s="12"/>
      <c r="E440" s="13"/>
      <c r="F440" s="92"/>
      <c r="G440" s="93"/>
    </row>
    <row r="441" spans="2:7">
      <c r="B441" s="18"/>
      <c r="C441" s="21" t="s">
        <v>94</v>
      </c>
      <c r="D441" s="12"/>
      <c r="E441" s="13"/>
      <c r="F441" s="92"/>
      <c r="G441" s="93"/>
    </row>
    <row r="442" spans="2:7">
      <c r="B442" s="18"/>
      <c r="C442" s="21" t="s">
        <v>95</v>
      </c>
      <c r="D442" s="12"/>
      <c r="E442" s="13"/>
      <c r="F442" s="92"/>
      <c r="G442" s="93"/>
    </row>
    <row r="443" spans="2:7">
      <c r="B443" s="18"/>
      <c r="C443" s="21" t="s">
        <v>96</v>
      </c>
      <c r="D443" s="12"/>
      <c r="E443" s="13"/>
      <c r="F443" s="92"/>
      <c r="G443" s="93"/>
    </row>
    <row r="444" spans="2:7">
      <c r="B444" s="18">
        <v>16</v>
      </c>
      <c r="C444" s="27" t="s">
        <v>575</v>
      </c>
      <c r="D444" s="12">
        <v>1</v>
      </c>
      <c r="E444" s="13" t="s">
        <v>468</v>
      </c>
      <c r="F444" s="92"/>
      <c r="G444" s="93">
        <f>F444*D444</f>
        <v>0</v>
      </c>
    </row>
    <row r="445" spans="2:7">
      <c r="B445" s="18"/>
      <c r="C445" s="21" t="s">
        <v>335</v>
      </c>
      <c r="D445" s="12"/>
      <c r="E445" s="13"/>
      <c r="F445" s="92"/>
      <c r="G445" s="93"/>
    </row>
    <row r="446" spans="2:7">
      <c r="B446" s="18"/>
      <c r="C446" s="21" t="s">
        <v>336</v>
      </c>
      <c r="D446" s="12"/>
      <c r="E446" s="13"/>
      <c r="F446" s="92"/>
      <c r="G446" s="93"/>
    </row>
    <row r="447" spans="2:7">
      <c r="B447" s="18"/>
      <c r="C447" s="21" t="s">
        <v>393</v>
      </c>
      <c r="D447" s="12"/>
      <c r="E447" s="13"/>
      <c r="F447" s="92"/>
      <c r="G447" s="93"/>
    </row>
    <row r="448" spans="2:7">
      <c r="B448" s="18"/>
      <c r="C448" s="21" t="s">
        <v>337</v>
      </c>
      <c r="D448" s="12"/>
      <c r="E448" s="13"/>
      <c r="F448" s="92"/>
      <c r="G448" s="93"/>
    </row>
    <row r="449" spans="2:7">
      <c r="B449" s="18"/>
      <c r="C449" s="21" t="s">
        <v>338</v>
      </c>
      <c r="D449" s="12"/>
      <c r="E449" s="13"/>
      <c r="F449" s="92"/>
      <c r="G449" s="93"/>
    </row>
    <row r="450" spans="2:7">
      <c r="B450" s="18"/>
      <c r="C450" s="21" t="s">
        <v>339</v>
      </c>
      <c r="D450" s="12"/>
      <c r="E450" s="13"/>
      <c r="F450" s="92"/>
      <c r="G450" s="93"/>
    </row>
    <row r="451" spans="2:7">
      <c r="B451" s="18"/>
      <c r="C451" s="21" t="s">
        <v>340</v>
      </c>
      <c r="D451" s="12"/>
      <c r="E451" s="13"/>
      <c r="F451" s="92"/>
      <c r="G451" s="93"/>
    </row>
    <row r="452" spans="2:7">
      <c r="B452" s="18"/>
      <c r="C452" s="21" t="s">
        <v>394</v>
      </c>
      <c r="D452" s="12"/>
      <c r="E452" s="13"/>
      <c r="F452" s="92"/>
      <c r="G452" s="93"/>
    </row>
    <row r="453" spans="2:7">
      <c r="B453" s="18"/>
      <c r="C453" s="21" t="s">
        <v>395</v>
      </c>
      <c r="D453" s="12"/>
      <c r="E453" s="13"/>
      <c r="F453" s="92"/>
      <c r="G453" s="93"/>
    </row>
    <row r="454" spans="2:7">
      <c r="B454" s="18"/>
      <c r="C454" s="21" t="s">
        <v>396</v>
      </c>
      <c r="D454" s="12"/>
      <c r="E454" s="13"/>
      <c r="F454" s="92"/>
      <c r="G454" s="93"/>
    </row>
    <row r="455" spans="2:7">
      <c r="B455" s="18"/>
      <c r="C455" s="21" t="s">
        <v>341</v>
      </c>
      <c r="D455" s="12"/>
      <c r="E455" s="13"/>
      <c r="F455" s="92"/>
      <c r="G455" s="93"/>
    </row>
    <row r="456" spans="2:7">
      <c r="B456" s="18"/>
      <c r="C456" s="21" t="s">
        <v>342</v>
      </c>
      <c r="D456" s="12"/>
      <c r="E456" s="13"/>
      <c r="F456" s="92"/>
      <c r="G456" s="93"/>
    </row>
    <row r="457" spans="2:7">
      <c r="B457" s="18"/>
      <c r="C457" s="21" t="s">
        <v>343</v>
      </c>
      <c r="D457" s="12"/>
      <c r="E457" s="13"/>
      <c r="F457" s="92"/>
      <c r="G457" s="93"/>
    </row>
    <row r="458" spans="2:7">
      <c r="B458" s="18">
        <v>17</v>
      </c>
      <c r="C458" s="27" t="s">
        <v>548</v>
      </c>
      <c r="D458" s="12">
        <v>200</v>
      </c>
      <c r="E458" s="13" t="s">
        <v>510</v>
      </c>
      <c r="F458" s="92"/>
      <c r="G458" s="93">
        <f>F458*D458</f>
        <v>0</v>
      </c>
    </row>
    <row r="459" spans="2:7">
      <c r="B459" s="18"/>
      <c r="C459" s="21" t="s">
        <v>344</v>
      </c>
      <c r="D459" s="12"/>
      <c r="E459" s="13"/>
      <c r="F459" s="92"/>
      <c r="G459" s="93"/>
    </row>
    <row r="460" spans="2:7">
      <c r="B460" s="18"/>
      <c r="C460" s="21" t="s">
        <v>345</v>
      </c>
      <c r="D460" s="12"/>
      <c r="E460" s="13"/>
      <c r="F460" s="92"/>
      <c r="G460" s="93"/>
    </row>
    <row r="461" spans="2:7">
      <c r="B461" s="18"/>
      <c r="C461" s="21" t="s">
        <v>346</v>
      </c>
      <c r="D461" s="12"/>
      <c r="E461" s="13"/>
      <c r="F461" s="92"/>
      <c r="G461" s="93"/>
    </row>
    <row r="462" spans="2:7">
      <c r="B462" s="18"/>
      <c r="C462" s="21" t="s">
        <v>347</v>
      </c>
      <c r="D462" s="12"/>
      <c r="E462" s="13"/>
      <c r="F462" s="92"/>
      <c r="G462" s="93"/>
    </row>
    <row r="463" spans="2:7">
      <c r="B463" s="18"/>
      <c r="C463" s="21" t="s">
        <v>348</v>
      </c>
      <c r="D463" s="12"/>
      <c r="E463" s="13"/>
      <c r="F463" s="92"/>
      <c r="G463" s="93"/>
    </row>
    <row r="464" spans="2:7">
      <c r="B464" s="18"/>
      <c r="C464" s="21" t="s">
        <v>349</v>
      </c>
      <c r="D464" s="12"/>
      <c r="E464" s="13"/>
      <c r="F464" s="92"/>
      <c r="G464" s="93"/>
    </row>
    <row r="465" spans="2:7">
      <c r="B465" s="18"/>
      <c r="C465" s="21" t="s">
        <v>350</v>
      </c>
      <c r="D465" s="12"/>
      <c r="E465" s="13"/>
      <c r="F465" s="92"/>
      <c r="G465" s="93"/>
    </row>
    <row r="466" spans="2:7">
      <c r="B466" s="18"/>
      <c r="C466" s="21" t="s">
        <v>351</v>
      </c>
      <c r="D466" s="12"/>
      <c r="E466" s="13"/>
      <c r="F466" s="92"/>
      <c r="G466" s="93"/>
    </row>
    <row r="467" spans="2:7">
      <c r="B467" s="18">
        <v>18</v>
      </c>
      <c r="C467" s="27" t="s">
        <v>549</v>
      </c>
      <c r="D467" s="12">
        <v>1</v>
      </c>
      <c r="E467" s="13" t="s">
        <v>468</v>
      </c>
      <c r="F467" s="92"/>
      <c r="G467" s="93">
        <f>F467*D467</f>
        <v>0</v>
      </c>
    </row>
    <row r="468" spans="2:7">
      <c r="B468" s="18"/>
      <c r="C468" s="21" t="s">
        <v>352</v>
      </c>
      <c r="D468" s="12"/>
      <c r="E468" s="13"/>
      <c r="F468" s="92"/>
      <c r="G468" s="93"/>
    </row>
    <row r="469" spans="2:7">
      <c r="B469" s="18"/>
      <c r="C469" s="21" t="s">
        <v>345</v>
      </c>
      <c r="D469" s="12"/>
      <c r="E469" s="13"/>
      <c r="F469" s="92"/>
      <c r="G469" s="93"/>
    </row>
    <row r="470" spans="2:7">
      <c r="B470" s="18"/>
      <c r="C470" s="21" t="s">
        <v>349</v>
      </c>
      <c r="D470" s="12"/>
      <c r="E470" s="13"/>
      <c r="F470" s="92"/>
      <c r="G470" s="93"/>
    </row>
    <row r="471" spans="2:7">
      <c r="B471" s="18"/>
      <c r="C471" s="21" t="s">
        <v>353</v>
      </c>
      <c r="D471" s="12"/>
      <c r="E471" s="13"/>
      <c r="F471" s="92"/>
      <c r="G471" s="93"/>
    </row>
    <row r="472" spans="2:7">
      <c r="B472" s="18"/>
      <c r="C472" s="21" t="s">
        <v>354</v>
      </c>
      <c r="D472" s="12"/>
      <c r="E472" s="13"/>
      <c r="F472" s="92"/>
      <c r="G472" s="93"/>
    </row>
    <row r="473" spans="2:7">
      <c r="B473" s="18">
        <v>19</v>
      </c>
      <c r="C473" s="27" t="s">
        <v>550</v>
      </c>
      <c r="D473" s="12">
        <v>1</v>
      </c>
      <c r="E473" s="13" t="s">
        <v>468</v>
      </c>
      <c r="F473" s="92"/>
      <c r="G473" s="93">
        <f>F473*D473</f>
        <v>0</v>
      </c>
    </row>
    <row r="474" spans="2:7">
      <c r="B474" s="18"/>
      <c r="C474" s="21" t="s">
        <v>355</v>
      </c>
      <c r="D474" s="12"/>
      <c r="E474" s="13"/>
      <c r="F474" s="92"/>
      <c r="G474" s="93"/>
    </row>
    <row r="475" spans="2:7">
      <c r="B475" s="18"/>
      <c r="C475" s="21" t="s">
        <v>356</v>
      </c>
      <c r="D475" s="12"/>
      <c r="E475" s="13"/>
      <c r="F475" s="92"/>
      <c r="G475" s="93"/>
    </row>
    <row r="476" spans="2:7">
      <c r="B476" s="18"/>
      <c r="C476" s="21" t="s">
        <v>357</v>
      </c>
      <c r="D476" s="12"/>
      <c r="E476" s="13"/>
      <c r="F476" s="92"/>
      <c r="G476" s="93"/>
    </row>
    <row r="477" spans="2:7">
      <c r="B477" s="18"/>
      <c r="C477" s="21" t="s">
        <v>358</v>
      </c>
      <c r="D477" s="12"/>
      <c r="E477" s="13"/>
      <c r="F477" s="92"/>
      <c r="G477" s="93"/>
    </row>
    <row r="478" spans="2:7">
      <c r="B478" s="18"/>
      <c r="C478" s="21" t="s">
        <v>269</v>
      </c>
      <c r="D478" s="12"/>
      <c r="E478" s="13"/>
      <c r="F478" s="92"/>
      <c r="G478" s="93"/>
    </row>
    <row r="479" spans="2:7">
      <c r="B479" s="18"/>
      <c r="C479" s="21" t="s">
        <v>359</v>
      </c>
      <c r="D479" s="12"/>
      <c r="E479" s="13"/>
      <c r="F479" s="92"/>
      <c r="G479" s="93"/>
    </row>
    <row r="480" spans="2:7">
      <c r="B480" s="18"/>
      <c r="C480" s="21" t="s">
        <v>360</v>
      </c>
      <c r="D480" s="12"/>
      <c r="E480" s="13"/>
      <c r="F480" s="92"/>
      <c r="G480" s="93"/>
    </row>
    <row r="481" spans="2:7">
      <c r="B481" s="18"/>
      <c r="C481" s="21" t="s">
        <v>353</v>
      </c>
      <c r="D481" s="12"/>
      <c r="E481" s="13"/>
      <c r="F481" s="92"/>
      <c r="G481" s="93"/>
    </row>
    <row r="482" spans="2:7">
      <c r="B482" s="18"/>
      <c r="C482" s="21" t="s">
        <v>343</v>
      </c>
      <c r="D482" s="12"/>
      <c r="E482" s="13"/>
      <c r="F482" s="92"/>
      <c r="G482" s="93"/>
    </row>
    <row r="483" spans="2:7">
      <c r="B483" s="18">
        <v>20</v>
      </c>
      <c r="C483" s="27" t="s">
        <v>551</v>
      </c>
      <c r="D483" s="12">
        <v>1</v>
      </c>
      <c r="E483" s="13" t="s">
        <v>468</v>
      </c>
      <c r="F483" s="92"/>
      <c r="G483" s="93">
        <f>F483*D483</f>
        <v>0</v>
      </c>
    </row>
    <row r="484" spans="2:7">
      <c r="B484" s="18"/>
      <c r="C484" s="21" t="s">
        <v>361</v>
      </c>
      <c r="D484" s="12"/>
      <c r="E484" s="13"/>
      <c r="F484" s="92"/>
      <c r="G484" s="93"/>
    </row>
    <row r="485" spans="2:7">
      <c r="B485" s="18"/>
      <c r="C485" s="21" t="s">
        <v>362</v>
      </c>
      <c r="D485" s="12"/>
      <c r="E485" s="13"/>
      <c r="F485" s="92"/>
      <c r="G485" s="93"/>
    </row>
    <row r="486" spans="2:7">
      <c r="B486" s="18"/>
      <c r="C486" s="21" t="s">
        <v>51</v>
      </c>
      <c r="D486" s="12"/>
      <c r="E486" s="13"/>
      <c r="F486" s="92"/>
      <c r="G486" s="93"/>
    </row>
    <row r="487" spans="2:7">
      <c r="B487" s="18"/>
      <c r="C487" s="21" t="s">
        <v>363</v>
      </c>
      <c r="D487" s="12"/>
      <c r="E487" s="13"/>
      <c r="F487" s="92"/>
      <c r="G487" s="93"/>
    </row>
    <row r="488" spans="2:7">
      <c r="B488" s="18"/>
      <c r="C488" s="21" t="s">
        <v>207</v>
      </c>
      <c r="D488" s="12"/>
      <c r="E488" s="13"/>
      <c r="F488" s="92"/>
      <c r="G488" s="93"/>
    </row>
    <row r="489" spans="2:7">
      <c r="B489" s="18"/>
      <c r="C489" s="21" t="s">
        <v>343</v>
      </c>
      <c r="D489" s="12"/>
      <c r="E489" s="13"/>
      <c r="F489" s="92"/>
      <c r="G489" s="93"/>
    </row>
    <row r="490" spans="2:7">
      <c r="B490" s="18"/>
      <c r="C490" s="21" t="s">
        <v>55</v>
      </c>
      <c r="D490" s="12"/>
      <c r="E490" s="13"/>
      <c r="F490" s="92"/>
      <c r="G490" s="93"/>
    </row>
    <row r="491" spans="2:7">
      <c r="B491" s="18">
        <v>21</v>
      </c>
      <c r="C491" s="27" t="s">
        <v>552</v>
      </c>
      <c r="D491" s="12">
        <v>2</v>
      </c>
      <c r="E491" s="13" t="s">
        <v>468</v>
      </c>
      <c r="F491" s="92"/>
      <c r="G491" s="93">
        <f>F491*D491</f>
        <v>0</v>
      </c>
    </row>
    <row r="492" spans="2:7">
      <c r="B492" s="18"/>
      <c r="C492" s="21" t="s">
        <v>364</v>
      </c>
      <c r="D492" s="12"/>
      <c r="E492" s="13"/>
      <c r="F492" s="92"/>
      <c r="G492" s="93"/>
    </row>
    <row r="493" spans="2:7">
      <c r="B493" s="18"/>
      <c r="C493" s="21" t="s">
        <v>361</v>
      </c>
      <c r="D493" s="12"/>
      <c r="E493" s="13"/>
      <c r="F493" s="92"/>
      <c r="G493" s="93"/>
    </row>
    <row r="494" spans="2:7">
      <c r="B494" s="18"/>
      <c r="C494" s="21" t="s">
        <v>207</v>
      </c>
      <c r="D494" s="12"/>
      <c r="E494" s="13"/>
      <c r="F494" s="92"/>
      <c r="G494" s="93"/>
    </row>
    <row r="495" spans="2:7">
      <c r="B495" s="18"/>
      <c r="C495" s="21" t="s">
        <v>60</v>
      </c>
      <c r="D495" s="12"/>
      <c r="E495" s="13"/>
      <c r="F495" s="92"/>
      <c r="G495" s="93"/>
    </row>
    <row r="496" spans="2:7">
      <c r="B496" s="18"/>
      <c r="C496" s="21" t="s">
        <v>61</v>
      </c>
      <c r="D496" s="12"/>
      <c r="E496" s="13"/>
      <c r="F496" s="92"/>
      <c r="G496" s="93"/>
    </row>
    <row r="497" spans="2:7">
      <c r="B497" s="18"/>
      <c r="C497" s="21" t="s">
        <v>208</v>
      </c>
      <c r="D497" s="12"/>
      <c r="E497" s="13"/>
      <c r="F497" s="92"/>
      <c r="G497" s="93"/>
    </row>
    <row r="498" spans="2:7">
      <c r="B498" s="18"/>
      <c r="C498" s="21" t="s">
        <v>62</v>
      </c>
      <c r="D498" s="12"/>
      <c r="E498" s="13"/>
      <c r="F498" s="92"/>
      <c r="G498" s="93"/>
    </row>
    <row r="499" spans="2:7">
      <c r="B499" s="18"/>
      <c r="C499" s="21" t="s">
        <v>209</v>
      </c>
      <c r="D499" s="12"/>
      <c r="E499" s="13"/>
      <c r="F499" s="92"/>
      <c r="G499" s="93"/>
    </row>
    <row r="500" spans="2:7">
      <c r="B500" s="18"/>
      <c r="C500" s="21" t="s">
        <v>46</v>
      </c>
      <c r="D500" s="12"/>
      <c r="E500" s="13"/>
      <c r="F500" s="92"/>
      <c r="G500" s="93"/>
    </row>
    <row r="501" spans="2:7">
      <c r="B501" s="18"/>
      <c r="C501" s="21" t="s">
        <v>343</v>
      </c>
      <c r="D501" s="12"/>
      <c r="E501" s="13"/>
      <c r="F501" s="92"/>
      <c r="G501" s="93"/>
    </row>
    <row r="502" spans="2:7">
      <c r="B502" s="18">
        <v>22</v>
      </c>
      <c r="C502" s="27" t="s">
        <v>553</v>
      </c>
      <c r="D502" s="12">
        <v>1</v>
      </c>
      <c r="E502" s="13" t="s">
        <v>470</v>
      </c>
      <c r="F502" s="92"/>
      <c r="G502" s="93">
        <f>F502*D502</f>
        <v>0</v>
      </c>
    </row>
    <row r="503" spans="2:7">
      <c r="B503" s="18"/>
      <c r="C503" s="21" t="s">
        <v>365</v>
      </c>
      <c r="D503" s="12"/>
      <c r="E503" s="13"/>
      <c r="F503" s="92"/>
      <c r="G503" s="93"/>
    </row>
    <row r="504" spans="2:7">
      <c r="B504" s="18"/>
      <c r="C504" s="27" t="s">
        <v>370</v>
      </c>
      <c r="D504" s="12"/>
      <c r="E504" s="13"/>
      <c r="F504" s="92"/>
      <c r="G504" s="93"/>
    </row>
    <row r="505" spans="2:7">
      <c r="B505" s="18">
        <v>1</v>
      </c>
      <c r="C505" s="27" t="s">
        <v>523</v>
      </c>
      <c r="D505" s="12">
        <v>46</v>
      </c>
      <c r="E505" s="13" t="s">
        <v>468</v>
      </c>
      <c r="F505" s="92"/>
      <c r="G505" s="93">
        <f>F505*D505</f>
        <v>0</v>
      </c>
    </row>
    <row r="506" spans="2:7">
      <c r="B506" s="18"/>
      <c r="C506" s="21" t="s">
        <v>260</v>
      </c>
      <c r="D506" s="12"/>
      <c r="E506" s="13"/>
      <c r="F506" s="92"/>
      <c r="G506" s="93"/>
    </row>
    <row r="507" spans="2:7">
      <c r="B507" s="18"/>
      <c r="C507" s="21" t="s">
        <v>165</v>
      </c>
      <c r="D507" s="12"/>
      <c r="E507" s="13"/>
      <c r="F507" s="92"/>
      <c r="G507" s="93"/>
    </row>
    <row r="508" spans="2:7">
      <c r="B508" s="18"/>
      <c r="C508" s="21" t="s">
        <v>166</v>
      </c>
      <c r="D508" s="12"/>
      <c r="E508" s="13"/>
      <c r="F508" s="92"/>
      <c r="G508" s="93"/>
    </row>
    <row r="509" spans="2:7">
      <c r="B509" s="18"/>
      <c r="C509" s="21" t="s">
        <v>167</v>
      </c>
      <c r="D509" s="12"/>
      <c r="E509" s="13"/>
      <c r="F509" s="92"/>
      <c r="G509" s="93"/>
    </row>
    <row r="510" spans="2:7">
      <c r="B510" s="18"/>
      <c r="C510" s="21" t="s">
        <v>261</v>
      </c>
      <c r="D510" s="12"/>
      <c r="E510" s="13"/>
      <c r="F510" s="92"/>
      <c r="G510" s="93"/>
    </row>
    <row r="511" spans="2:7">
      <c r="B511" s="18"/>
      <c r="C511" s="21" t="s">
        <v>262</v>
      </c>
      <c r="D511" s="12"/>
      <c r="E511" s="13"/>
      <c r="F511" s="92"/>
      <c r="G511" s="93"/>
    </row>
    <row r="512" spans="2:7">
      <c r="B512" s="18"/>
      <c r="C512" s="21" t="s">
        <v>46</v>
      </c>
      <c r="D512" s="12"/>
      <c r="E512" s="13"/>
      <c r="F512" s="92"/>
      <c r="G512" s="93"/>
    </row>
    <row r="513" spans="2:7">
      <c r="B513" s="18"/>
      <c r="C513" s="21" t="s">
        <v>263</v>
      </c>
      <c r="D513" s="12"/>
      <c r="E513" s="13"/>
      <c r="F513" s="92"/>
      <c r="G513" s="93"/>
    </row>
    <row r="514" spans="2:7">
      <c r="B514" s="18">
        <v>2</v>
      </c>
      <c r="C514" s="27" t="s">
        <v>525</v>
      </c>
      <c r="D514" s="12">
        <v>2</v>
      </c>
      <c r="E514" s="13" t="s">
        <v>468</v>
      </c>
      <c r="F514" s="92"/>
      <c r="G514" s="93">
        <f>F514*D514</f>
        <v>0</v>
      </c>
    </row>
    <row r="515" spans="2:7">
      <c r="B515" s="18"/>
      <c r="C515" s="21" t="s">
        <v>174</v>
      </c>
      <c r="D515" s="12"/>
      <c r="E515" s="13"/>
      <c r="F515" s="92"/>
      <c r="G515" s="93"/>
    </row>
    <row r="516" spans="2:7">
      <c r="B516" s="18"/>
      <c r="C516" s="21" t="s">
        <v>278</v>
      </c>
      <c r="D516" s="12"/>
      <c r="E516" s="13"/>
      <c r="F516" s="92"/>
      <c r="G516" s="93"/>
    </row>
    <row r="517" spans="2:7">
      <c r="B517" s="18"/>
      <c r="C517" s="21" t="s">
        <v>265</v>
      </c>
      <c r="D517" s="12"/>
      <c r="E517" s="13"/>
      <c r="F517" s="92"/>
      <c r="G517" s="93"/>
    </row>
    <row r="518" spans="2:7">
      <c r="B518" s="18"/>
      <c r="C518" s="21" t="s">
        <v>177</v>
      </c>
      <c r="D518" s="12"/>
      <c r="E518" s="13"/>
      <c r="F518" s="92"/>
      <c r="G518" s="93"/>
    </row>
    <row r="519" spans="2:7">
      <c r="B519" s="18"/>
      <c r="C519" s="21" t="s">
        <v>266</v>
      </c>
      <c r="D519" s="12"/>
      <c r="E519" s="13"/>
      <c r="F519" s="92"/>
      <c r="G519" s="93"/>
    </row>
    <row r="520" spans="2:7">
      <c r="B520" s="18"/>
      <c r="C520" s="21" t="s">
        <v>267</v>
      </c>
      <c r="D520" s="12"/>
      <c r="E520" s="13"/>
      <c r="F520" s="92"/>
      <c r="G520" s="93"/>
    </row>
    <row r="521" spans="2:7">
      <c r="B521" s="18"/>
      <c r="C521" s="21" t="s">
        <v>268</v>
      </c>
      <c r="D521" s="12"/>
      <c r="E521" s="13"/>
      <c r="F521" s="92"/>
      <c r="G521" s="93"/>
    </row>
    <row r="522" spans="2:7">
      <c r="B522" s="18"/>
      <c r="C522" s="21" t="s">
        <v>269</v>
      </c>
      <c r="D522" s="12"/>
      <c r="E522" s="13"/>
      <c r="F522" s="92"/>
      <c r="G522" s="93"/>
    </row>
    <row r="523" spans="2:7">
      <c r="B523" s="18"/>
      <c r="C523" s="21" t="s">
        <v>270</v>
      </c>
      <c r="D523" s="12"/>
      <c r="E523" s="13"/>
      <c r="F523" s="92"/>
      <c r="G523" s="93"/>
    </row>
    <row r="524" spans="2:7">
      <c r="B524" s="18"/>
      <c r="C524" s="21" t="s">
        <v>271</v>
      </c>
      <c r="D524" s="12"/>
      <c r="E524" s="13"/>
      <c r="F524" s="92"/>
      <c r="G524" s="93"/>
    </row>
    <row r="525" spans="2:7">
      <c r="B525" s="18"/>
      <c r="C525" s="21" t="s">
        <v>272</v>
      </c>
      <c r="D525" s="12"/>
      <c r="E525" s="13"/>
      <c r="F525" s="92"/>
      <c r="G525" s="93"/>
    </row>
    <row r="526" spans="2:7">
      <c r="B526" s="18"/>
      <c r="C526" s="21" t="s">
        <v>273</v>
      </c>
      <c r="D526" s="12"/>
      <c r="E526" s="13"/>
      <c r="F526" s="92"/>
      <c r="G526" s="93"/>
    </row>
    <row r="527" spans="2:7">
      <c r="B527" s="18"/>
      <c r="C527" s="21" t="s">
        <v>274</v>
      </c>
      <c r="D527" s="12"/>
      <c r="E527" s="13"/>
      <c r="F527" s="92"/>
      <c r="G527" s="93"/>
    </row>
    <row r="528" spans="2:7">
      <c r="B528" s="18"/>
      <c r="C528" s="21" t="s">
        <v>275</v>
      </c>
      <c r="D528" s="12"/>
      <c r="E528" s="13"/>
      <c r="F528" s="92"/>
      <c r="G528" s="93"/>
    </row>
    <row r="529" spans="2:7">
      <c r="B529" s="18"/>
      <c r="C529" s="21" t="s">
        <v>276</v>
      </c>
      <c r="D529" s="12"/>
      <c r="E529" s="13"/>
      <c r="F529" s="92"/>
      <c r="G529" s="93"/>
    </row>
    <row r="530" spans="2:7">
      <c r="B530" s="18"/>
      <c r="C530" s="21" t="s">
        <v>185</v>
      </c>
      <c r="D530" s="12"/>
      <c r="E530" s="13"/>
      <c r="F530" s="92"/>
      <c r="G530" s="93"/>
    </row>
    <row r="531" spans="2:7">
      <c r="B531" s="18"/>
      <c r="C531" s="21" t="s">
        <v>277</v>
      </c>
      <c r="D531" s="12"/>
      <c r="E531" s="13"/>
      <c r="F531" s="92"/>
      <c r="G531" s="93"/>
    </row>
    <row r="532" spans="2:7">
      <c r="B532" s="18"/>
      <c r="C532" s="21" t="s">
        <v>46</v>
      </c>
      <c r="D532" s="12"/>
      <c r="E532" s="13"/>
      <c r="F532" s="92"/>
      <c r="G532" s="93"/>
    </row>
    <row r="533" spans="2:7">
      <c r="B533" s="18"/>
      <c r="C533" s="21" t="s">
        <v>184</v>
      </c>
      <c r="D533" s="12"/>
      <c r="E533" s="13"/>
      <c r="F533" s="92"/>
      <c r="G533" s="93"/>
    </row>
    <row r="534" spans="2:7">
      <c r="B534" s="18">
        <v>3</v>
      </c>
      <c r="C534" s="27" t="s">
        <v>576</v>
      </c>
      <c r="D534" s="12">
        <v>1</v>
      </c>
      <c r="E534" s="13" t="s">
        <v>468</v>
      </c>
      <c r="F534" s="92"/>
      <c r="G534" s="93">
        <f>F534*D534</f>
        <v>0</v>
      </c>
    </row>
    <row r="535" spans="2:7">
      <c r="B535" s="18"/>
      <c r="C535" s="21" t="s">
        <v>280</v>
      </c>
      <c r="D535" s="12"/>
      <c r="E535" s="13"/>
      <c r="F535" s="92"/>
      <c r="G535" s="93"/>
    </row>
    <row r="536" spans="2:7">
      <c r="B536" s="18"/>
      <c r="C536" s="21" t="s">
        <v>367</v>
      </c>
      <c r="D536" s="12"/>
      <c r="E536" s="13"/>
      <c r="F536" s="92"/>
      <c r="G536" s="93"/>
    </row>
    <row r="537" spans="2:7">
      <c r="B537" s="18"/>
      <c r="C537" s="21" t="s">
        <v>207</v>
      </c>
      <c r="D537" s="12"/>
      <c r="E537" s="13"/>
      <c r="F537" s="92"/>
      <c r="G537" s="93"/>
    </row>
    <row r="538" spans="2:7">
      <c r="B538" s="18"/>
      <c r="C538" s="21" t="s">
        <v>60</v>
      </c>
      <c r="D538" s="12"/>
      <c r="E538" s="13"/>
      <c r="F538" s="92"/>
      <c r="G538" s="93"/>
    </row>
    <row r="539" spans="2:7">
      <c r="B539" s="18"/>
      <c r="C539" s="21" t="s">
        <v>61</v>
      </c>
      <c r="D539" s="12"/>
      <c r="E539" s="13"/>
      <c r="F539" s="92"/>
      <c r="G539" s="93"/>
    </row>
    <row r="540" spans="2:7">
      <c r="B540" s="18"/>
      <c r="C540" s="21" t="s">
        <v>62</v>
      </c>
      <c r="D540" s="12"/>
      <c r="E540" s="13"/>
      <c r="F540" s="92"/>
      <c r="G540" s="93"/>
    </row>
    <row r="541" spans="2:7">
      <c r="B541" s="18"/>
      <c r="C541" s="21" t="s">
        <v>209</v>
      </c>
      <c r="D541" s="12"/>
      <c r="E541" s="13"/>
      <c r="F541" s="92"/>
      <c r="G541" s="93"/>
    </row>
    <row r="542" spans="2:7">
      <c r="B542" s="18">
        <v>3</v>
      </c>
      <c r="C542" s="27" t="s">
        <v>626</v>
      </c>
      <c r="D542" s="12">
        <v>1</v>
      </c>
      <c r="E542" s="13" t="s">
        <v>468</v>
      </c>
      <c r="F542" s="92"/>
      <c r="G542" s="93">
        <f>F542*D542</f>
        <v>0</v>
      </c>
    </row>
    <row r="543" spans="2:7">
      <c r="B543" s="18"/>
      <c r="C543" s="21" t="s">
        <v>622</v>
      </c>
      <c r="D543" s="12"/>
      <c r="E543" s="13"/>
      <c r="F543" s="92"/>
      <c r="G543" s="93"/>
    </row>
    <row r="544" spans="2:7">
      <c r="B544" s="18"/>
      <c r="C544" s="21" t="s">
        <v>623</v>
      </c>
      <c r="D544" s="12"/>
      <c r="E544" s="13"/>
      <c r="F544" s="92"/>
      <c r="G544" s="93"/>
    </row>
    <row r="545" spans="2:7">
      <c r="B545" s="18"/>
      <c r="C545" s="21" t="s">
        <v>624</v>
      </c>
      <c r="D545" s="12"/>
      <c r="E545" s="13"/>
      <c r="F545" s="92"/>
      <c r="G545" s="93"/>
    </row>
    <row r="546" spans="2:7">
      <c r="B546" s="18"/>
      <c r="C546" s="21" t="s">
        <v>625</v>
      </c>
      <c r="D546" s="12"/>
      <c r="E546" s="13"/>
      <c r="F546" s="92"/>
      <c r="G546" s="93"/>
    </row>
    <row r="547" spans="2:7">
      <c r="B547" s="18"/>
      <c r="C547" s="21" t="s">
        <v>46</v>
      </c>
      <c r="D547" s="12"/>
      <c r="E547" s="13"/>
      <c r="F547" s="92"/>
      <c r="G547" s="93"/>
    </row>
    <row r="548" spans="2:7">
      <c r="B548" s="18">
        <v>4</v>
      </c>
      <c r="C548" s="27" t="s">
        <v>530</v>
      </c>
      <c r="D548" s="12">
        <v>23</v>
      </c>
      <c r="E548" s="13" t="s">
        <v>468</v>
      </c>
      <c r="F548" s="92"/>
      <c r="G548" s="93">
        <f>F548*D548</f>
        <v>0</v>
      </c>
    </row>
    <row r="549" spans="2:7">
      <c r="B549" s="18"/>
      <c r="C549" s="21" t="s">
        <v>284</v>
      </c>
      <c r="D549" s="12"/>
      <c r="E549" s="13"/>
      <c r="F549" s="92"/>
      <c r="G549" s="93"/>
    </row>
    <row r="550" spans="2:7">
      <c r="B550" s="18"/>
      <c r="C550" s="21" t="s">
        <v>285</v>
      </c>
      <c r="D550" s="12"/>
      <c r="E550" s="13"/>
      <c r="F550" s="92"/>
      <c r="G550" s="93"/>
    </row>
    <row r="551" spans="2:7">
      <c r="B551" s="18"/>
      <c r="C551" s="21" t="s">
        <v>286</v>
      </c>
      <c r="D551" s="12"/>
      <c r="E551" s="13"/>
      <c r="F551" s="92"/>
      <c r="G551" s="93"/>
    </row>
    <row r="552" spans="2:7">
      <c r="B552" s="18"/>
      <c r="C552" s="21" t="s">
        <v>97</v>
      </c>
      <c r="D552" s="12"/>
      <c r="E552" s="13"/>
      <c r="F552" s="92"/>
      <c r="G552" s="93"/>
    </row>
    <row r="553" spans="2:7">
      <c r="B553" s="18"/>
      <c r="C553" s="21" t="s">
        <v>287</v>
      </c>
      <c r="D553" s="12"/>
      <c r="E553" s="13"/>
      <c r="F553" s="92"/>
      <c r="G553" s="93"/>
    </row>
    <row r="554" spans="2:7">
      <c r="B554" s="18"/>
      <c r="C554" s="21" t="s">
        <v>288</v>
      </c>
      <c r="D554" s="12"/>
      <c r="E554" s="13"/>
      <c r="F554" s="92"/>
      <c r="G554" s="93"/>
    </row>
    <row r="555" spans="2:7">
      <c r="B555" s="18"/>
      <c r="C555" s="21" t="s">
        <v>289</v>
      </c>
      <c r="D555" s="12"/>
      <c r="E555" s="13"/>
      <c r="F555" s="92"/>
      <c r="G555" s="93"/>
    </row>
    <row r="556" spans="2:7">
      <c r="B556" s="18"/>
      <c r="C556" s="21" t="s">
        <v>290</v>
      </c>
      <c r="D556" s="12"/>
      <c r="E556" s="13"/>
      <c r="F556" s="92"/>
      <c r="G556" s="93"/>
    </row>
    <row r="557" spans="2:7">
      <c r="B557" s="18"/>
      <c r="C557" s="21" t="s">
        <v>291</v>
      </c>
      <c r="D557" s="12"/>
      <c r="E557" s="13"/>
      <c r="F557" s="92"/>
      <c r="G557" s="93"/>
    </row>
    <row r="558" spans="2:7">
      <c r="B558" s="18"/>
      <c r="C558" s="21" t="s">
        <v>292</v>
      </c>
      <c r="D558" s="12"/>
      <c r="E558" s="13"/>
      <c r="F558" s="92"/>
      <c r="G558" s="93"/>
    </row>
    <row r="559" spans="2:7">
      <c r="B559" s="18"/>
      <c r="C559" s="21" t="s">
        <v>96</v>
      </c>
      <c r="D559" s="12"/>
      <c r="E559" s="13"/>
      <c r="F559" s="92"/>
      <c r="G559" s="93"/>
    </row>
    <row r="560" spans="2:7">
      <c r="B560" s="18"/>
      <c r="C560" s="21" t="s">
        <v>293</v>
      </c>
      <c r="D560" s="12"/>
      <c r="E560" s="13"/>
      <c r="F560" s="92"/>
      <c r="G560" s="93"/>
    </row>
    <row r="561" spans="2:7">
      <c r="B561" s="18">
        <v>5</v>
      </c>
      <c r="C561" s="27" t="s">
        <v>531</v>
      </c>
      <c r="D561" s="12">
        <v>2</v>
      </c>
      <c r="E561" s="13" t="s">
        <v>468</v>
      </c>
      <c r="F561" s="92"/>
      <c r="G561" s="93">
        <f>F561*D561</f>
        <v>0</v>
      </c>
    </row>
    <row r="562" spans="2:7">
      <c r="B562" s="18"/>
      <c r="C562" s="21" t="s">
        <v>294</v>
      </c>
      <c r="D562" s="12"/>
      <c r="E562" s="13"/>
      <c r="F562" s="92"/>
      <c r="G562" s="93"/>
    </row>
    <row r="563" spans="2:7">
      <c r="B563" s="18"/>
      <c r="C563" s="21" t="s">
        <v>221</v>
      </c>
      <c r="D563" s="12"/>
      <c r="E563" s="13"/>
      <c r="F563" s="92"/>
      <c r="G563" s="93"/>
    </row>
    <row r="564" spans="2:7">
      <c r="B564" s="18"/>
      <c r="C564" s="21" t="s">
        <v>222</v>
      </c>
      <c r="D564" s="12"/>
      <c r="E564" s="13"/>
      <c r="F564" s="92"/>
      <c r="G564" s="93"/>
    </row>
    <row r="565" spans="2:7">
      <c r="B565" s="18"/>
      <c r="C565" s="21" t="s">
        <v>295</v>
      </c>
      <c r="D565" s="12"/>
      <c r="E565" s="13"/>
      <c r="F565" s="92"/>
      <c r="G565" s="93"/>
    </row>
    <row r="566" spans="2:7">
      <c r="B566" s="18"/>
      <c r="C566" s="21" t="s">
        <v>223</v>
      </c>
      <c r="D566" s="12"/>
      <c r="E566" s="13"/>
      <c r="F566" s="92"/>
      <c r="G566" s="93"/>
    </row>
    <row r="567" spans="2:7">
      <c r="B567" s="18"/>
      <c r="C567" s="21" t="s">
        <v>224</v>
      </c>
      <c r="D567" s="12"/>
      <c r="E567" s="13"/>
      <c r="F567" s="92"/>
      <c r="G567" s="93"/>
    </row>
    <row r="568" spans="2:7">
      <c r="B568" s="18"/>
      <c r="C568" s="21" t="s">
        <v>296</v>
      </c>
      <c r="D568" s="12"/>
      <c r="E568" s="13"/>
      <c r="F568" s="92"/>
      <c r="G568" s="93"/>
    </row>
    <row r="569" spans="2:7">
      <c r="B569" s="18"/>
      <c r="C569" s="21" t="s">
        <v>170</v>
      </c>
      <c r="D569" s="12"/>
      <c r="E569" s="13"/>
      <c r="F569" s="92"/>
      <c r="G569" s="93"/>
    </row>
    <row r="570" spans="2:7">
      <c r="B570" s="18"/>
      <c r="C570" s="21" t="s">
        <v>297</v>
      </c>
      <c r="D570" s="12"/>
      <c r="E570" s="13"/>
      <c r="F570" s="92"/>
      <c r="G570" s="93"/>
    </row>
    <row r="571" spans="2:7">
      <c r="B571" s="18">
        <v>6</v>
      </c>
      <c r="C571" s="27" t="s">
        <v>535</v>
      </c>
      <c r="D571" s="12">
        <v>11</v>
      </c>
      <c r="E571" s="13" t="s">
        <v>468</v>
      </c>
      <c r="F571" s="92"/>
      <c r="G571" s="93">
        <f>F571*D571</f>
        <v>0</v>
      </c>
    </row>
    <row r="572" spans="2:7">
      <c r="B572" s="18"/>
      <c r="C572" s="21" t="s">
        <v>302</v>
      </c>
      <c r="D572" s="12"/>
      <c r="E572" s="13"/>
      <c r="F572" s="92"/>
      <c r="G572" s="93"/>
    </row>
    <row r="573" spans="2:7">
      <c r="B573" s="18"/>
      <c r="C573" s="21" t="s">
        <v>221</v>
      </c>
      <c r="D573" s="12"/>
      <c r="E573" s="13"/>
      <c r="F573" s="92"/>
      <c r="G573" s="93"/>
    </row>
    <row r="574" spans="2:7">
      <c r="B574" s="18"/>
      <c r="C574" s="21" t="s">
        <v>303</v>
      </c>
      <c r="D574" s="12"/>
      <c r="E574" s="13"/>
      <c r="F574" s="92"/>
      <c r="G574" s="93"/>
    </row>
    <row r="575" spans="2:7">
      <c r="B575" s="18"/>
      <c r="C575" s="21" t="s">
        <v>304</v>
      </c>
      <c r="D575" s="12"/>
      <c r="E575" s="13"/>
      <c r="F575" s="92"/>
      <c r="G575" s="93"/>
    </row>
    <row r="576" spans="2:7">
      <c r="B576" s="18"/>
      <c r="C576" s="21" t="s">
        <v>305</v>
      </c>
      <c r="D576" s="12"/>
      <c r="E576" s="13"/>
      <c r="F576" s="92"/>
      <c r="G576" s="93"/>
    </row>
    <row r="577" spans="2:7">
      <c r="B577" s="18"/>
      <c r="C577" s="21" t="s">
        <v>306</v>
      </c>
      <c r="D577" s="12"/>
      <c r="E577" s="13"/>
      <c r="F577" s="92"/>
      <c r="G577" s="93"/>
    </row>
    <row r="578" spans="2:7">
      <c r="B578" s="18"/>
      <c r="C578" s="21" t="s">
        <v>307</v>
      </c>
      <c r="D578" s="12"/>
      <c r="E578" s="13"/>
      <c r="F578" s="92"/>
      <c r="G578" s="93"/>
    </row>
    <row r="579" spans="2:7">
      <c r="B579" s="18"/>
      <c r="C579" s="21" t="s">
        <v>226</v>
      </c>
      <c r="D579" s="12"/>
      <c r="E579" s="13"/>
      <c r="F579" s="92"/>
      <c r="G579" s="93"/>
    </row>
    <row r="580" spans="2:7">
      <c r="B580" s="18"/>
      <c r="C580" s="21" t="s">
        <v>227</v>
      </c>
      <c r="D580" s="12"/>
      <c r="E580" s="13"/>
      <c r="F580" s="92"/>
      <c r="G580" s="93"/>
    </row>
    <row r="581" spans="2:7">
      <c r="B581" s="18">
        <v>7</v>
      </c>
      <c r="C581" s="27" t="s">
        <v>536</v>
      </c>
      <c r="D581" s="12">
        <v>6</v>
      </c>
      <c r="E581" s="13" t="s">
        <v>468</v>
      </c>
      <c r="F581" s="92"/>
      <c r="G581" s="93">
        <f>F581*D581</f>
        <v>0</v>
      </c>
    </row>
    <row r="582" spans="2:7">
      <c r="B582" s="18"/>
      <c r="C582" s="21" t="s">
        <v>302</v>
      </c>
      <c r="D582" s="12"/>
      <c r="E582" s="13"/>
      <c r="F582" s="92"/>
      <c r="G582" s="93"/>
    </row>
    <row r="583" spans="2:7">
      <c r="B583" s="18"/>
      <c r="C583" s="21" t="s">
        <v>221</v>
      </c>
      <c r="D583" s="12"/>
      <c r="E583" s="13"/>
      <c r="F583" s="92"/>
      <c r="G583" s="93"/>
    </row>
    <row r="584" spans="2:7">
      <c r="B584" s="18"/>
      <c r="C584" s="21" t="s">
        <v>303</v>
      </c>
      <c r="D584" s="12"/>
      <c r="E584" s="13"/>
      <c r="F584" s="92"/>
      <c r="G584" s="93"/>
    </row>
    <row r="585" spans="2:7">
      <c r="B585" s="18"/>
      <c r="C585" s="21" t="s">
        <v>304</v>
      </c>
      <c r="D585" s="12"/>
      <c r="E585" s="13"/>
      <c r="F585" s="92"/>
      <c r="G585" s="93"/>
    </row>
    <row r="586" spans="2:7">
      <c r="B586" s="18"/>
      <c r="C586" s="21" t="s">
        <v>308</v>
      </c>
      <c r="D586" s="12"/>
      <c r="E586" s="13"/>
      <c r="F586" s="92"/>
      <c r="G586" s="93"/>
    </row>
    <row r="587" spans="2:7">
      <c r="B587" s="18"/>
      <c r="C587" s="21" t="s">
        <v>223</v>
      </c>
      <c r="D587" s="12"/>
      <c r="E587" s="13"/>
      <c r="F587" s="92"/>
      <c r="G587" s="93"/>
    </row>
    <row r="588" spans="2:7">
      <c r="B588" s="18"/>
      <c r="C588" s="21" t="s">
        <v>306</v>
      </c>
      <c r="D588" s="12"/>
      <c r="E588" s="13"/>
      <c r="F588" s="92"/>
      <c r="G588" s="93"/>
    </row>
    <row r="589" spans="2:7">
      <c r="B589" s="18"/>
      <c r="C589" s="21" t="s">
        <v>307</v>
      </c>
      <c r="D589" s="12"/>
      <c r="E589" s="13"/>
      <c r="F589" s="92"/>
      <c r="G589" s="93"/>
    </row>
    <row r="590" spans="2:7">
      <c r="B590" s="18"/>
      <c r="C590" s="21" t="s">
        <v>96</v>
      </c>
      <c r="D590" s="12"/>
      <c r="E590" s="13"/>
      <c r="F590" s="92"/>
      <c r="G590" s="93"/>
    </row>
    <row r="591" spans="2:7">
      <c r="B591" s="18"/>
      <c r="C591" s="21" t="s">
        <v>309</v>
      </c>
      <c r="D591" s="12"/>
      <c r="E591" s="13"/>
      <c r="F591" s="92"/>
      <c r="G591" s="93"/>
    </row>
    <row r="592" spans="2:7">
      <c r="B592" s="18">
        <v>8</v>
      </c>
      <c r="C592" s="27" t="s">
        <v>537</v>
      </c>
      <c r="D592" s="12">
        <v>99</v>
      </c>
      <c r="E592" s="13" t="s">
        <v>468</v>
      </c>
      <c r="F592" s="92"/>
      <c r="G592" s="93">
        <f>F592*D592</f>
        <v>0</v>
      </c>
    </row>
    <row r="593" spans="2:7">
      <c r="B593" s="18"/>
      <c r="C593" s="21" t="s">
        <v>310</v>
      </c>
      <c r="D593" s="12"/>
      <c r="E593" s="13"/>
      <c r="F593" s="92"/>
      <c r="G593" s="93"/>
    </row>
    <row r="594" spans="2:7">
      <c r="B594" s="18"/>
      <c r="C594" s="21" t="s">
        <v>311</v>
      </c>
      <c r="D594" s="12"/>
      <c r="E594" s="13"/>
      <c r="F594" s="92"/>
      <c r="G594" s="93"/>
    </row>
    <row r="595" spans="2:7">
      <c r="B595" s="18"/>
      <c r="C595" s="21" t="s">
        <v>286</v>
      </c>
      <c r="D595" s="12"/>
      <c r="E595" s="13"/>
      <c r="F595" s="92"/>
      <c r="G595" s="93"/>
    </row>
    <row r="596" spans="2:7">
      <c r="B596" s="18"/>
      <c r="C596" s="21" t="s">
        <v>312</v>
      </c>
      <c r="D596" s="12"/>
      <c r="E596" s="13"/>
      <c r="F596" s="92"/>
      <c r="G596" s="93"/>
    </row>
    <row r="597" spans="2:7">
      <c r="B597" s="18"/>
      <c r="C597" s="21" t="s">
        <v>313</v>
      </c>
      <c r="D597" s="12"/>
      <c r="E597" s="13"/>
      <c r="F597" s="92"/>
      <c r="G597" s="93"/>
    </row>
    <row r="598" spans="2:7">
      <c r="B598" s="18"/>
      <c r="C598" s="21" t="s">
        <v>314</v>
      </c>
      <c r="D598" s="12"/>
      <c r="E598" s="13"/>
      <c r="F598" s="92"/>
      <c r="G598" s="93"/>
    </row>
    <row r="599" spans="2:7">
      <c r="B599" s="18"/>
      <c r="C599" s="21" t="s">
        <v>291</v>
      </c>
      <c r="D599" s="12"/>
      <c r="E599" s="13"/>
      <c r="F599" s="92"/>
      <c r="G599" s="93"/>
    </row>
    <row r="600" spans="2:7">
      <c r="B600" s="18"/>
      <c r="C600" s="21" t="s">
        <v>315</v>
      </c>
      <c r="D600" s="12"/>
      <c r="E600" s="13"/>
      <c r="F600" s="92"/>
      <c r="G600" s="93"/>
    </row>
    <row r="601" spans="2:7">
      <c r="B601" s="18"/>
      <c r="C601" s="21" t="s">
        <v>316</v>
      </c>
      <c r="D601" s="12"/>
      <c r="E601" s="13"/>
      <c r="F601" s="92"/>
      <c r="G601" s="93"/>
    </row>
    <row r="602" spans="2:7">
      <c r="B602" s="18"/>
      <c r="C602" s="21" t="s">
        <v>96</v>
      </c>
      <c r="D602" s="12"/>
      <c r="E602" s="13"/>
      <c r="F602" s="92"/>
      <c r="G602" s="93"/>
    </row>
    <row r="603" spans="2:7">
      <c r="B603" s="18"/>
      <c r="C603" s="21" t="s">
        <v>293</v>
      </c>
      <c r="D603" s="12"/>
      <c r="E603" s="13"/>
      <c r="F603" s="92"/>
      <c r="G603" s="93"/>
    </row>
    <row r="604" spans="2:7">
      <c r="B604" s="18">
        <v>9</v>
      </c>
      <c r="C604" s="27" t="s">
        <v>539</v>
      </c>
      <c r="D604" s="12">
        <v>450</v>
      </c>
      <c r="E604" s="13" t="s">
        <v>469</v>
      </c>
      <c r="F604" s="92"/>
      <c r="G604" s="93">
        <f>F604*D604</f>
        <v>0</v>
      </c>
    </row>
    <row r="605" spans="2:7">
      <c r="B605" s="18"/>
      <c r="C605" s="21" t="s">
        <v>321</v>
      </c>
      <c r="D605" s="12"/>
      <c r="E605" s="13"/>
      <c r="F605" s="92"/>
      <c r="G605" s="93"/>
    </row>
    <row r="606" spans="2:7">
      <c r="B606" s="18"/>
      <c r="C606" s="21" t="s">
        <v>282</v>
      </c>
      <c r="D606" s="12"/>
      <c r="E606" s="13"/>
      <c r="F606" s="92"/>
      <c r="G606" s="93"/>
    </row>
    <row r="607" spans="2:7">
      <c r="B607" s="18">
        <v>10</v>
      </c>
      <c r="C607" s="27" t="s">
        <v>541</v>
      </c>
      <c r="D607" s="12">
        <v>12</v>
      </c>
      <c r="E607" s="13" t="s">
        <v>469</v>
      </c>
      <c r="F607" s="92"/>
      <c r="G607" s="93">
        <f>F607*D607</f>
        <v>0</v>
      </c>
    </row>
    <row r="608" spans="2:7">
      <c r="B608" s="18"/>
      <c r="C608" s="21" t="s">
        <v>321</v>
      </c>
      <c r="D608" s="12"/>
      <c r="E608" s="13"/>
      <c r="F608" s="92"/>
      <c r="G608" s="93"/>
    </row>
    <row r="609" spans="2:7">
      <c r="B609" s="18"/>
      <c r="C609" s="21" t="s">
        <v>322</v>
      </c>
      <c r="D609" s="12"/>
      <c r="E609" s="13"/>
      <c r="F609" s="92"/>
      <c r="G609" s="93"/>
    </row>
    <row r="610" spans="2:7">
      <c r="B610" s="18">
        <v>11</v>
      </c>
      <c r="C610" s="27" t="s">
        <v>542</v>
      </c>
      <c r="D610" s="12">
        <v>96</v>
      </c>
      <c r="E610" s="13" t="s">
        <v>469</v>
      </c>
      <c r="F610" s="92"/>
      <c r="G610" s="93">
        <f>F610*D610</f>
        <v>0</v>
      </c>
    </row>
    <row r="611" spans="2:7">
      <c r="B611" s="18"/>
      <c r="C611" s="21" t="s">
        <v>321</v>
      </c>
      <c r="D611" s="12"/>
      <c r="E611" s="13"/>
      <c r="F611" s="92"/>
      <c r="G611" s="93"/>
    </row>
    <row r="612" spans="2:7">
      <c r="B612" s="18"/>
      <c r="C612" s="21" t="s">
        <v>323</v>
      </c>
      <c r="D612" s="12"/>
      <c r="E612" s="13"/>
      <c r="F612" s="92"/>
      <c r="G612" s="93"/>
    </row>
    <row r="613" spans="2:7">
      <c r="B613" s="18">
        <v>12</v>
      </c>
      <c r="C613" s="27" t="s">
        <v>543</v>
      </c>
      <c r="D613" s="12">
        <v>1</v>
      </c>
      <c r="E613" s="13" t="s">
        <v>468</v>
      </c>
      <c r="F613" s="92"/>
      <c r="G613" s="93">
        <f>F613*D613</f>
        <v>0</v>
      </c>
    </row>
    <row r="614" spans="2:7">
      <c r="B614" s="18"/>
      <c r="C614" s="21" t="s">
        <v>324</v>
      </c>
      <c r="D614" s="12"/>
      <c r="E614" s="13"/>
      <c r="F614" s="92"/>
      <c r="G614" s="93"/>
    </row>
    <row r="615" spans="2:7">
      <c r="B615" s="18"/>
      <c r="C615" s="21" t="s">
        <v>111</v>
      </c>
      <c r="D615" s="12"/>
      <c r="E615" s="13"/>
      <c r="F615" s="92"/>
      <c r="G615" s="93"/>
    </row>
    <row r="616" spans="2:7">
      <c r="B616" s="18"/>
      <c r="C616" s="21" t="s">
        <v>325</v>
      </c>
      <c r="D616" s="12"/>
      <c r="E616" s="13"/>
      <c r="F616" s="92"/>
      <c r="G616" s="93"/>
    </row>
    <row r="617" spans="2:7">
      <c r="B617" s="18"/>
      <c r="C617" s="21" t="s">
        <v>326</v>
      </c>
      <c r="D617" s="12"/>
      <c r="E617" s="13"/>
      <c r="F617" s="92"/>
      <c r="G617" s="93"/>
    </row>
    <row r="618" spans="2:7">
      <c r="B618" s="18"/>
      <c r="C618" s="21" t="s">
        <v>318</v>
      </c>
      <c r="D618" s="12"/>
      <c r="E618" s="13"/>
      <c r="F618" s="92"/>
      <c r="G618" s="93"/>
    </row>
    <row r="619" spans="2:7">
      <c r="B619" s="18"/>
      <c r="C619" s="21" t="s">
        <v>327</v>
      </c>
      <c r="D619" s="12"/>
      <c r="E619" s="13"/>
      <c r="F619" s="92"/>
      <c r="G619" s="93"/>
    </row>
    <row r="620" spans="2:7">
      <c r="B620" s="18"/>
      <c r="C620" s="21" t="s">
        <v>116</v>
      </c>
      <c r="D620" s="12"/>
      <c r="E620" s="13"/>
      <c r="F620" s="92"/>
      <c r="G620" s="93"/>
    </row>
    <row r="621" spans="2:7">
      <c r="B621" s="18"/>
      <c r="C621" s="21" t="s">
        <v>108</v>
      </c>
      <c r="D621" s="12"/>
      <c r="E621" s="13"/>
      <c r="F621" s="92"/>
      <c r="G621" s="93"/>
    </row>
    <row r="622" spans="2:7">
      <c r="B622" s="18"/>
      <c r="C622" s="21" t="s">
        <v>96</v>
      </c>
      <c r="D622" s="12"/>
      <c r="E622" s="13"/>
      <c r="F622" s="92"/>
      <c r="G622" s="93"/>
    </row>
    <row r="623" spans="2:7">
      <c r="B623" s="18">
        <v>13</v>
      </c>
      <c r="C623" s="27" t="s">
        <v>555</v>
      </c>
      <c r="D623" s="12">
        <v>1</v>
      </c>
      <c r="E623" s="13" t="s">
        <v>468</v>
      </c>
      <c r="F623" s="92"/>
      <c r="G623" s="93">
        <f>F623*D623</f>
        <v>0</v>
      </c>
    </row>
    <row r="624" spans="2:7">
      <c r="B624" s="18"/>
      <c r="C624" s="21" t="s">
        <v>328</v>
      </c>
      <c r="D624" s="12"/>
      <c r="E624" s="13"/>
      <c r="F624" s="92"/>
      <c r="G624" s="93"/>
    </row>
    <row r="625" spans="2:7">
      <c r="B625" s="18"/>
      <c r="C625" s="21" t="s">
        <v>111</v>
      </c>
      <c r="D625" s="12"/>
      <c r="E625" s="13"/>
      <c r="F625" s="92"/>
      <c r="G625" s="93"/>
    </row>
    <row r="626" spans="2:7">
      <c r="B626" s="18"/>
      <c r="C626" s="21" t="s">
        <v>325</v>
      </c>
      <c r="D626" s="12"/>
      <c r="E626" s="13"/>
      <c r="F626" s="92"/>
      <c r="G626" s="93"/>
    </row>
    <row r="627" spans="2:7">
      <c r="B627" s="18"/>
      <c r="C627" s="21" t="s">
        <v>371</v>
      </c>
      <c r="D627" s="12"/>
      <c r="E627" s="13"/>
      <c r="F627" s="92"/>
      <c r="G627" s="93"/>
    </row>
    <row r="628" spans="2:7">
      <c r="B628" s="18"/>
      <c r="C628" s="21" t="s">
        <v>318</v>
      </c>
      <c r="D628" s="12"/>
      <c r="E628" s="13"/>
      <c r="F628" s="92"/>
      <c r="G628" s="93"/>
    </row>
    <row r="629" spans="2:7">
      <c r="B629" s="18"/>
      <c r="C629" s="21" t="s">
        <v>327</v>
      </c>
      <c r="D629" s="12"/>
      <c r="E629" s="13"/>
      <c r="F629" s="92"/>
      <c r="G629" s="93"/>
    </row>
    <row r="630" spans="2:7">
      <c r="B630" s="18"/>
      <c r="C630" s="21" t="s">
        <v>116</v>
      </c>
      <c r="D630" s="12"/>
      <c r="E630" s="13"/>
      <c r="F630" s="92"/>
      <c r="G630" s="93"/>
    </row>
    <row r="631" spans="2:7">
      <c r="B631" s="18"/>
      <c r="C631" s="21" t="s">
        <v>108</v>
      </c>
      <c r="D631" s="12"/>
      <c r="E631" s="13"/>
      <c r="F631" s="92"/>
      <c r="G631" s="93"/>
    </row>
    <row r="632" spans="2:7">
      <c r="B632" s="18"/>
      <c r="C632" s="21" t="s">
        <v>96</v>
      </c>
      <c r="D632" s="12"/>
      <c r="E632" s="13"/>
      <c r="F632" s="92"/>
      <c r="G632" s="93"/>
    </row>
    <row r="633" spans="2:7">
      <c r="B633" s="18">
        <v>14</v>
      </c>
      <c r="C633" s="27" t="s">
        <v>545</v>
      </c>
      <c r="D633" s="12">
        <v>2</v>
      </c>
      <c r="E633" s="13" t="s">
        <v>468</v>
      </c>
      <c r="F633" s="92"/>
      <c r="G633" s="93">
        <f>F633*D633</f>
        <v>0</v>
      </c>
    </row>
    <row r="634" spans="2:7">
      <c r="B634" s="18"/>
      <c r="C634" s="21" t="s">
        <v>331</v>
      </c>
      <c r="D634" s="12"/>
      <c r="E634" s="13"/>
      <c r="F634" s="92"/>
      <c r="G634" s="93"/>
    </row>
    <row r="635" spans="2:7">
      <c r="B635" s="18"/>
      <c r="C635" s="21" t="s">
        <v>82</v>
      </c>
      <c r="D635" s="12"/>
      <c r="E635" s="13"/>
      <c r="F635" s="92"/>
      <c r="G635" s="93"/>
    </row>
    <row r="636" spans="2:7">
      <c r="B636" s="18"/>
      <c r="C636" s="21" t="s">
        <v>83</v>
      </c>
      <c r="D636" s="12"/>
      <c r="E636" s="13"/>
      <c r="F636" s="92"/>
      <c r="G636" s="93"/>
    </row>
    <row r="637" spans="2:7">
      <c r="B637" s="18"/>
      <c r="C637" s="21" t="s">
        <v>84</v>
      </c>
      <c r="D637" s="12"/>
      <c r="E637" s="13"/>
      <c r="F637" s="92"/>
      <c r="G637" s="93"/>
    </row>
    <row r="638" spans="2:7">
      <c r="B638" s="18"/>
      <c r="C638" s="21" t="s">
        <v>332</v>
      </c>
      <c r="D638" s="12"/>
      <c r="E638" s="13"/>
      <c r="F638" s="92"/>
      <c r="G638" s="93"/>
    </row>
    <row r="639" spans="2:7">
      <c r="B639" s="18"/>
      <c r="C639" s="21" t="s">
        <v>96</v>
      </c>
      <c r="D639" s="12"/>
      <c r="E639" s="13"/>
      <c r="F639" s="92"/>
      <c r="G639" s="93"/>
    </row>
    <row r="640" spans="2:7">
      <c r="B640" s="18">
        <v>15</v>
      </c>
      <c r="C640" s="27" t="s">
        <v>546</v>
      </c>
      <c r="D640" s="12">
        <v>2</v>
      </c>
      <c r="E640" s="13" t="s">
        <v>468</v>
      </c>
      <c r="F640" s="92"/>
      <c r="G640" s="93">
        <f>F640*D640</f>
        <v>0</v>
      </c>
    </row>
    <row r="641" spans="2:7">
      <c r="B641" s="18"/>
      <c r="C641" s="21" t="s">
        <v>333</v>
      </c>
      <c r="D641" s="12"/>
      <c r="E641" s="13"/>
      <c r="F641" s="92"/>
      <c r="G641" s="93"/>
    </row>
    <row r="642" spans="2:7">
      <c r="B642" s="18"/>
      <c r="C642" s="21" t="s">
        <v>334</v>
      </c>
      <c r="D642" s="12"/>
      <c r="E642" s="13"/>
      <c r="F642" s="92"/>
      <c r="G642" s="93"/>
    </row>
    <row r="643" spans="2:7">
      <c r="B643" s="18"/>
      <c r="C643" s="21" t="s">
        <v>94</v>
      </c>
      <c r="D643" s="12"/>
      <c r="E643" s="13"/>
      <c r="F643" s="92"/>
      <c r="G643" s="93"/>
    </row>
    <row r="644" spans="2:7">
      <c r="B644" s="18"/>
      <c r="C644" s="21" t="s">
        <v>95</v>
      </c>
      <c r="D644" s="12"/>
      <c r="E644" s="13"/>
      <c r="F644" s="92"/>
      <c r="G644" s="93"/>
    </row>
    <row r="645" spans="2:7">
      <c r="B645" s="18"/>
      <c r="C645" s="21" t="s">
        <v>96</v>
      </c>
      <c r="D645" s="12"/>
      <c r="E645" s="13"/>
      <c r="F645" s="92"/>
      <c r="G645" s="93"/>
    </row>
    <row r="646" spans="2:7">
      <c r="B646" s="18">
        <v>16</v>
      </c>
      <c r="C646" s="27" t="s">
        <v>556</v>
      </c>
      <c r="D646" s="12">
        <v>1</v>
      </c>
      <c r="E646" s="13" t="s">
        <v>468</v>
      </c>
      <c r="F646" s="92"/>
      <c r="G646" s="93">
        <f>F646*D646</f>
        <v>0</v>
      </c>
    </row>
    <row r="647" spans="2:7">
      <c r="B647" s="18"/>
      <c r="C647" s="21" t="s">
        <v>335</v>
      </c>
      <c r="D647" s="12"/>
      <c r="E647" s="13"/>
      <c r="F647" s="92"/>
      <c r="G647" s="93"/>
    </row>
    <row r="648" spans="2:7">
      <c r="B648" s="18"/>
      <c r="C648" s="21" t="s">
        <v>336</v>
      </c>
      <c r="D648" s="12"/>
      <c r="E648" s="13"/>
      <c r="F648" s="92"/>
      <c r="G648" s="93"/>
    </row>
    <row r="649" spans="2:7">
      <c r="B649" s="18"/>
      <c r="C649" s="21" t="s">
        <v>393</v>
      </c>
      <c r="D649" s="12"/>
      <c r="E649" s="13"/>
      <c r="F649" s="92"/>
      <c r="G649" s="93"/>
    </row>
    <row r="650" spans="2:7">
      <c r="B650" s="18"/>
      <c r="C650" s="21" t="s">
        <v>337</v>
      </c>
      <c r="D650" s="12"/>
      <c r="E650" s="13"/>
      <c r="F650" s="92"/>
      <c r="G650" s="93"/>
    </row>
    <row r="651" spans="2:7">
      <c r="B651" s="18"/>
      <c r="C651" s="21" t="s">
        <v>338</v>
      </c>
      <c r="D651" s="12"/>
      <c r="E651" s="13"/>
      <c r="F651" s="92"/>
      <c r="G651" s="93"/>
    </row>
    <row r="652" spans="2:7">
      <c r="B652" s="18"/>
      <c r="C652" s="21" t="s">
        <v>339</v>
      </c>
      <c r="D652" s="12"/>
      <c r="E652" s="13"/>
      <c r="F652" s="92"/>
      <c r="G652" s="93"/>
    </row>
    <row r="653" spans="2:7">
      <c r="B653" s="18"/>
      <c r="C653" s="21" t="s">
        <v>340</v>
      </c>
      <c r="D653" s="12"/>
      <c r="E653" s="13"/>
      <c r="F653" s="92"/>
      <c r="G653" s="93"/>
    </row>
    <row r="654" spans="2:7">
      <c r="B654" s="18"/>
      <c r="C654" s="21" t="s">
        <v>394</v>
      </c>
      <c r="D654" s="12"/>
      <c r="E654" s="13"/>
      <c r="F654" s="92"/>
      <c r="G654" s="93"/>
    </row>
    <row r="655" spans="2:7">
      <c r="B655" s="18"/>
      <c r="C655" s="21" t="s">
        <v>395</v>
      </c>
      <c r="D655" s="12"/>
      <c r="E655" s="13"/>
      <c r="F655" s="92"/>
      <c r="G655" s="93"/>
    </row>
    <row r="656" spans="2:7">
      <c r="B656" s="18"/>
      <c r="C656" s="21" t="s">
        <v>396</v>
      </c>
      <c r="D656" s="12"/>
      <c r="E656" s="13"/>
      <c r="F656" s="92"/>
      <c r="G656" s="93"/>
    </row>
    <row r="657" spans="2:7">
      <c r="B657" s="18"/>
      <c r="C657" s="21" t="s">
        <v>341</v>
      </c>
      <c r="D657" s="12"/>
      <c r="E657" s="13"/>
      <c r="F657" s="92"/>
      <c r="G657" s="93"/>
    </row>
    <row r="658" spans="2:7">
      <c r="B658" s="18"/>
      <c r="C658" s="21" t="s">
        <v>342</v>
      </c>
      <c r="D658" s="12"/>
      <c r="E658" s="13"/>
      <c r="F658" s="92"/>
      <c r="G658" s="93"/>
    </row>
    <row r="659" spans="2:7">
      <c r="B659" s="18"/>
      <c r="C659" s="21" t="s">
        <v>343</v>
      </c>
      <c r="D659" s="12"/>
      <c r="E659" s="13"/>
      <c r="F659" s="92"/>
      <c r="G659" s="93"/>
    </row>
    <row r="660" spans="2:7">
      <c r="B660" s="18">
        <v>17</v>
      </c>
      <c r="C660" s="27" t="s">
        <v>548</v>
      </c>
      <c r="D660" s="12">
        <v>400</v>
      </c>
      <c r="E660" s="13" t="s">
        <v>510</v>
      </c>
      <c r="F660" s="92"/>
      <c r="G660" s="93">
        <f>F660*D660</f>
        <v>0</v>
      </c>
    </row>
    <row r="661" spans="2:7">
      <c r="B661" s="18"/>
      <c r="C661" s="21" t="s">
        <v>344</v>
      </c>
      <c r="D661" s="12"/>
      <c r="E661" s="13"/>
      <c r="F661" s="92"/>
      <c r="G661" s="93"/>
    </row>
    <row r="662" spans="2:7">
      <c r="B662" s="18"/>
      <c r="C662" s="21" t="s">
        <v>345</v>
      </c>
      <c r="D662" s="12"/>
      <c r="E662" s="13"/>
      <c r="F662" s="92"/>
      <c r="G662" s="93"/>
    </row>
    <row r="663" spans="2:7">
      <c r="B663" s="18"/>
      <c r="C663" s="21" t="s">
        <v>346</v>
      </c>
      <c r="D663" s="12"/>
      <c r="E663" s="13"/>
      <c r="F663" s="92"/>
      <c r="G663" s="93"/>
    </row>
    <row r="664" spans="2:7">
      <c r="B664" s="18"/>
      <c r="C664" s="21" t="s">
        <v>347</v>
      </c>
      <c r="D664" s="12"/>
      <c r="E664" s="13"/>
      <c r="F664" s="92"/>
      <c r="G664" s="93"/>
    </row>
    <row r="665" spans="2:7">
      <c r="B665" s="18"/>
      <c r="C665" s="21" t="s">
        <v>348</v>
      </c>
      <c r="D665" s="12"/>
      <c r="E665" s="13"/>
      <c r="F665" s="92"/>
      <c r="G665" s="93"/>
    </row>
    <row r="666" spans="2:7">
      <c r="B666" s="18"/>
      <c r="C666" s="21" t="s">
        <v>349</v>
      </c>
      <c r="D666" s="12"/>
      <c r="E666" s="13"/>
      <c r="F666" s="92"/>
      <c r="G666" s="93"/>
    </row>
    <row r="667" spans="2:7">
      <c r="B667" s="18"/>
      <c r="C667" s="21" t="s">
        <v>350</v>
      </c>
      <c r="D667" s="12"/>
      <c r="E667" s="13"/>
      <c r="F667" s="92"/>
      <c r="G667" s="93"/>
    </row>
    <row r="668" spans="2:7">
      <c r="B668" s="18"/>
      <c r="C668" s="21" t="s">
        <v>351</v>
      </c>
      <c r="D668" s="12"/>
      <c r="E668" s="13"/>
      <c r="F668" s="92"/>
      <c r="G668" s="93"/>
    </row>
    <row r="669" spans="2:7">
      <c r="B669" s="18">
        <v>18</v>
      </c>
      <c r="C669" s="27" t="s">
        <v>549</v>
      </c>
      <c r="D669" s="12">
        <v>1</v>
      </c>
      <c r="E669" s="13" t="s">
        <v>468</v>
      </c>
      <c r="F669" s="92"/>
      <c r="G669" s="93">
        <f>F669*D669</f>
        <v>0</v>
      </c>
    </row>
    <row r="670" spans="2:7">
      <c r="B670" s="18"/>
      <c r="C670" s="21" t="s">
        <v>352</v>
      </c>
      <c r="D670" s="12"/>
      <c r="E670" s="13"/>
      <c r="F670" s="92"/>
      <c r="G670" s="93"/>
    </row>
    <row r="671" spans="2:7">
      <c r="B671" s="18"/>
      <c r="C671" s="21" t="s">
        <v>345</v>
      </c>
      <c r="D671" s="12"/>
      <c r="E671" s="13"/>
      <c r="F671" s="92"/>
      <c r="G671" s="93"/>
    </row>
    <row r="672" spans="2:7">
      <c r="B672" s="18"/>
      <c r="C672" s="21" t="s">
        <v>349</v>
      </c>
      <c r="D672" s="12"/>
      <c r="E672" s="13"/>
      <c r="F672" s="92"/>
      <c r="G672" s="93"/>
    </row>
    <row r="673" spans="2:7">
      <c r="B673" s="18"/>
      <c r="C673" s="21" t="s">
        <v>353</v>
      </c>
      <c r="D673" s="12"/>
      <c r="E673" s="13"/>
      <c r="F673" s="92"/>
      <c r="G673" s="93"/>
    </row>
    <row r="674" spans="2:7">
      <c r="B674" s="18"/>
      <c r="C674" s="21" t="s">
        <v>354</v>
      </c>
      <c r="D674" s="12"/>
      <c r="E674" s="13"/>
      <c r="F674" s="92"/>
      <c r="G674" s="93"/>
    </row>
    <row r="675" spans="2:7">
      <c r="B675" s="18">
        <v>19</v>
      </c>
      <c r="C675" s="27" t="s">
        <v>550</v>
      </c>
      <c r="D675" s="12">
        <v>1</v>
      </c>
      <c r="E675" s="13" t="s">
        <v>468</v>
      </c>
      <c r="F675" s="92"/>
      <c r="G675" s="93">
        <f>F675*D675</f>
        <v>0</v>
      </c>
    </row>
    <row r="676" spans="2:7">
      <c r="B676" s="18"/>
      <c r="C676" s="21" t="s">
        <v>355</v>
      </c>
      <c r="D676" s="12"/>
      <c r="E676" s="13"/>
      <c r="F676" s="92"/>
      <c r="G676" s="93"/>
    </row>
    <row r="677" spans="2:7">
      <c r="B677" s="18"/>
      <c r="C677" s="21" t="s">
        <v>356</v>
      </c>
      <c r="D677" s="12"/>
      <c r="E677" s="13"/>
      <c r="F677" s="92"/>
      <c r="G677" s="93"/>
    </row>
    <row r="678" spans="2:7">
      <c r="B678" s="18"/>
      <c r="C678" s="21" t="s">
        <v>357</v>
      </c>
      <c r="D678" s="12"/>
      <c r="E678" s="13"/>
      <c r="F678" s="92"/>
      <c r="G678" s="93"/>
    </row>
    <row r="679" spans="2:7">
      <c r="B679" s="18"/>
      <c r="C679" s="21" t="s">
        <v>358</v>
      </c>
      <c r="D679" s="12"/>
      <c r="E679" s="13"/>
      <c r="F679" s="92"/>
      <c r="G679" s="93"/>
    </row>
    <row r="680" spans="2:7">
      <c r="B680" s="18"/>
      <c r="C680" s="21" t="s">
        <v>269</v>
      </c>
      <c r="D680" s="12"/>
      <c r="E680" s="13"/>
      <c r="F680" s="92"/>
      <c r="G680" s="93"/>
    </row>
    <row r="681" spans="2:7">
      <c r="B681" s="18"/>
      <c r="C681" s="21" t="s">
        <v>359</v>
      </c>
      <c r="D681" s="12"/>
      <c r="E681" s="13"/>
      <c r="F681" s="92"/>
      <c r="G681" s="93"/>
    </row>
    <row r="682" spans="2:7">
      <c r="B682" s="18"/>
      <c r="C682" s="21" t="s">
        <v>360</v>
      </c>
      <c r="D682" s="12"/>
      <c r="E682" s="13"/>
      <c r="F682" s="92"/>
      <c r="G682" s="93"/>
    </row>
    <row r="683" spans="2:7">
      <c r="B683" s="18"/>
      <c r="C683" s="21" t="s">
        <v>353</v>
      </c>
      <c r="D683" s="12"/>
      <c r="E683" s="13"/>
      <c r="F683" s="92"/>
      <c r="G683" s="93"/>
    </row>
    <row r="684" spans="2:7">
      <c r="B684" s="18"/>
      <c r="C684" s="21" t="s">
        <v>343</v>
      </c>
      <c r="D684" s="12"/>
      <c r="E684" s="13"/>
      <c r="F684" s="92"/>
      <c r="G684" s="93"/>
    </row>
    <row r="685" spans="2:7">
      <c r="B685" s="18">
        <v>20</v>
      </c>
      <c r="C685" s="27" t="s">
        <v>551</v>
      </c>
      <c r="D685" s="12">
        <v>1</v>
      </c>
      <c r="E685" s="13" t="s">
        <v>468</v>
      </c>
      <c r="F685" s="92"/>
      <c r="G685" s="93">
        <f>F685*D685</f>
        <v>0</v>
      </c>
    </row>
    <row r="686" spans="2:7">
      <c r="B686" s="18"/>
      <c r="C686" s="21" t="s">
        <v>372</v>
      </c>
      <c r="D686" s="12"/>
      <c r="E686" s="13"/>
      <c r="F686" s="92"/>
      <c r="G686" s="93"/>
    </row>
    <row r="687" spans="2:7">
      <c r="B687" s="18"/>
      <c r="C687" s="21" t="s">
        <v>362</v>
      </c>
      <c r="D687" s="12"/>
      <c r="E687" s="13"/>
      <c r="F687" s="92"/>
      <c r="G687" s="93"/>
    </row>
    <row r="688" spans="2:7">
      <c r="B688" s="18"/>
      <c r="C688" s="21" t="s">
        <v>51</v>
      </c>
      <c r="D688" s="12"/>
      <c r="E688" s="13"/>
      <c r="F688" s="92"/>
      <c r="G688" s="93"/>
    </row>
    <row r="689" spans="2:7">
      <c r="B689" s="18"/>
      <c r="C689" s="21" t="s">
        <v>363</v>
      </c>
      <c r="D689" s="12"/>
      <c r="E689" s="13"/>
      <c r="F689" s="92"/>
      <c r="G689" s="93"/>
    </row>
    <row r="690" spans="2:7">
      <c r="B690" s="18"/>
      <c r="C690" s="21" t="s">
        <v>207</v>
      </c>
      <c r="D690" s="12"/>
      <c r="E690" s="13"/>
      <c r="F690" s="92"/>
      <c r="G690" s="93"/>
    </row>
    <row r="691" spans="2:7">
      <c r="B691" s="18"/>
      <c r="C691" s="21" t="s">
        <v>343</v>
      </c>
      <c r="D691" s="12"/>
      <c r="E691" s="13"/>
      <c r="F691" s="92"/>
      <c r="G691" s="93"/>
    </row>
    <row r="692" spans="2:7">
      <c r="B692" s="18"/>
      <c r="C692" s="21" t="s">
        <v>55</v>
      </c>
      <c r="D692" s="12"/>
      <c r="E692" s="13"/>
      <c r="F692" s="92"/>
      <c r="G692" s="93"/>
    </row>
    <row r="693" spans="2:7">
      <c r="B693" s="18">
        <v>21</v>
      </c>
      <c r="C693" s="27" t="s">
        <v>552</v>
      </c>
      <c r="D693" s="12">
        <v>2</v>
      </c>
      <c r="E693" s="13" t="s">
        <v>468</v>
      </c>
      <c r="F693" s="92"/>
      <c r="G693" s="93">
        <f>F693*D693</f>
        <v>0</v>
      </c>
    </row>
    <row r="694" spans="2:7">
      <c r="B694" s="18"/>
      <c r="C694" s="21" t="s">
        <v>364</v>
      </c>
      <c r="D694" s="12"/>
      <c r="E694" s="13"/>
      <c r="F694" s="92"/>
      <c r="G694" s="93"/>
    </row>
    <row r="695" spans="2:7">
      <c r="B695" s="18"/>
      <c r="C695" s="21" t="s">
        <v>372</v>
      </c>
      <c r="D695" s="12"/>
      <c r="E695" s="13"/>
      <c r="F695" s="92"/>
      <c r="G695" s="93"/>
    </row>
    <row r="696" spans="2:7">
      <c r="B696" s="18"/>
      <c r="C696" s="21" t="s">
        <v>207</v>
      </c>
      <c r="D696" s="12"/>
      <c r="E696" s="13"/>
      <c r="F696" s="92"/>
      <c r="G696" s="93"/>
    </row>
    <row r="697" spans="2:7">
      <c r="B697" s="18"/>
      <c r="C697" s="21" t="s">
        <v>60</v>
      </c>
      <c r="D697" s="12"/>
      <c r="E697" s="13"/>
      <c r="F697" s="92"/>
      <c r="G697" s="93"/>
    </row>
    <row r="698" spans="2:7">
      <c r="B698" s="18"/>
      <c r="C698" s="21" t="s">
        <v>61</v>
      </c>
      <c r="D698" s="12"/>
      <c r="E698" s="13"/>
      <c r="F698" s="92"/>
      <c r="G698" s="93"/>
    </row>
    <row r="699" spans="2:7">
      <c r="B699" s="18"/>
      <c r="C699" s="21" t="s">
        <v>208</v>
      </c>
      <c r="D699" s="12"/>
      <c r="E699" s="13"/>
      <c r="F699" s="92"/>
      <c r="G699" s="93"/>
    </row>
    <row r="700" spans="2:7">
      <c r="B700" s="18"/>
      <c r="C700" s="21" t="s">
        <v>62</v>
      </c>
      <c r="D700" s="12"/>
      <c r="E700" s="13"/>
      <c r="F700" s="92"/>
      <c r="G700" s="93"/>
    </row>
    <row r="701" spans="2:7">
      <c r="B701" s="18"/>
      <c r="C701" s="21" t="s">
        <v>209</v>
      </c>
      <c r="D701" s="12"/>
      <c r="E701" s="13"/>
      <c r="F701" s="92"/>
      <c r="G701" s="93"/>
    </row>
    <row r="702" spans="2:7">
      <c r="B702" s="18"/>
      <c r="C702" s="21" t="s">
        <v>46</v>
      </c>
      <c r="D702" s="12"/>
      <c r="E702" s="13"/>
      <c r="F702" s="92"/>
      <c r="G702" s="93"/>
    </row>
    <row r="703" spans="2:7">
      <c r="B703" s="18"/>
      <c r="C703" s="21" t="s">
        <v>343</v>
      </c>
      <c r="D703" s="12"/>
      <c r="E703" s="13"/>
      <c r="F703" s="92"/>
      <c r="G703" s="93"/>
    </row>
    <row r="704" spans="2:7">
      <c r="B704" s="18">
        <v>22</v>
      </c>
      <c r="C704" s="27" t="s">
        <v>553</v>
      </c>
      <c r="D704" s="12">
        <v>1</v>
      </c>
      <c r="E704" s="13" t="s">
        <v>470</v>
      </c>
      <c r="F704" s="92"/>
      <c r="G704" s="93">
        <f>F704*D704</f>
        <v>0</v>
      </c>
    </row>
    <row r="705" spans="2:7">
      <c r="B705" s="18"/>
      <c r="C705" s="21" t="s">
        <v>365</v>
      </c>
      <c r="D705" s="12"/>
      <c r="E705" s="13"/>
      <c r="F705" s="92"/>
      <c r="G705" s="93"/>
    </row>
    <row r="706" spans="2:7">
      <c r="B706" s="18">
        <v>22</v>
      </c>
      <c r="C706" s="27" t="s">
        <v>581</v>
      </c>
      <c r="D706" s="12">
        <v>1</v>
      </c>
      <c r="E706" s="13" t="s">
        <v>468</v>
      </c>
      <c r="F706" s="92"/>
      <c r="G706" s="93">
        <f>F706*D706</f>
        <v>0</v>
      </c>
    </row>
    <row r="707" spans="2:7">
      <c r="B707" s="18"/>
      <c r="C707" s="21" t="s">
        <v>582</v>
      </c>
      <c r="D707" s="12"/>
      <c r="E707" s="13"/>
      <c r="F707" s="92"/>
      <c r="G707" s="93"/>
    </row>
    <row r="708" spans="2:7">
      <c r="B708" s="18"/>
      <c r="C708" s="21"/>
      <c r="D708" s="12"/>
      <c r="E708" s="13"/>
      <c r="F708" s="92"/>
      <c r="G708" s="93"/>
    </row>
    <row r="709" spans="2:7">
      <c r="B709" s="18"/>
      <c r="C709" s="21"/>
      <c r="D709" s="12"/>
      <c r="E709" s="13"/>
      <c r="F709" s="92"/>
      <c r="G709" s="93"/>
    </row>
    <row r="710" spans="2:7">
      <c r="B710" s="18"/>
      <c r="C710" s="21" t="s">
        <v>373</v>
      </c>
      <c r="D710" s="12"/>
      <c r="E710" s="13"/>
      <c r="F710" s="92"/>
      <c r="G710" s="93"/>
    </row>
    <row r="711" spans="2:7">
      <c r="B711" s="18"/>
      <c r="C711" s="21" t="s">
        <v>374</v>
      </c>
      <c r="D711" s="12"/>
      <c r="E711" s="13"/>
      <c r="F711" s="92"/>
      <c r="G711" s="93"/>
    </row>
    <row r="712" spans="2:7">
      <c r="B712" s="18"/>
      <c r="C712" s="21" t="s">
        <v>375</v>
      </c>
      <c r="D712" s="12"/>
      <c r="E712" s="13"/>
      <c r="F712" s="92"/>
      <c r="G712" s="93"/>
    </row>
    <row r="713" spans="2:7">
      <c r="B713" s="18"/>
      <c r="C713" s="21" t="s">
        <v>376</v>
      </c>
      <c r="D713" s="12"/>
      <c r="E713" s="13"/>
      <c r="F713" s="92"/>
      <c r="G713" s="93"/>
    </row>
    <row r="714" spans="2:7">
      <c r="B714" s="18"/>
      <c r="C714" s="21" t="s">
        <v>377</v>
      </c>
      <c r="D714" s="12"/>
      <c r="E714" s="13"/>
      <c r="F714" s="92"/>
      <c r="G714" s="93"/>
    </row>
    <row r="715" spans="2:7">
      <c r="B715" s="18"/>
      <c r="C715" s="21" t="s">
        <v>378</v>
      </c>
      <c r="D715" s="12"/>
      <c r="E715" s="13"/>
      <c r="F715" s="92"/>
      <c r="G715" s="93"/>
    </row>
    <row r="716" spans="2:7">
      <c r="B716" s="18"/>
      <c r="C716" s="21" t="s">
        <v>379</v>
      </c>
      <c r="D716" s="12"/>
      <c r="E716" s="13"/>
      <c r="F716" s="92"/>
      <c r="G716" s="93"/>
    </row>
    <row r="717" spans="2:7">
      <c r="B717" s="18"/>
      <c r="C717" s="21" t="s">
        <v>380</v>
      </c>
      <c r="D717" s="12"/>
      <c r="E717" s="13"/>
      <c r="F717" s="92"/>
      <c r="G717" s="93"/>
    </row>
    <row r="718" spans="2:7">
      <c r="B718" s="18"/>
      <c r="C718" s="21" t="s">
        <v>381</v>
      </c>
      <c r="D718" s="12"/>
      <c r="E718" s="13"/>
      <c r="F718" s="92"/>
      <c r="G718" s="93"/>
    </row>
    <row r="719" spans="2:7">
      <c r="B719" s="18"/>
      <c r="C719" s="21" t="s">
        <v>382</v>
      </c>
      <c r="D719" s="12"/>
      <c r="E719" s="13"/>
      <c r="F719" s="92"/>
      <c r="G719" s="93"/>
    </row>
    <row r="720" spans="2:7">
      <c r="B720" s="18"/>
      <c r="C720" s="21" t="s">
        <v>383</v>
      </c>
      <c r="D720" s="12"/>
      <c r="E720" s="13"/>
      <c r="F720" s="92"/>
      <c r="G720" s="93"/>
    </row>
    <row r="721" spans="2:7">
      <c r="B721" s="18"/>
      <c r="C721" s="21" t="s">
        <v>398</v>
      </c>
      <c r="D721" s="12"/>
      <c r="E721" s="13"/>
      <c r="F721" s="92"/>
      <c r="G721" s="93"/>
    </row>
    <row r="722" spans="2:7">
      <c r="B722" s="18"/>
      <c r="C722" s="21" t="s">
        <v>384</v>
      </c>
      <c r="D722" s="12"/>
      <c r="E722" s="13"/>
      <c r="F722" s="92"/>
      <c r="G722" s="93"/>
    </row>
    <row r="723" spans="2:7">
      <c r="B723" s="18"/>
      <c r="C723" s="21" t="s">
        <v>385</v>
      </c>
      <c r="D723" s="12"/>
      <c r="E723" s="13"/>
      <c r="F723" s="92"/>
      <c r="G723" s="93"/>
    </row>
    <row r="724" spans="2:7">
      <c r="B724" s="18"/>
      <c r="C724" s="21" t="s">
        <v>386</v>
      </c>
      <c r="D724" s="12"/>
      <c r="E724" s="13"/>
      <c r="F724" s="92"/>
      <c r="G724" s="93"/>
    </row>
    <row r="725" spans="2:7">
      <c r="B725" s="18"/>
      <c r="C725" s="21" t="s">
        <v>399</v>
      </c>
      <c r="D725" s="12"/>
      <c r="E725" s="13"/>
      <c r="F725" s="92"/>
      <c r="G725" s="93"/>
    </row>
    <row r="726" spans="2:7">
      <c r="B726" s="18"/>
      <c r="C726" s="21" t="s">
        <v>387</v>
      </c>
      <c r="D726" s="12"/>
      <c r="E726" s="13"/>
      <c r="F726" s="92"/>
      <c r="G726" s="93"/>
    </row>
    <row r="727" spans="2:7">
      <c r="B727" s="18"/>
      <c r="C727" s="21" t="s">
        <v>400</v>
      </c>
      <c r="D727" s="12"/>
      <c r="E727" s="13"/>
      <c r="F727" s="92"/>
      <c r="G727" s="93"/>
    </row>
    <row r="728" spans="2:7">
      <c r="B728" s="18"/>
      <c r="C728" s="21" t="s">
        <v>388</v>
      </c>
      <c r="D728" s="12"/>
      <c r="E728" s="13"/>
      <c r="F728" s="92"/>
      <c r="G728" s="93"/>
    </row>
    <row r="729" spans="2:7">
      <c r="B729" s="18"/>
      <c r="C729" s="21" t="s">
        <v>389</v>
      </c>
      <c r="D729" s="12"/>
      <c r="E729" s="13"/>
      <c r="F729" s="92"/>
      <c r="G729" s="93"/>
    </row>
    <row r="730" spans="2:7">
      <c r="B730" s="18"/>
      <c r="C730" s="21" t="s">
        <v>390</v>
      </c>
      <c r="D730" s="12"/>
      <c r="E730" s="13"/>
      <c r="F730" s="92"/>
      <c r="G730" s="93"/>
    </row>
    <row r="731" spans="2:7">
      <c r="B731" s="18"/>
      <c r="C731" s="21" t="s">
        <v>391</v>
      </c>
      <c r="D731" s="12"/>
      <c r="E731" s="13"/>
      <c r="F731" s="92"/>
      <c r="G731" s="93"/>
    </row>
    <row r="732" spans="2:7">
      <c r="B732" s="18"/>
      <c r="C732" s="21" t="s">
        <v>392</v>
      </c>
      <c r="D732" s="12"/>
      <c r="E732" s="13"/>
      <c r="F732" s="92"/>
      <c r="G732" s="93"/>
    </row>
    <row r="733" spans="2:7">
      <c r="B733" s="18"/>
      <c r="C733" s="21" t="s">
        <v>162</v>
      </c>
      <c r="D733" s="12"/>
      <c r="E733" s="13"/>
      <c r="F733" s="92"/>
      <c r="G733" s="93"/>
    </row>
    <row r="734" spans="2:7" ht="15.75" thickBot="1">
      <c r="B734" s="23"/>
      <c r="C734" s="22"/>
      <c r="D734" s="28"/>
      <c r="E734" s="24"/>
      <c r="F734" s="96"/>
      <c r="G734" s="97"/>
    </row>
    <row r="735" spans="2:7" ht="25.5" customHeight="1">
      <c r="D735" s="174" t="s">
        <v>763</v>
      </c>
      <c r="E735" s="174"/>
      <c r="F735" s="174"/>
      <c r="G735" s="113">
        <f>SUM(G10:G734)</f>
        <v>0</v>
      </c>
    </row>
  </sheetData>
  <mergeCells count="2">
    <mergeCell ref="B2:G6"/>
    <mergeCell ref="D735:F735"/>
  </mergeCells>
  <printOptions horizontalCentered="1" verticalCentered="1"/>
  <pageMargins left="0" right="0" top="0" bottom="1.1811023622047245" header="0.31496062992125984" footer="0.31496062992125984"/>
  <pageSetup paperSize="9" fitToHeight="0" orientation="landscape" r:id="rId1"/>
  <headerFooter>
    <oddFooter>&amp;CMerkez Ofis : Üçevler Mh. Esra Sk. No:6/21 Polat Plaza
Nilüfer / BURSA
Fabrika : Minareliçavuş Mah. 106(290)Sok. No:44 Kapı No:1
Nilüfer / BURSA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6"/>
  <sheetViews>
    <sheetView view="pageBreakPreview" zoomScale="115" zoomScaleNormal="100" zoomScaleSheetLayoutView="115" workbookViewId="0">
      <selection activeCell="E16" sqref="E16:G16"/>
    </sheetView>
  </sheetViews>
  <sheetFormatPr defaultRowHeight="15"/>
  <cols>
    <col min="1" max="1" width="3.5703125" customWidth="1"/>
    <col min="2" max="2" width="3" bestFit="1" customWidth="1"/>
    <col min="3" max="3" width="46.85546875" bestFit="1" customWidth="1"/>
    <col min="4" max="4" width="13.28515625" bestFit="1" customWidth="1"/>
    <col min="5" max="5" width="5.7109375" bestFit="1" customWidth="1"/>
    <col min="6" max="6" width="5.140625" bestFit="1" customWidth="1"/>
    <col min="7" max="8" width="14" customWidth="1"/>
    <col min="9" max="9" width="3.5703125" customWidth="1"/>
  </cols>
  <sheetData>
    <row r="1" spans="2:8" ht="15.75" thickBot="1"/>
    <row r="2" spans="2:8" s="41" customFormat="1" ht="12.4" customHeight="1">
      <c r="B2" s="160" t="s">
        <v>747</v>
      </c>
      <c r="C2" s="161"/>
      <c r="D2" s="161"/>
      <c r="E2" s="161"/>
      <c r="F2" s="161"/>
      <c r="G2" s="161"/>
      <c r="H2" s="162"/>
    </row>
    <row r="3" spans="2:8" s="41" customFormat="1" ht="12.4" customHeight="1">
      <c r="B3" s="163"/>
      <c r="C3" s="164"/>
      <c r="D3" s="164"/>
      <c r="E3" s="164"/>
      <c r="F3" s="164"/>
      <c r="G3" s="164"/>
      <c r="H3" s="165"/>
    </row>
    <row r="4" spans="2:8" s="41" customFormat="1" ht="12.4" customHeight="1">
      <c r="B4" s="163"/>
      <c r="C4" s="164"/>
      <c r="D4" s="164"/>
      <c r="E4" s="164"/>
      <c r="F4" s="164"/>
      <c r="G4" s="164"/>
      <c r="H4" s="165"/>
    </row>
    <row r="5" spans="2:8" s="41" customFormat="1" ht="12.4" customHeight="1">
      <c r="B5" s="163"/>
      <c r="C5" s="164"/>
      <c r="D5" s="164"/>
      <c r="E5" s="164"/>
      <c r="F5" s="164"/>
      <c r="G5" s="164"/>
      <c r="H5" s="165"/>
    </row>
    <row r="6" spans="2:8" s="41" customFormat="1" ht="13.15" customHeight="1" thickBot="1">
      <c r="B6" s="166"/>
      <c r="C6" s="167"/>
      <c r="D6" s="167"/>
      <c r="E6" s="167"/>
      <c r="F6" s="167"/>
      <c r="G6" s="167"/>
      <c r="H6" s="168"/>
    </row>
    <row r="7" spans="2:8" ht="24.75" thickBot="1">
      <c r="B7" s="1" t="s">
        <v>0</v>
      </c>
      <c r="C7" s="19" t="s">
        <v>738</v>
      </c>
      <c r="D7" s="3" t="s">
        <v>646</v>
      </c>
      <c r="E7" s="2" t="s">
        <v>2</v>
      </c>
      <c r="F7" s="3" t="s">
        <v>3</v>
      </c>
      <c r="G7" s="4" t="s">
        <v>4</v>
      </c>
      <c r="H7" s="5" t="s">
        <v>6</v>
      </c>
    </row>
    <row r="8" spans="2:8" ht="15.75" thickBot="1">
      <c r="B8" s="7"/>
      <c r="C8" s="20"/>
      <c r="D8" s="9"/>
      <c r="E8" s="8"/>
      <c r="F8" s="9"/>
      <c r="G8" s="10"/>
      <c r="H8" s="17"/>
    </row>
    <row r="9" spans="2:8">
      <c r="B9" s="18"/>
      <c r="C9" s="27"/>
      <c r="D9" s="13"/>
      <c r="E9" s="12"/>
      <c r="F9" s="13"/>
      <c r="G9" s="14"/>
      <c r="H9" s="16"/>
    </row>
    <row r="10" spans="2:8" ht="24">
      <c r="B10" s="18">
        <v>1</v>
      </c>
      <c r="C10" s="31" t="s">
        <v>731</v>
      </c>
      <c r="D10" s="36" t="s">
        <v>732</v>
      </c>
      <c r="E10" s="12">
        <v>369</v>
      </c>
      <c r="F10" s="13" t="s">
        <v>468</v>
      </c>
      <c r="G10" s="121">
        <v>0</v>
      </c>
      <c r="H10" s="93">
        <f>-G10*E10</f>
        <v>0</v>
      </c>
    </row>
    <row r="11" spans="2:8" ht="24">
      <c r="B11" s="18">
        <v>2</v>
      </c>
      <c r="C11" s="31" t="s">
        <v>733</v>
      </c>
      <c r="D11" s="36" t="s">
        <v>732</v>
      </c>
      <c r="E11" s="12">
        <v>126</v>
      </c>
      <c r="F11" s="13" t="s">
        <v>468</v>
      </c>
      <c r="G11" s="121"/>
      <c r="H11" s="93">
        <f t="shared" ref="H11:H15" si="0">-G11*E11</f>
        <v>0</v>
      </c>
    </row>
    <row r="12" spans="2:8" ht="24">
      <c r="B12" s="18">
        <v>3</v>
      </c>
      <c r="C12" s="31" t="s">
        <v>734</v>
      </c>
      <c r="D12" s="36" t="s">
        <v>732</v>
      </c>
      <c r="E12" s="12">
        <v>432</v>
      </c>
      <c r="F12" s="13" t="s">
        <v>468</v>
      </c>
      <c r="G12" s="121"/>
      <c r="H12" s="93">
        <f t="shared" si="0"/>
        <v>0</v>
      </c>
    </row>
    <row r="13" spans="2:8" ht="24">
      <c r="B13" s="18">
        <v>4</v>
      </c>
      <c r="C13" s="31" t="s">
        <v>735</v>
      </c>
      <c r="D13" s="36" t="s">
        <v>732</v>
      </c>
      <c r="E13" s="12">
        <v>99</v>
      </c>
      <c r="F13" s="13" t="s">
        <v>468</v>
      </c>
      <c r="G13" s="121"/>
      <c r="H13" s="93">
        <f t="shared" si="0"/>
        <v>0</v>
      </c>
    </row>
    <row r="14" spans="2:8" ht="36">
      <c r="B14" s="18">
        <v>5</v>
      </c>
      <c r="C14" s="31" t="s">
        <v>736</v>
      </c>
      <c r="D14" s="36" t="s">
        <v>732</v>
      </c>
      <c r="E14" s="12">
        <v>36</v>
      </c>
      <c r="F14" s="13" t="s">
        <v>468</v>
      </c>
      <c r="G14" s="121"/>
      <c r="H14" s="93">
        <f t="shared" si="0"/>
        <v>0</v>
      </c>
    </row>
    <row r="15" spans="2:8" ht="24.75" thickBot="1">
      <c r="B15" s="23">
        <v>6</v>
      </c>
      <c r="C15" s="38" t="s">
        <v>737</v>
      </c>
      <c r="D15" s="40" t="s">
        <v>732</v>
      </c>
      <c r="E15" s="28">
        <v>45</v>
      </c>
      <c r="F15" s="24" t="s">
        <v>468</v>
      </c>
      <c r="G15" s="122"/>
      <c r="H15" s="93">
        <f t="shared" si="0"/>
        <v>0</v>
      </c>
    </row>
    <row r="16" spans="2:8" ht="26.25" customHeight="1">
      <c r="E16" s="174" t="s">
        <v>763</v>
      </c>
      <c r="F16" s="174"/>
      <c r="G16" s="174"/>
      <c r="H16" s="123">
        <f>SUM(H10:H15)</f>
        <v>0</v>
      </c>
    </row>
  </sheetData>
  <mergeCells count="2">
    <mergeCell ref="B2:H6"/>
    <mergeCell ref="E16:G16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11</vt:i4>
      </vt:variant>
      <vt:variant>
        <vt:lpstr>Adlandırılmış Aralıklar</vt:lpstr>
      </vt:variant>
      <vt:variant>
        <vt:i4>10</vt:i4>
      </vt:variant>
    </vt:vector>
  </HeadingPairs>
  <TitlesOfParts>
    <vt:vector size="21" baseType="lpstr">
      <vt:lpstr>İcmal</vt:lpstr>
      <vt:lpstr>Yangın.Pompa.Odası</vt:lpstr>
      <vt:lpstr>Hidrant.Sistemi</vt:lpstr>
      <vt:lpstr>Pres2-3 Çelik Kule</vt:lpstr>
      <vt:lpstr>Trafo.Su.Püskürtme</vt:lpstr>
      <vt:lpstr>Sprinkler.Sistemi</vt:lpstr>
      <vt:lpstr>Konveyör.Sprink</vt:lpstr>
      <vt:lpstr>Toz.Ambarı</vt:lpstr>
      <vt:lpstr>Pompa.Odası.Sprink</vt:lpstr>
      <vt:lpstr>Otomatik.Köpüklü</vt:lpstr>
      <vt:lpstr>Yangın.Durdurucu</vt:lpstr>
      <vt:lpstr>Hidrant.Sistemi!Yazdırma_Alanı</vt:lpstr>
      <vt:lpstr>İcmal!Yazdırma_Alanı</vt:lpstr>
      <vt:lpstr>Konveyör.Sprink!Yazdırma_Alanı</vt:lpstr>
      <vt:lpstr>Otomatik.Köpüklü!Yazdırma_Alanı</vt:lpstr>
      <vt:lpstr>Pompa.Odası.Sprink!Yazdırma_Alanı</vt:lpstr>
      <vt:lpstr>Sprinkler.Sistemi!Yazdırma_Alanı</vt:lpstr>
      <vt:lpstr>Toz.Ambarı!Yazdırma_Alanı</vt:lpstr>
      <vt:lpstr>Trafo.Su.Püskürtme!Yazdırma_Alanı</vt:lpstr>
      <vt:lpstr>Yangın.Durdurucu!Yazdırma_Alanı</vt:lpstr>
      <vt:lpstr>Yangın.Pompa.Odası!Yazdırma_Alanı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cp:lastPrinted>2026-07-07T09:14:50Z</cp:lastPrinted>
  <dcterms:created xsi:type="dcterms:W3CDTF">2015-06-05T18:19:34Z</dcterms:created>
  <dcterms:modified xsi:type="dcterms:W3CDTF">2026-07-15T20:12:32Z</dcterms:modified>
</cp:coreProperties>
</file>