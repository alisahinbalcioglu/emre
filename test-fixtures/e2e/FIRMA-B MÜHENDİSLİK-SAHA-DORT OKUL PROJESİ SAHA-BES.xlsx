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C:\Users\basar\Desktop\"/>
    </mc:Choice>
  </mc:AlternateContent>
  <xr:revisionPtr revIDLastSave="0" documentId="13_ncr:1_{5E1808A1-FB6D-45B5-819A-8F2D4F51EE6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KAPAK" sheetId="10" r:id="rId1"/>
    <sheet name="Teklif Esasları" sheetId="15" r:id="rId2"/>
    <sheet name="İCMAL" sheetId="11" r:id="rId3"/>
    <sheet name="CİLAS KAUÇUK" sheetId="7" r:id="rId4"/>
    <sheet name="EXCHANGE RATE" sheetId="13" r:id="rId5"/>
  </sheets>
  <definedNames>
    <definedName name="_FilterDatabase" localSheetId="3" hidden="1">'CİLAS KAUÇUK'!$A$12:$T$12</definedName>
    <definedName name="Print_Area" localSheetId="3">'CİLAS KAUÇUK'!$A$2:$J$146</definedName>
    <definedName name="Print_Area" localSheetId="4">'EXCHANGE RATE'!$A$1:$N$45</definedName>
    <definedName name="Print_Area" localSheetId="2">İCMAL!$A$1:$M$61</definedName>
    <definedName name="Print_Area" localSheetId="0">KAPAK!$A$1:$I$47</definedName>
    <definedName name="Print_Area" localSheetId="1">'Teklif Esasları'!$A$1:$J$58</definedName>
    <definedName name="Print_Titles" localSheetId="3">'CİLAS KAUÇUK'!$12:$12</definedName>
    <definedName name="_xlnm.Print_Area" localSheetId="3">'CİLAS KAUÇUK'!$A$1:$J$67</definedName>
    <definedName name="_xlnm.Print_Area" localSheetId="4">'EXCHANGE RATE'!$A$1:$M$39</definedName>
    <definedName name="_xlnm.Print_Area" localSheetId="1">'Teklif Esasları'!$A$1:$J$59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" i="11" l="1"/>
  <c r="M32" i="11"/>
  <c r="M31" i="11"/>
  <c r="Q58" i="7"/>
  <c r="N58" i="7"/>
  <c r="I58" i="7"/>
  <c r="J58" i="7" s="1"/>
  <c r="G58" i="7"/>
  <c r="H58" i="7" s="1"/>
  <c r="Q57" i="7"/>
  <c r="N57" i="7"/>
  <c r="I57" i="7"/>
  <c r="J57" i="7" s="1"/>
  <c r="G57" i="7"/>
  <c r="H57" i="7" s="1"/>
  <c r="Q54" i="7"/>
  <c r="N54" i="7"/>
  <c r="I54" i="7"/>
  <c r="J54" i="7" s="1"/>
  <c r="G54" i="7"/>
  <c r="H54" i="7" s="1"/>
  <c r="Q51" i="7"/>
  <c r="N51" i="7"/>
  <c r="I51" i="7"/>
  <c r="J51" i="7" s="1"/>
  <c r="G51" i="7"/>
  <c r="H51" i="7" s="1"/>
  <c r="Q50" i="7"/>
  <c r="N50" i="7"/>
  <c r="I50" i="7"/>
  <c r="J50" i="7" s="1"/>
  <c r="G50" i="7"/>
  <c r="H50" i="7" s="1"/>
  <c r="Q49" i="7"/>
  <c r="N49" i="7"/>
  <c r="I49" i="7"/>
  <c r="J49" i="7" s="1"/>
  <c r="G49" i="7"/>
  <c r="H49" i="7" s="1"/>
  <c r="Q48" i="7"/>
  <c r="N48" i="7"/>
  <c r="I48" i="7"/>
  <c r="J48" i="7" s="1"/>
  <c r="G48" i="7"/>
  <c r="H48" i="7" s="1"/>
  <c r="Q45" i="7"/>
  <c r="N45" i="7"/>
  <c r="I45" i="7"/>
  <c r="J45" i="7" s="1"/>
  <c r="G45" i="7"/>
  <c r="H45" i="7" s="1"/>
  <c r="Q44" i="7"/>
  <c r="N44" i="7"/>
  <c r="I44" i="7"/>
  <c r="J44" i="7" s="1"/>
  <c r="G44" i="7"/>
  <c r="H44" i="7" s="1"/>
  <c r="Q41" i="7"/>
  <c r="N41" i="7"/>
  <c r="I41" i="7"/>
  <c r="J41" i="7" s="1"/>
  <c r="H41" i="7"/>
  <c r="G41" i="7"/>
  <c r="Q40" i="7"/>
  <c r="N40" i="7"/>
  <c r="I40" i="7"/>
  <c r="J40" i="7" s="1"/>
  <c r="G40" i="7"/>
  <c r="H40" i="7" s="1"/>
  <c r="Q39" i="7"/>
  <c r="N39" i="7"/>
  <c r="J39" i="7"/>
  <c r="I39" i="7"/>
  <c r="G39" i="7"/>
  <c r="H39" i="7" s="1"/>
  <c r="Q38" i="7"/>
  <c r="N38" i="7"/>
  <c r="J38" i="7"/>
  <c r="I38" i="7"/>
  <c r="H38" i="7"/>
  <c r="G38" i="7"/>
  <c r="Q35" i="7"/>
  <c r="N35" i="7"/>
  <c r="I35" i="7"/>
  <c r="J35" i="7" s="1"/>
  <c r="G35" i="7"/>
  <c r="H35" i="7" s="1"/>
  <c r="Q34" i="7"/>
  <c r="N34" i="7"/>
  <c r="I34" i="7"/>
  <c r="J34" i="7" s="1"/>
  <c r="G34" i="7"/>
  <c r="H34" i="7" s="1"/>
  <c r="Q33" i="7"/>
  <c r="N33" i="7"/>
  <c r="J33" i="7"/>
  <c r="I33" i="7"/>
  <c r="G33" i="7"/>
  <c r="H33" i="7" s="1"/>
  <c r="Q24" i="7"/>
  <c r="N24" i="7"/>
  <c r="I24" i="7"/>
  <c r="J24" i="7" s="1"/>
  <c r="G24" i="7"/>
  <c r="H24" i="7" s="1"/>
  <c r="Q23" i="7"/>
  <c r="N23" i="7"/>
  <c r="I23" i="7"/>
  <c r="J23" i="7" s="1"/>
  <c r="G23" i="7"/>
  <c r="H23" i="7" s="1"/>
  <c r="Q30" i="7"/>
  <c r="N30" i="7"/>
  <c r="I30" i="7"/>
  <c r="J30" i="7" s="1"/>
  <c r="G30" i="7"/>
  <c r="H30" i="7" s="1"/>
  <c r="Q29" i="7"/>
  <c r="N29" i="7"/>
  <c r="J29" i="7"/>
  <c r="I29" i="7"/>
  <c r="G29" i="7"/>
  <c r="H29" i="7" s="1"/>
  <c r="Q28" i="7"/>
  <c r="N28" i="7"/>
  <c r="J28" i="7"/>
  <c r="I28" i="7"/>
  <c r="G28" i="7"/>
  <c r="H28" i="7" s="1"/>
  <c r="Q27" i="7"/>
  <c r="N27" i="7"/>
  <c r="I27" i="7"/>
  <c r="J27" i="7" s="1"/>
  <c r="H27" i="7"/>
  <c r="G27" i="7"/>
  <c r="I19" i="7"/>
  <c r="J19" i="7" s="1"/>
  <c r="G20" i="7"/>
  <c r="G21" i="7"/>
  <c r="H21" i="7" s="1"/>
  <c r="G22" i="7"/>
  <c r="G19" i="7"/>
  <c r="H19" i="7" s="1"/>
  <c r="C4" i="13"/>
  <c r="H32" i="13" s="1"/>
  <c r="C3" i="13"/>
  <c r="G28" i="13" s="1"/>
  <c r="H20" i="7"/>
  <c r="H22" i="7"/>
  <c r="Q22" i="7"/>
  <c r="N22" i="7"/>
  <c r="I22" i="7"/>
  <c r="J22" i="7" s="1"/>
  <c r="Q21" i="7"/>
  <c r="N21" i="7"/>
  <c r="I21" i="7"/>
  <c r="J21" i="7" s="1"/>
  <c r="Q20" i="7"/>
  <c r="N20" i="7"/>
  <c r="I20" i="7"/>
  <c r="J20" i="7" s="1"/>
  <c r="Q19" i="7"/>
  <c r="N19" i="7"/>
  <c r="I66" i="7"/>
  <c r="J66" i="7" s="1"/>
  <c r="I117" i="7"/>
  <c r="J117" i="7" s="1"/>
  <c r="I130" i="7"/>
  <c r="J130" i="7" s="1"/>
  <c r="I136" i="7"/>
  <c r="J136" i="7" s="1"/>
  <c r="I138" i="7"/>
  <c r="J138" i="7" s="1"/>
  <c r="K16" i="11"/>
  <c r="I134" i="7"/>
  <c r="J134" i="7" s="1"/>
  <c r="I132" i="7"/>
  <c r="J132" i="7" s="1"/>
  <c r="I128" i="7"/>
  <c r="J128" i="7" s="1"/>
  <c r="I126" i="7"/>
  <c r="J126" i="7" s="1"/>
  <c r="I124" i="7"/>
  <c r="J124" i="7" s="1"/>
  <c r="I121" i="7"/>
  <c r="J121" i="7" s="1"/>
  <c r="I119" i="7"/>
  <c r="J119" i="7" s="1"/>
  <c r="I115" i="7"/>
  <c r="J115" i="7" s="1"/>
  <c r="I113" i="7"/>
  <c r="J113" i="7" s="1"/>
  <c r="I111" i="7"/>
  <c r="J111" i="7" s="1"/>
  <c r="I109" i="7"/>
  <c r="J109" i="7" s="1"/>
  <c r="I107" i="7"/>
  <c r="J107" i="7" s="1"/>
  <c r="I105" i="7"/>
  <c r="J105" i="7" s="1"/>
  <c r="I103" i="7"/>
  <c r="J103" i="7" s="1"/>
  <c r="I101" i="7"/>
  <c r="J101" i="7" s="1"/>
  <c r="I99" i="7"/>
  <c r="J99" i="7" s="1"/>
  <c r="I97" i="7"/>
  <c r="J97" i="7" s="1"/>
  <c r="I95" i="7"/>
  <c r="J95" i="7" s="1"/>
  <c r="I93" i="7"/>
  <c r="J93" i="7" s="1"/>
  <c r="I91" i="7"/>
  <c r="J91" i="7" s="1"/>
  <c r="I89" i="7"/>
  <c r="J89" i="7" s="1"/>
  <c r="I87" i="7"/>
  <c r="J87" i="7" s="1"/>
  <c r="I85" i="7"/>
  <c r="J85" i="7" s="1"/>
  <c r="I83" i="7"/>
  <c r="J83" i="7" s="1"/>
  <c r="I81" i="7"/>
  <c r="J81" i="7" s="1"/>
  <c r="I79" i="7"/>
  <c r="J79" i="7" s="1"/>
  <c r="I72" i="7"/>
  <c r="J72" i="7" s="1"/>
  <c r="I70" i="7"/>
  <c r="J70" i="7" s="1"/>
  <c r="I68" i="7"/>
  <c r="J68" i="7" s="1"/>
  <c r="G64" i="7"/>
  <c r="I60" i="7"/>
  <c r="J60" i="7" s="1"/>
  <c r="I56" i="7"/>
  <c r="J56" i="7" s="1"/>
  <c r="I52" i="7"/>
  <c r="J52" i="7" s="1"/>
  <c r="I46" i="7"/>
  <c r="J46" i="7" s="1"/>
  <c r="I43" i="7"/>
  <c r="J43" i="7" s="1"/>
  <c r="G22" i="13" l="1"/>
  <c r="G25" i="13"/>
  <c r="G24" i="13"/>
  <c r="G26" i="13"/>
  <c r="H27" i="13"/>
  <c r="G21" i="13"/>
  <c r="G27" i="13"/>
  <c r="H22" i="13"/>
  <c r="H28" i="13"/>
  <c r="G23" i="13"/>
  <c r="G29" i="13"/>
  <c r="H23" i="13"/>
  <c r="G30" i="13"/>
  <c r="H24" i="13"/>
  <c r="H30" i="13"/>
  <c r="H21" i="13"/>
  <c r="H26" i="13"/>
  <c r="H29" i="13"/>
  <c r="H25" i="13"/>
  <c r="H31" i="13"/>
  <c r="G31" i="13"/>
  <c r="G32" i="13"/>
  <c r="I37" i="7"/>
  <c r="J37" i="7" s="1"/>
  <c r="L21" i="13" l="1"/>
  <c r="L20" i="13"/>
  <c r="L19" i="13"/>
  <c r="L18" i="13"/>
  <c r="L17" i="13"/>
  <c r="L16" i="13"/>
  <c r="L15" i="13"/>
  <c r="L14" i="13"/>
  <c r="L13" i="13"/>
  <c r="L28" i="13" l="1"/>
  <c r="L29" i="13"/>
  <c r="L30" i="13"/>
  <c r="L31" i="13"/>
  <c r="L32" i="13"/>
  <c r="L33" i="13"/>
  <c r="L34" i="13"/>
  <c r="L35" i="13"/>
  <c r="L36" i="13"/>
  <c r="L37" i="13"/>
  <c r="L26" i="13"/>
  <c r="L27" i="13"/>
  <c r="M27" i="13" l="1"/>
  <c r="M28" i="13"/>
  <c r="M29" i="13"/>
  <c r="M30" i="13"/>
  <c r="M31" i="13"/>
  <c r="M32" i="13"/>
  <c r="M33" i="13"/>
  <c r="M34" i="13"/>
  <c r="M35" i="13"/>
  <c r="M36" i="13"/>
  <c r="M37" i="13"/>
  <c r="M26" i="13"/>
  <c r="L9" i="13" l="1"/>
  <c r="L8" i="13" l="1"/>
  <c r="L7" i="13"/>
  <c r="L6" i="13"/>
  <c r="M25" i="13" l="1"/>
  <c r="L25" i="13"/>
  <c r="H7" i="13" l="1"/>
  <c r="G7" i="13"/>
  <c r="G10" i="13" l="1"/>
  <c r="L5" i="13"/>
  <c r="H10" i="13"/>
  <c r="G11" i="13"/>
  <c r="H11" i="13"/>
  <c r="G12" i="13"/>
  <c r="H12" i="13"/>
  <c r="G13" i="13"/>
  <c r="H13" i="13"/>
  <c r="G14" i="13"/>
  <c r="H14" i="13"/>
  <c r="G15" i="13"/>
  <c r="H15" i="13"/>
  <c r="G16" i="13"/>
  <c r="H16" i="13"/>
  <c r="G17" i="13"/>
  <c r="H17" i="13"/>
  <c r="G18" i="13"/>
  <c r="H18" i="13"/>
  <c r="H9" i="13"/>
  <c r="G9" i="13"/>
  <c r="C5" i="13" l="1"/>
  <c r="H8" i="13"/>
  <c r="M9" i="13" l="1"/>
  <c r="M21" i="13"/>
  <c r="M18" i="13"/>
  <c r="M16" i="13"/>
  <c r="M14" i="13"/>
  <c r="M20" i="13"/>
  <c r="M19" i="13"/>
  <c r="M17" i="13"/>
  <c r="M15" i="13"/>
  <c r="M13" i="13"/>
  <c r="M5" i="13"/>
  <c r="M8" i="13"/>
  <c r="M6" i="13"/>
  <c r="M7" i="13"/>
  <c r="G8" i="13"/>
</calcChain>
</file>

<file path=xl/sharedStrings.xml><?xml version="1.0" encoding="utf-8"?>
<sst xmlns="http://schemas.openxmlformats.org/spreadsheetml/2006/main" count="209" uniqueCount="156">
  <si>
    <t>MALZEMENİN CİNSİ</t>
  </si>
  <si>
    <t>MİKTAR</t>
  </si>
  <si>
    <t>BİRİM</t>
  </si>
  <si>
    <t>MARKA MODEL</t>
  </si>
  <si>
    <t xml:space="preserve">MALZEME </t>
  </si>
  <si>
    <t>İŞÇİLİK</t>
  </si>
  <si>
    <t>FİYAT TEKLİFİ</t>
  </si>
  <si>
    <t>REVİZYON TARİHİ</t>
  </si>
  <si>
    <t>İCMAL TABLOSU</t>
  </si>
  <si>
    <t xml:space="preserve">FİYAT </t>
  </si>
  <si>
    <t>GENEL TOPLAM :</t>
  </si>
  <si>
    <t>TİCARİ AÇIKLAMALAR</t>
  </si>
  <si>
    <t>SEVKİYAT TÜRÜ</t>
  </si>
  <si>
    <t xml:space="preserve">TESLİM TARİHİ  </t>
  </si>
  <si>
    <t>TESLİM YERİ</t>
  </si>
  <si>
    <t xml:space="preserve">ÜRÜN TEMİNİ </t>
  </si>
  <si>
    <t xml:space="preserve">GEÇERLİLİK  </t>
  </si>
  <si>
    <t>ÖDEME</t>
  </si>
  <si>
    <t>GEÇERLİ KUR</t>
  </si>
  <si>
    <t>GARANTİ</t>
  </si>
  <si>
    <t>SİPARİŞ ONAYI</t>
  </si>
  <si>
    <t>ONAYLAYAN</t>
  </si>
  <si>
    <t>ONAY TEYİTİ - AÇIKLAMA</t>
  </si>
  <si>
    <t>İMZA &amp; KAŞE</t>
  </si>
  <si>
    <t>1$</t>
  </si>
  <si>
    <t>$</t>
  </si>
  <si>
    <t>€</t>
  </si>
  <si>
    <t xml:space="preserve">Türk Lirası </t>
  </si>
  <si>
    <r>
      <t>Türk Lirası (</t>
    </r>
    <r>
      <rPr>
        <b/>
        <sz val="11"/>
        <color theme="1"/>
        <rFont val="Arial Tur"/>
        <charset val="162"/>
      </rPr>
      <t>₺</t>
    </r>
    <r>
      <rPr>
        <b/>
        <sz val="9.35"/>
        <color theme="1"/>
        <rFont val="Calibri"/>
        <family val="2"/>
        <charset val="162"/>
      </rPr>
      <t>)</t>
    </r>
  </si>
  <si>
    <t>6"</t>
  </si>
  <si>
    <t>5"</t>
  </si>
  <si>
    <t>4"</t>
  </si>
  <si>
    <t>3"</t>
  </si>
  <si>
    <t>2"</t>
  </si>
  <si>
    <t>11/2"</t>
  </si>
  <si>
    <t>11/4"</t>
  </si>
  <si>
    <t>1"</t>
  </si>
  <si>
    <t>3/4"</t>
  </si>
  <si>
    <t>1/2"</t>
  </si>
  <si>
    <t>21/2"</t>
  </si>
  <si>
    <t>8"</t>
  </si>
  <si>
    <t>ad</t>
  </si>
  <si>
    <t>FIRE PROTECTION SYSTEMS</t>
  </si>
  <si>
    <t>TEKLİF NO :</t>
  </si>
  <si>
    <t xml:space="preserve">TELEFON/PHONE      </t>
  </si>
  <si>
    <t xml:space="preserve">İLGİLİ/RELATED BY          </t>
  </si>
  <si>
    <t xml:space="preserve">FİRMA/COMPANY             </t>
  </si>
  <si>
    <t xml:space="preserve">E-POSTA/@MAIL      </t>
  </si>
  <si>
    <t>GÖNDEREN/SEND BY</t>
  </si>
  <si>
    <t>E-POSTA/@-MAIL</t>
  </si>
  <si>
    <t>TELEFON/PHONE</t>
  </si>
  <si>
    <t>Karayolu</t>
  </si>
  <si>
    <t>Siparişi onayı tarihinde netleştirilecektir.</t>
  </si>
  <si>
    <t>ONAYLAR</t>
  </si>
  <si>
    <t>NO</t>
  </si>
  <si>
    <t>15 Gün</t>
  </si>
  <si>
    <t>Sipariş onayı aşamasında netleştirilecektir.</t>
  </si>
  <si>
    <t>TEKLİF ESASLARI</t>
  </si>
  <si>
    <t>İş kapsamında malzemelerin temini, nakliyesi, montaj, test ve devreye alma tarafımıza aittir.</t>
  </si>
  <si>
    <t xml:space="preserve">Şantiyede çalışacak personellerimizin sosyal ihtiyaçlarının karşılanması şirketimiz </t>
  </si>
  <si>
    <t>sorumluluğundadır.</t>
  </si>
  <si>
    <t>Montajı tamamlanan sistemler hakkında uygulamalı ve teorik kullanıcı eğitimi tarafımızdan</t>
  </si>
  <si>
    <t>verilecektir</t>
  </si>
  <si>
    <t xml:space="preserve">Sistemin kurulumu ve devreye alınması esnasında gerekli su, elektrik, aydınlatma temini </t>
  </si>
  <si>
    <t>işveren sorumluluğundadır.</t>
  </si>
  <si>
    <t>Malzemeler için depo alanı / yeri işveren tarafından talep edilecektir.</t>
  </si>
  <si>
    <t xml:space="preserve">Ürünler, fabrikasyon hatalarına karşı 2 (iki) yıl; montaj hizmetimiz, 1 (bir) yıl garanti </t>
  </si>
  <si>
    <t>kapsamındadır</t>
  </si>
  <si>
    <t>Ödemelerdeki gecikmelerde aylık %5 vade farkı fatura edilir.</t>
  </si>
  <si>
    <t>ile kabul edilebilir. Aksi hâlde, teklif toplam bedelinin %30 tutarı fatura edilecektir.</t>
  </si>
  <si>
    <t>Devreye alma işlemleri için, işverenin sorumluluğunda olan tüm eksiklerin tamamlanmış olması</t>
  </si>
  <si>
    <t>gerekmektedir.</t>
  </si>
  <si>
    <t>Doğal afetler nedeniyle oluşacak zararlarda garanti kapsamı geçerliliği bulunmamaktadır.</t>
  </si>
  <si>
    <t>türlü sebepler de dahil olmak fakat bunlarla sınırlı olmamak üzere mücbir sebep dolayısıyla</t>
  </si>
  <si>
    <t xml:space="preserve">ortaya çıkan gecikme veya söz konusu ürünler veya hizmetlerin teslim edilmemesinden </t>
  </si>
  <si>
    <t>kaynaklanan zararlardan sorumlu değildir.</t>
  </si>
  <si>
    <t>Satış Hükümleri Türk Hukuku'na tabi olup, buradan doğacak her türlü uyuşmazlık Türkiye</t>
  </si>
  <si>
    <t>Cumhuriyeti İstanbul Mahkemeleri ve İcra Daireleri tarafından çözülecektir.</t>
  </si>
  <si>
    <t xml:space="preserve">Firmamız tarafından kurulan sistemlere, yetkili olmayan personel veya kuruluşlar tarafından </t>
  </si>
  <si>
    <t>müdahale edilmesi durumunda, garanti şartı ortadan kalkacaktır.</t>
  </si>
  <si>
    <t xml:space="preserve">Fiyat teklifimiz anahtar teslim fiyat sözleşme usulüdür. % 10 İş artış durumunda, birim fiyatlarımız </t>
  </si>
  <si>
    <t>esas alınarak hakediş düzenlenir.</t>
  </si>
  <si>
    <t>Fiyatlarımız € /(EURO )'dir.</t>
  </si>
  <si>
    <t>İnşai İşler &amp; Sızdırmazlık elemanları ( kazı-kapama,betonarme,Karot delimi,beton kesme,Yangın durdurucu harç,mastik,köpük vs. ) iş kapsamımızda değildir.</t>
  </si>
  <si>
    <t>Türkiye - Kemalpaşa İZMİR</t>
  </si>
  <si>
    <t>TSE,UL / FM onaylı</t>
  </si>
  <si>
    <t>PROJE KOD</t>
  </si>
  <si>
    <r>
      <t xml:space="preserve">Tarafınızdan onaylanmış siparişlerinizin iptal edilmesi, </t>
    </r>
    <r>
      <rPr>
        <u/>
        <sz val="11"/>
        <color theme="1"/>
        <rFont val="Aptos Narrow"/>
        <family val="2"/>
      </rPr>
      <t>aynı gün içerisinde yazılı açıklamanız</t>
    </r>
  </si>
  <si>
    <t>500 TL/m³ tutarında aylık stoklama ücreti talep etme hakkına sahiptir.</t>
  </si>
  <si>
    <r>
      <t xml:space="preserve">Fabrikasyon hatalı ürünler için, yeni ürün temini </t>
    </r>
    <r>
      <rPr>
        <b/>
        <sz val="11"/>
        <color theme="3" tint="0.39997558519241921"/>
        <rFont val="Aptos Narrow"/>
        <family val="2"/>
      </rPr>
      <t>FIRMA-B</t>
    </r>
    <r>
      <rPr>
        <sz val="11"/>
        <color theme="1"/>
        <rFont val="Aptos Narrow"/>
        <family val="2"/>
      </rPr>
      <t xml:space="preserve"> tarafından sağlanacaktır.</t>
    </r>
  </si>
  <si>
    <r>
      <rPr>
        <b/>
        <sz val="11"/>
        <color theme="3" tint="0.39997558519241921"/>
        <rFont val="Aptos Narrow"/>
        <family val="2"/>
      </rPr>
      <t>FIRMA-B</t>
    </r>
    <r>
      <rPr>
        <sz val="11"/>
        <color theme="1"/>
        <rFont val="Aptos Narrow"/>
        <family val="2"/>
      </rPr>
      <t xml:space="preserve"> Doğal afetler ve olağan üstü durumlarda veya kendi kontrolü dışında gerçekleşen her </t>
    </r>
  </si>
  <si>
    <r>
      <t>Yazılı olarak 30 iş gününden fazla süre ile erteleme talep edilen sevkiyatlar için,</t>
    </r>
    <r>
      <rPr>
        <b/>
        <sz val="11"/>
        <color theme="1"/>
        <rFont val="Aptos Narrow"/>
        <family val="2"/>
      </rPr>
      <t xml:space="preserve"> </t>
    </r>
    <r>
      <rPr>
        <b/>
        <sz val="11"/>
        <color theme="3" tint="0.39997558519241921"/>
        <rFont val="Aptos Narrow"/>
        <family val="2"/>
      </rPr>
      <t>FIRMA-B</t>
    </r>
  </si>
  <si>
    <r>
      <rPr>
        <sz val="11"/>
        <color theme="1"/>
        <rFont val="Aptos Narrow"/>
        <family val="2"/>
      </rPr>
      <t xml:space="preserve">ÖRNEK Mah. ÖRNEK Sk. No:0/0 </t>
    </r>
    <r>
      <rPr>
        <b/>
        <sz val="11"/>
        <color theme="1"/>
        <rFont val="Aptos Narrow"/>
        <family val="2"/>
      </rPr>
      <t xml:space="preserve"> </t>
    </r>
    <r>
      <rPr>
        <b/>
        <sz val="8"/>
        <color theme="1"/>
        <rFont val="Arial"/>
        <family val="2"/>
        <charset val="162"/>
      </rPr>
      <t xml:space="preserve">
</t>
    </r>
    <r>
      <rPr>
        <b/>
        <sz val="11"/>
        <color theme="1"/>
        <rFont val="Aptos Narrow"/>
        <family val="2"/>
      </rPr>
      <t xml:space="preserve">İLÇE-ÖRNEK- İstanbul / TURKEY  </t>
    </r>
    <r>
      <rPr>
        <sz val="11"/>
        <color theme="1"/>
        <rFont val="Aptos Narrow"/>
        <family val="2"/>
      </rPr>
      <t xml:space="preserve"> </t>
    </r>
    <r>
      <rPr>
        <sz val="8"/>
        <color theme="1"/>
        <rFont val="Arial"/>
        <family val="2"/>
        <charset val="162"/>
      </rPr>
      <t xml:space="preserve">                                                                                                         </t>
    </r>
    <r>
      <rPr>
        <b/>
        <sz val="11"/>
        <color theme="1" tint="0.249977111117893"/>
        <rFont val="Aptos Narrow"/>
        <family val="2"/>
      </rPr>
      <t xml:space="preserve">www.firma-b.example </t>
    </r>
    <r>
      <rPr>
        <sz val="11"/>
        <color theme="1" tint="0.249977111117893"/>
        <rFont val="Aptos Narrow"/>
        <family val="2"/>
      </rPr>
      <t xml:space="preserve"> </t>
    </r>
    <r>
      <rPr>
        <sz val="8"/>
        <color theme="1"/>
        <rFont val="Arial"/>
        <family val="2"/>
        <charset val="162"/>
      </rPr>
      <t xml:space="preserve">    </t>
    </r>
  </si>
  <si>
    <t>Emre BAŞARAN</t>
  </si>
  <si>
    <t xml:space="preserve"> iletisim@firma-b.example</t>
  </si>
  <si>
    <t>: +90 000 000 00 00</t>
  </si>
  <si>
    <t>FIRMA-B MÜHENDİSLİK</t>
  </si>
  <si>
    <t>EMRE BAŞARAN</t>
  </si>
  <si>
    <t>MALZ. BİRİM FİYAT ($)</t>
  </si>
  <si>
    <t>MALZ. TOPLAM FİYAT ($)</t>
  </si>
  <si>
    <t>İŞÇİLİK BİRİM FİYAT $)</t>
  </si>
  <si>
    <t>İŞÇİLİK TOPLAM FİYAT ($)</t>
  </si>
  <si>
    <t>USD</t>
  </si>
  <si>
    <t>EUR</t>
  </si>
  <si>
    <t>MALZ. KAR</t>
  </si>
  <si>
    <t>BORU KAR</t>
  </si>
  <si>
    <t>POMPA KAR</t>
  </si>
  <si>
    <t xml:space="preserve"> NO</t>
  </si>
  <si>
    <t>MALZ B. FİYAT</t>
  </si>
  <si>
    <t>MALZ. T FİYAT</t>
  </si>
  <si>
    <t>İŞÇİLİK B. FİYAT</t>
  </si>
  <si>
    <t>İŞÇİLİK T. FİYAT</t>
  </si>
  <si>
    <t>İŞÇİLİK KAR</t>
  </si>
  <si>
    <t>m</t>
  </si>
  <si>
    <t>TS EN 10255 FİRESİST</t>
  </si>
  <si>
    <t>TS EN 10255 GALVANİZ BORULAR</t>
  </si>
  <si>
    <t xml:space="preserve">       PORTAKAL AHŞAP ÜRÜNLERİ</t>
  </si>
  <si>
    <t xml:space="preserve">          YANGIN SÖNDÜRME SİSTEMLERİ RENOVASYON</t>
  </si>
  <si>
    <t>PORTAKAL AHŞAP</t>
  </si>
  <si>
    <t xml:space="preserve">POMPA DAİRESİ RENOVASYONU </t>
  </si>
  <si>
    <t xml:space="preserve">KOLLEKTÖRE UYGUN SUPPORT </t>
  </si>
  <si>
    <t>200 MM X 200 MM X5 MM Taban Plakası</t>
  </si>
  <si>
    <t>100 MM X 100 MM X 5 MM U Demir</t>
  </si>
  <si>
    <t xml:space="preserve">KOLLKTÖRDEN ÇIKAN ANA HATLARA UYGUN SUPPORT </t>
  </si>
  <si>
    <t>8''-10''  U BOLT</t>
  </si>
  <si>
    <t>M10 Klipsli Çelik Dübel</t>
  </si>
  <si>
    <t>YANGIN SÖNDÜRME SİSTEMİ RENOVASYONU</t>
  </si>
  <si>
    <t>4''-6''  U BOLT</t>
  </si>
  <si>
    <t>POMPANIN ZEMİNE SABİTLENMESİ</t>
  </si>
  <si>
    <t>M16X145 Klipsli Çelik Dübel</t>
  </si>
  <si>
    <t>M 16 Geniş Yanaklı Pul</t>
  </si>
  <si>
    <t>M 16 Somun</t>
  </si>
  <si>
    <t>POMPA DAİRESİ FABRİKA ARASI ANA HATLARA UYGUN SUPPORT</t>
  </si>
  <si>
    <t>FABRİKA İÇİ ANA HATLARA UYGUN SUPPORT</t>
  </si>
  <si>
    <t>4''-6''  AĞIR YÜK KELEPÇESİ</t>
  </si>
  <si>
    <t>SPRİNKLERİN UYGUN SEVİYELERE GETİRİLMESİ</t>
  </si>
  <si>
    <t>1/2 '' Siyah Boru</t>
  </si>
  <si>
    <t>1 /2 '' Siyah Manşon</t>
  </si>
  <si>
    <t>TERAZİDE OLMAYAN SPRİNKLERİN UYGUN HALE GETİRİLMESİ</t>
  </si>
  <si>
    <t xml:space="preserve">1 ADET YANGIN DOLABI BAĞLANTILARININ TAMAMLANMASI </t>
  </si>
  <si>
    <t>KIRMIZI BOYA</t>
  </si>
  <si>
    <t>kg</t>
  </si>
  <si>
    <t>Tiner</t>
  </si>
  <si>
    <t>2'' Siyah Boru</t>
  </si>
  <si>
    <t>2'' Siyah Dirsek</t>
  </si>
  <si>
    <t xml:space="preserve">Sprinkler Bronşmanların kesilmesi, uygun hale getirilip tekrar kaynatılması </t>
  </si>
  <si>
    <t>TOPLAM</t>
  </si>
  <si>
    <t>MALZEME</t>
  </si>
  <si>
    <t>GENEL TOPLAM</t>
  </si>
  <si>
    <t>T25-0121</t>
  </si>
  <si>
    <t>MEHMET BEY</t>
  </si>
  <si>
    <t>Sn MEHMET BEY;</t>
  </si>
  <si>
    <t xml:space="preserve"> Yangın Söndürme Sistemleri için hazırlamış olduğumuz teklifimiz bilgilerinize sunulmaktadır. Teklifimizin olumlu sonuçlanmasını ümit eder, çalışmalarınızda başarılar dileriz.</t>
  </si>
  <si>
    <t xml:space="preserve">Davlumbaz Söndürme Sistemi </t>
  </si>
  <si>
    <t>Sistem 6 aylık periyodik  Bakım Bedeli</t>
  </si>
  <si>
    <t>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</si>
</sst>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\ &quot;)&quot;"/>
    <numFmt numFmtId="165" formatCode="#,##0.00\ [$€-1]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_-[$€-2]\ * #,##0.00_-;\-[$€-2]\ * #,##0.00_-;_-[$€-2]\ * &quot;-&quot;??_-;_-@_-"/>
    <numFmt numFmtId="169" formatCode="#,##0\ [$€-1];[Red]\-#,##0\ [$€-1]"/>
    <numFmt numFmtId="170" formatCode="#,##0.00\ &quot;₺&quot;"/>
    <numFmt numFmtId="171" formatCode="#,##0.00\ [$$-C0C]"/>
    <numFmt numFmtId="172" formatCode="#,##0.00&quot;USD&quot;"/>
    <numFmt numFmtId="173" formatCode="#,##0.00&quot;TL&quot;"/>
    <numFmt numFmtId="175" formatCode="&quot;₺&quot;#,##0.00"/>
  </numFmts>
  <fonts count="97">
    <font>
      <sz val="11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i/>
      <sz val="10"/>
      <color theme="1"/>
      <name val="Arial Narrow"/>
      <family val="2"/>
      <charset val="162"/>
    </font>
    <font>
      <b/>
      <i/>
      <sz val="10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8"/>
      <name val="Arial Tur"/>
      <charset val="162"/>
    </font>
    <font>
      <sz val="10"/>
      <color theme="1"/>
      <name val="Microsoft Tai Le"/>
      <family val="2"/>
    </font>
    <font>
      <sz val="10"/>
      <name val="Arial"/>
      <family val="2"/>
      <charset val="162"/>
    </font>
    <font>
      <sz val="10"/>
      <name val="Arial"/>
      <family val="2"/>
      <charset val="162"/>
    </font>
    <font>
      <b/>
      <sz val="10"/>
      <color rgb="FFFF0000"/>
      <name val="Cambria"/>
      <family val="1"/>
      <charset val="162"/>
      <scheme val="major"/>
    </font>
    <font>
      <b/>
      <sz val="11"/>
      <color theme="1"/>
      <name val="Calibri"/>
      <family val="2"/>
      <charset val="162"/>
      <scheme val="minor"/>
    </font>
    <font>
      <b/>
      <u/>
      <sz val="12"/>
      <color rgb="FFFF0000"/>
      <name val="Calibri"/>
      <family val="2"/>
      <charset val="162"/>
      <scheme val="minor"/>
    </font>
    <font>
      <sz val="11"/>
      <color indexed="8"/>
      <name val="Calibri"/>
      <family val="2"/>
    </font>
    <font>
      <b/>
      <sz val="20"/>
      <color indexed="8"/>
      <name val="Calibri"/>
      <family val="2"/>
      <charset val="162"/>
    </font>
    <font>
      <b/>
      <sz val="18"/>
      <color indexed="8"/>
      <name val="Calibri"/>
      <family val="2"/>
      <charset val="162"/>
    </font>
    <font>
      <b/>
      <sz val="16"/>
      <color indexed="8"/>
      <name val="Calibri"/>
      <family val="2"/>
      <charset val="162"/>
    </font>
    <font>
      <sz val="16"/>
      <color indexed="8"/>
      <name val="Calibri"/>
      <family val="2"/>
    </font>
    <font>
      <sz val="10"/>
      <name val="Arial Tur"/>
      <charset val="162"/>
    </font>
    <font>
      <sz val="10"/>
      <name val="Helv"/>
      <charset val="204"/>
    </font>
    <font>
      <sz val="10"/>
      <name val="Arial"/>
      <family val="2"/>
    </font>
    <font>
      <sz val="10"/>
      <color indexed="8"/>
      <name val="Arial Tur"/>
    </font>
    <font>
      <sz val="10"/>
      <color indexed="62"/>
      <name val="Arial Tur"/>
    </font>
    <font>
      <sz val="10"/>
      <color theme="1"/>
      <name val="Arial"/>
      <family val="2"/>
      <charset val="162"/>
    </font>
    <font>
      <b/>
      <sz val="20"/>
      <name val="Arial"/>
      <family val="2"/>
      <charset val="162"/>
    </font>
    <font>
      <b/>
      <sz val="9"/>
      <name val="Arial Tur"/>
      <charset val="162"/>
    </font>
    <font>
      <sz val="9"/>
      <name val="Arial Tur"/>
    </font>
    <font>
      <b/>
      <sz val="11"/>
      <color theme="1"/>
      <name val="Arial"/>
      <family val="2"/>
      <charset val="162"/>
    </font>
    <font>
      <sz val="9"/>
      <color theme="1"/>
      <name val="Arial"/>
      <family val="2"/>
      <charset val="162"/>
    </font>
    <font>
      <b/>
      <i/>
      <sz val="10"/>
      <color theme="1"/>
      <name val="Arial"/>
      <family val="2"/>
      <charset val="162"/>
    </font>
    <font>
      <b/>
      <sz val="14"/>
      <color theme="1"/>
      <name val="Arial"/>
      <family val="2"/>
      <charset val="162"/>
    </font>
    <font>
      <i/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10"/>
      <color theme="1"/>
      <name val="Arial Tur"/>
      <charset val="162"/>
    </font>
    <font>
      <b/>
      <sz val="10"/>
      <name val="Arial Tur"/>
      <charset val="162"/>
    </font>
    <font>
      <b/>
      <sz val="11"/>
      <color theme="1"/>
      <name val="Arial Tur"/>
      <charset val="162"/>
    </font>
    <font>
      <b/>
      <sz val="9.35"/>
      <color theme="1"/>
      <name val="Calibri"/>
      <family val="2"/>
      <charset val="162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i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11"/>
      <color rgb="FFFFFF00"/>
      <name val="Calibri"/>
      <family val="2"/>
      <charset val="162"/>
      <scheme val="minor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162"/>
    </font>
    <font>
      <sz val="10"/>
      <name val="Arial Tur"/>
      <family val="2"/>
      <charset val="162"/>
    </font>
    <font>
      <b/>
      <u/>
      <sz val="12"/>
      <color theme="1" tint="0.249977111117893"/>
      <name val="Calibri"/>
      <family val="2"/>
      <charset val="162"/>
      <scheme val="minor"/>
    </font>
    <font>
      <b/>
      <u/>
      <sz val="11"/>
      <color theme="1" tint="0.249977111117893"/>
      <name val="Calibri"/>
      <family val="2"/>
      <charset val="162"/>
      <scheme val="minor"/>
    </font>
    <font>
      <sz val="10"/>
      <color theme="0"/>
      <name val="Microsoft Tai Le"/>
      <family val="2"/>
    </font>
    <font>
      <b/>
      <sz val="12"/>
      <color theme="1" tint="0.1499984740745262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6"/>
      <color theme="1" tint="0.249977111117893"/>
      <name val="Arial Narrow"/>
      <family val="2"/>
      <charset val="162"/>
    </font>
    <font>
      <b/>
      <sz val="8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8"/>
      <name val="Arial Nova Cond"/>
      <family val="2"/>
      <charset val="162"/>
    </font>
    <font>
      <b/>
      <u val="double"/>
      <sz val="24"/>
      <color rgb="FF6D6D6D"/>
      <name val="Calibri"/>
      <family val="2"/>
      <charset val="162"/>
      <scheme val="minor"/>
    </font>
    <font>
      <sz val="10"/>
      <name val="Microsoft Tai Le"/>
      <family val="2"/>
    </font>
    <font>
      <b/>
      <i/>
      <sz val="10"/>
      <color rgb="FFC00000"/>
      <name val="Arial Narrow"/>
      <family val="2"/>
      <charset val="162"/>
    </font>
    <font>
      <b/>
      <sz val="11"/>
      <color rgb="FFC00000"/>
      <name val="Calibri"/>
      <family val="2"/>
      <charset val="162"/>
      <scheme val="minor"/>
    </font>
    <font>
      <b/>
      <sz val="11"/>
      <color rgb="FFFFFF00"/>
      <name val="Calibri"/>
      <family val="2"/>
      <charset val="162"/>
      <scheme val="minor"/>
    </font>
    <font>
      <b/>
      <i/>
      <sz val="10"/>
      <color rgb="FFFFFF00"/>
      <name val="Arial Narrow"/>
      <family val="2"/>
      <charset val="162"/>
    </font>
    <font>
      <b/>
      <sz val="12"/>
      <name val="Calibri"/>
      <family val="2"/>
      <charset val="162"/>
      <scheme val="minor"/>
    </font>
    <font>
      <b/>
      <sz val="12"/>
      <color theme="1" tint="0.14999847407452621"/>
      <name val="Arial Narrow"/>
      <family val="2"/>
      <charset val="162"/>
    </font>
    <font>
      <b/>
      <sz val="17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3" tint="0.39997558519241921"/>
      <name val="Aptos Narrow"/>
      <family val="2"/>
    </font>
    <font>
      <b/>
      <sz val="13"/>
      <color theme="3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1"/>
      <color theme="1" tint="0.249977111117893"/>
      <name val="Aptos Narrow"/>
      <family val="2"/>
    </font>
    <font>
      <sz val="11"/>
      <color theme="1" tint="0.249977111117893"/>
      <name val="Aptos Narrow"/>
      <family val="2"/>
    </font>
    <font>
      <b/>
      <sz val="11"/>
      <name val="Aptos Narrow"/>
      <family val="2"/>
    </font>
    <font>
      <b/>
      <u/>
      <sz val="11"/>
      <color theme="1" tint="0.14999847407452621"/>
      <name val="Aptos Narrow"/>
      <family val="2"/>
    </font>
    <font>
      <b/>
      <sz val="12"/>
      <color theme="1" tint="0.249977111117893"/>
      <name val="Aptos Narrow"/>
      <family val="2"/>
    </font>
    <font>
      <b/>
      <sz val="12"/>
      <color indexed="62"/>
      <name val="Aptos Narrow"/>
      <family val="2"/>
    </font>
    <font>
      <i/>
      <sz val="12"/>
      <color theme="1"/>
      <name val="Aptos Narrow"/>
      <family val="2"/>
    </font>
    <font>
      <b/>
      <sz val="12"/>
      <name val="Aptos Narrow"/>
      <family val="2"/>
    </font>
    <font>
      <b/>
      <sz val="14"/>
      <name val="Aptos Narrow"/>
      <family val="2"/>
    </font>
    <font>
      <sz val="10"/>
      <name val="Aptos Narrow"/>
      <family val="2"/>
    </font>
    <font>
      <sz val="12"/>
      <color indexed="62"/>
      <name val="Aptos Narrow"/>
      <family val="2"/>
    </font>
    <font>
      <b/>
      <sz val="14"/>
      <color theme="1"/>
      <name val="Aptos Narrow"/>
      <family val="2"/>
    </font>
    <font>
      <b/>
      <sz val="11.5"/>
      <color theme="3" tint="-0.249977111117893"/>
      <name val="Aptos Narrow"/>
      <family val="2"/>
      <charset val="162"/>
    </font>
    <font>
      <i/>
      <sz val="11"/>
      <color theme="1"/>
      <name val="Aptos Narrow"/>
      <family val="2"/>
    </font>
    <font>
      <b/>
      <sz val="12"/>
      <color rgb="FFFFFF00"/>
      <name val="Aptos Narrow"/>
      <family val="2"/>
    </font>
    <font>
      <sz val="9"/>
      <color theme="1"/>
      <name val="Aptos Narrow"/>
      <family val="2"/>
    </font>
    <font>
      <b/>
      <sz val="10"/>
      <color theme="1"/>
      <name val="Aptos Narrow"/>
      <family val="2"/>
    </font>
    <font>
      <sz val="12"/>
      <color theme="0"/>
      <name val="Microsoft Tai Le"/>
      <family val="2"/>
    </font>
    <font>
      <sz val="12"/>
      <name val="Microsoft Tai Le"/>
      <family val="2"/>
    </font>
    <font>
      <sz val="12"/>
      <color theme="1"/>
      <name val="Microsoft Tai Le"/>
      <family val="2"/>
    </font>
    <font>
      <b/>
      <i/>
      <sz val="14"/>
      <name val="Aptos Narrow"/>
      <family val="2"/>
    </font>
    <font>
      <b/>
      <sz val="12"/>
      <color theme="1"/>
      <name val="Aptos Narrow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9">
    <xf numFmtId="0" fontId="0" fillId="0" borderId="0"/>
    <xf numFmtId="0" fontId="5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166" fontId="15" fillId="0" borderId="0" applyFont="0" applyFill="0" applyBorder="0" applyAlignment="0" applyProtection="0"/>
    <xf numFmtId="0" fontId="7" fillId="0" borderId="0"/>
    <xf numFmtId="0" fontId="10" fillId="0" borderId="0"/>
    <xf numFmtId="0" fontId="20" fillId="0" borderId="0"/>
    <xf numFmtId="167" fontId="15" fillId="0" borderId="0" applyFont="0" applyFill="0" applyBorder="0" applyAlignment="0" applyProtection="0"/>
    <xf numFmtId="0" fontId="22" fillId="0" borderId="0"/>
    <xf numFmtId="0" fontId="21" fillId="0" borderId="0"/>
    <xf numFmtId="9" fontId="10" fillId="0" borderId="0" applyFont="0" applyFill="0" applyBorder="0" applyAlignment="0" applyProtection="0"/>
    <xf numFmtId="9" fontId="10" fillId="0" borderId="0" applyFill="0" applyBorder="0" applyAlignment="0" applyProtection="0"/>
    <xf numFmtId="9" fontId="1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3" fillId="0" borderId="0"/>
    <xf numFmtId="0" fontId="39" fillId="0" borderId="0"/>
    <xf numFmtId="0" fontId="47" fillId="0" borderId="0"/>
    <xf numFmtId="0" fontId="22" fillId="0" borderId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/>
    <xf numFmtId="0" fontId="7" fillId="0" borderId="0"/>
  </cellStyleXfs>
  <cellXfs count="264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9" fontId="3" fillId="0" borderId="0" xfId="2" applyFont="1" applyAlignment="1">
      <alignment horizontal="center" vertical="top"/>
    </xf>
    <xf numFmtId="0" fontId="15" fillId="0" borderId="0" xfId="19"/>
    <xf numFmtId="0" fontId="17" fillId="0" borderId="0" xfId="19" applyFont="1"/>
    <xf numFmtId="0" fontId="18" fillId="0" borderId="0" xfId="19" applyFont="1"/>
    <xf numFmtId="0" fontId="19" fillId="0" borderId="0" xfId="19" applyFont="1"/>
    <xf numFmtId="0" fontId="24" fillId="0" borderId="0" xfId="32" applyFont="1"/>
    <xf numFmtId="0" fontId="24" fillId="0" borderId="0" xfId="32" applyFont="1" applyAlignment="1">
      <alignment horizontal="center"/>
    </xf>
    <xf numFmtId="0" fontId="25" fillId="0" borderId="0" xfId="32" applyFont="1"/>
    <xf numFmtId="0" fontId="25" fillId="0" borderId="0" xfId="32" applyFont="1" applyAlignment="1">
      <alignment horizontal="center"/>
    </xf>
    <xf numFmtId="0" fontId="26" fillId="0" borderId="0" xfId="32" applyFont="1" applyAlignment="1">
      <alignment vertical="center"/>
    </xf>
    <xf numFmtId="0" fontId="25" fillId="0" borderId="0" xfId="32" applyFont="1" applyAlignment="1">
      <alignment wrapText="1"/>
    </xf>
    <xf numFmtId="0" fontId="27" fillId="0" borderId="0" xfId="32" applyFont="1" applyAlignment="1">
      <alignment horizontal="right" vertical="center"/>
    </xf>
    <xf numFmtId="0" fontId="28" fillId="0" borderId="0" xfId="32" applyFont="1" applyAlignment="1">
      <alignment horizontal="center" vertical="center"/>
    </xf>
    <xf numFmtId="14" fontId="28" fillId="0" borderId="0" xfId="32" applyNumberFormat="1" applyFont="1" applyAlignment="1">
      <alignment horizontal="center" vertical="center"/>
    </xf>
    <xf numFmtId="0" fontId="25" fillId="0" borderId="0" xfId="32" applyFont="1" applyAlignment="1">
      <alignment horizontal="center" wrapText="1"/>
    </xf>
    <xf numFmtId="0" fontId="24" fillId="0" borderId="0" xfId="32" applyFont="1" applyAlignment="1">
      <alignment vertical="center"/>
    </xf>
    <xf numFmtId="0" fontId="29" fillId="0" borderId="0" xfId="32" applyFont="1" applyAlignment="1">
      <alignment vertical="center"/>
    </xf>
    <xf numFmtId="0" fontId="30" fillId="0" borderId="0" xfId="32" applyFont="1" applyAlignment="1">
      <alignment vertical="center" wrapText="1"/>
    </xf>
    <xf numFmtId="0" fontId="31" fillId="0" borderId="0" xfId="32" applyFont="1"/>
    <xf numFmtId="0" fontId="32" fillId="0" borderId="0" xfId="32" applyFont="1" applyAlignment="1">
      <alignment vertical="center" wrapText="1"/>
    </xf>
    <xf numFmtId="0" fontId="33" fillId="0" borderId="0" xfId="32" applyFont="1" applyAlignment="1">
      <alignment horizontal="left" wrapText="1"/>
    </xf>
    <xf numFmtId="0" fontId="34" fillId="0" borderId="0" xfId="32" applyFont="1" applyAlignment="1">
      <alignment horizontal="center" vertical="center"/>
    </xf>
    <xf numFmtId="0" fontId="34" fillId="0" borderId="0" xfId="32" applyFont="1" applyAlignment="1">
      <alignment vertical="center"/>
    </xf>
    <xf numFmtId="0" fontId="34" fillId="0" borderId="0" xfId="32" applyFont="1" applyAlignment="1">
      <alignment horizontal="right" vertical="center"/>
    </xf>
    <xf numFmtId="168" fontId="34" fillId="0" borderId="0" xfId="32" applyNumberFormat="1" applyFont="1"/>
    <xf numFmtId="0" fontId="25" fillId="0" borderId="0" xfId="32" applyFont="1" applyAlignment="1">
      <alignment vertical="center"/>
    </xf>
    <xf numFmtId="0" fontId="25" fillId="0" borderId="0" xfId="32" applyFont="1" applyAlignment="1">
      <alignment vertical="center" wrapText="1"/>
    </xf>
    <xf numFmtId="0" fontId="35" fillId="0" borderId="0" xfId="32" applyFont="1" applyAlignment="1">
      <alignment vertical="center"/>
    </xf>
    <xf numFmtId="166" fontId="25" fillId="0" borderId="0" xfId="20" applyFont="1" applyFill="1" applyBorder="1" applyAlignment="1" applyProtection="1">
      <alignment horizontal="left" vertical="center"/>
      <protection locked="0"/>
    </xf>
    <xf numFmtId="0" fontId="34" fillId="0" borderId="0" xfId="32" applyFont="1" applyAlignment="1" applyProtection="1">
      <alignment vertical="center"/>
      <protection locked="0"/>
    </xf>
    <xf numFmtId="0" fontId="24" fillId="0" borderId="0" xfId="32" applyFont="1" applyAlignment="1">
      <alignment horizontal="center" vertical="center"/>
    </xf>
    <xf numFmtId="0" fontId="8" fillId="0" borderId="0" xfId="32" applyFont="1" applyAlignment="1">
      <alignment vertical="center"/>
    </xf>
    <xf numFmtId="0" fontId="36" fillId="0" borderId="0" xfId="32" applyFont="1" applyAlignment="1">
      <alignment horizontal="center" vertical="center"/>
    </xf>
    <xf numFmtId="169" fontId="13" fillId="0" borderId="0" xfId="0" applyNumberFormat="1" applyFont="1" applyAlignment="1">
      <alignment horizontal="center"/>
    </xf>
    <xf numFmtId="170" fontId="0" fillId="0" borderId="0" xfId="0" applyNumberFormat="1"/>
    <xf numFmtId="170" fontId="13" fillId="0" borderId="0" xfId="0" applyNumberFormat="1" applyFont="1"/>
    <xf numFmtId="170" fontId="13" fillId="0" borderId="2" xfId="0" applyNumberFormat="1" applyFont="1" applyBorder="1"/>
    <xf numFmtId="171" fontId="13" fillId="0" borderId="2" xfId="0" applyNumberFormat="1" applyFont="1" applyBorder="1" applyAlignment="1">
      <alignment horizontal="center"/>
    </xf>
    <xf numFmtId="165" fontId="13" fillId="0" borderId="2" xfId="0" applyNumberFormat="1" applyFont="1" applyBorder="1" applyAlignment="1">
      <alignment horizontal="center"/>
    </xf>
    <xf numFmtId="170" fontId="13" fillId="0" borderId="2" xfId="0" applyNumberFormat="1" applyFont="1" applyBorder="1" applyAlignment="1">
      <alignment horizontal="center"/>
    </xf>
    <xf numFmtId="171" fontId="13" fillId="0" borderId="0" xfId="0" applyNumberFormat="1" applyFont="1"/>
    <xf numFmtId="171" fontId="0" fillId="0" borderId="0" xfId="0" applyNumberFormat="1"/>
    <xf numFmtId="165" fontId="0" fillId="0" borderId="0" xfId="0" applyNumberFormat="1"/>
    <xf numFmtId="0" fontId="13" fillId="0" borderId="0" xfId="0" applyFont="1"/>
    <xf numFmtId="164" fontId="12" fillId="0" borderId="0" xfId="0" applyNumberFormat="1" applyFont="1" applyAlignment="1">
      <alignment horizontal="left" vertical="center"/>
    </xf>
    <xf numFmtId="0" fontId="3" fillId="0" borderId="0" xfId="0" applyFont="1"/>
    <xf numFmtId="0" fontId="1" fillId="3" borderId="0" xfId="0" applyFont="1" applyFill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164" fontId="43" fillId="0" borderId="0" xfId="0" applyNumberFormat="1" applyFont="1" applyAlignment="1">
      <alignment horizontal="center" vertical="center"/>
    </xf>
    <xf numFmtId="0" fontId="24" fillId="0" borderId="12" xfId="32" applyFont="1" applyBorder="1" applyAlignment="1">
      <alignment vertical="center"/>
    </xf>
    <xf numFmtId="0" fontId="24" fillId="0" borderId="18" xfId="32" applyFont="1" applyBorder="1"/>
    <xf numFmtId="166" fontId="25" fillId="0" borderId="18" xfId="20" applyFont="1" applyFill="1" applyBorder="1" applyAlignment="1" applyProtection="1">
      <alignment horizontal="left" vertical="center"/>
      <protection locked="0"/>
    </xf>
    <xf numFmtId="0" fontId="25" fillId="0" borderId="12" xfId="32" applyFont="1" applyBorder="1" applyAlignment="1">
      <alignment vertical="center"/>
    </xf>
    <xf numFmtId="166" fontId="25" fillId="0" borderId="12" xfId="20" applyFont="1" applyFill="1" applyBorder="1" applyAlignment="1" applyProtection="1">
      <alignment horizontal="left" vertical="center"/>
      <protection locked="0"/>
    </xf>
    <xf numFmtId="166" fontId="25" fillId="0" borderId="20" xfId="20" applyFont="1" applyFill="1" applyBorder="1" applyAlignment="1" applyProtection="1">
      <alignment horizontal="left" vertical="center"/>
      <protection locked="0"/>
    </xf>
    <xf numFmtId="164" fontId="44" fillId="0" borderId="0" xfId="0" applyNumberFormat="1" applyFont="1" applyAlignment="1">
      <alignment horizontal="left" vertical="center"/>
    </xf>
    <xf numFmtId="0" fontId="45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vertical="center"/>
    </xf>
    <xf numFmtId="165" fontId="2" fillId="0" borderId="0" xfId="0" applyNumberFormat="1" applyFont="1" applyAlignment="1">
      <alignment vertical="center"/>
    </xf>
    <xf numFmtId="165" fontId="5" fillId="0" borderId="3" xfId="1" applyNumberFormat="1" applyBorder="1" applyAlignment="1">
      <alignment vertical="center"/>
    </xf>
    <xf numFmtId="165" fontId="0" fillId="0" borderId="3" xfId="0" applyNumberFormat="1" applyBorder="1" applyAlignment="1">
      <alignment vertical="center"/>
    </xf>
    <xf numFmtId="165" fontId="13" fillId="0" borderId="1" xfId="0" applyNumberFormat="1" applyFont="1" applyBorder="1" applyAlignment="1">
      <alignment vertical="center"/>
    </xf>
    <xf numFmtId="164" fontId="50" fillId="0" borderId="0" xfId="0" applyNumberFormat="1" applyFont="1" applyAlignment="1">
      <alignment horizontal="left" vertical="center"/>
    </xf>
    <xf numFmtId="164" fontId="51" fillId="0" borderId="0" xfId="0" applyNumberFormat="1" applyFont="1" applyAlignment="1">
      <alignment horizontal="left" vertical="center"/>
    </xf>
    <xf numFmtId="0" fontId="36" fillId="0" borderId="0" xfId="32" applyFont="1" applyAlignment="1">
      <alignment horizontal="right" vertical="center"/>
    </xf>
    <xf numFmtId="165" fontId="46" fillId="0" borderId="0" xfId="0" applyNumberFormat="1" applyFont="1"/>
    <xf numFmtId="165" fontId="46" fillId="0" borderId="0" xfId="0" applyNumberFormat="1" applyFont="1" applyAlignment="1">
      <alignment vertical="center"/>
    </xf>
    <xf numFmtId="165" fontId="46" fillId="0" borderId="1" xfId="0" applyNumberFormat="1" applyFont="1" applyBorder="1" applyAlignment="1">
      <alignment vertical="center"/>
    </xf>
    <xf numFmtId="165" fontId="63" fillId="0" borderId="0" xfId="0" applyNumberFormat="1" applyFont="1"/>
    <xf numFmtId="165" fontId="64" fillId="0" borderId="0" xfId="0" applyNumberFormat="1" applyFont="1" applyAlignment="1">
      <alignment horizontal="center" vertical="top"/>
    </xf>
    <xf numFmtId="165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 vertical="center"/>
    </xf>
    <xf numFmtId="165" fontId="3" fillId="0" borderId="0" xfId="0" applyNumberFormat="1" applyFont="1" applyAlignment="1">
      <alignment horizontal="right" vertical="top"/>
    </xf>
    <xf numFmtId="165" fontId="61" fillId="0" borderId="0" xfId="0" applyNumberFormat="1" applyFont="1" applyAlignment="1">
      <alignment horizontal="right" vertical="top"/>
    </xf>
    <xf numFmtId="165" fontId="62" fillId="0" borderId="0" xfId="0" applyNumberFormat="1" applyFont="1" applyAlignment="1">
      <alignment horizontal="right"/>
    </xf>
    <xf numFmtId="165" fontId="13" fillId="0" borderId="0" xfId="0" applyNumberFormat="1" applyFont="1" applyAlignment="1">
      <alignment horizontal="right" vertical="center"/>
    </xf>
    <xf numFmtId="165" fontId="14" fillId="0" borderId="0" xfId="1" applyNumberFormat="1" applyFont="1" applyAlignment="1">
      <alignment horizontal="right" vertical="center"/>
    </xf>
    <xf numFmtId="165" fontId="5" fillId="0" borderId="0" xfId="1" applyNumberFormat="1" applyAlignment="1">
      <alignment horizontal="right" vertical="center"/>
    </xf>
    <xf numFmtId="165" fontId="3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0" borderId="0" xfId="33" applyFont="1" applyAlignment="1">
      <alignment vertical="center"/>
    </xf>
    <xf numFmtId="0" fontId="13" fillId="0" borderId="0" xfId="33" applyFont="1" applyAlignment="1">
      <alignment horizontal="center" vertical="center"/>
    </xf>
    <xf numFmtId="0" fontId="0" fillId="0" borderId="0" xfId="33" applyFont="1" applyAlignment="1">
      <alignment horizontal="left" vertical="center"/>
    </xf>
    <xf numFmtId="0" fontId="66" fillId="0" borderId="0" xfId="32" applyFont="1" applyAlignment="1">
      <alignment horizontal="right" vertical="center"/>
    </xf>
    <xf numFmtId="0" fontId="66" fillId="0" borderId="0" xfId="32" applyFont="1" applyAlignment="1">
      <alignment horizontal="center" vertical="center"/>
    </xf>
    <xf numFmtId="0" fontId="53" fillId="0" borderId="0" xfId="0" applyFont="1" applyAlignment="1">
      <alignment horizontal="left"/>
    </xf>
    <xf numFmtId="165" fontId="13" fillId="0" borderId="5" xfId="0" applyNumberFormat="1" applyFont="1" applyBorder="1" applyAlignment="1">
      <alignment horizontal="center" vertical="center"/>
    </xf>
    <xf numFmtId="0" fontId="68" fillId="0" borderId="0" xfId="33" applyFont="1" applyAlignment="1">
      <alignment horizontal="left" vertical="center"/>
    </xf>
    <xf numFmtId="0" fontId="68" fillId="0" borderId="0" xfId="33" applyFont="1" applyAlignment="1">
      <alignment vertical="center"/>
    </xf>
    <xf numFmtId="0" fontId="68" fillId="0" borderId="0" xfId="32" applyFont="1" applyAlignment="1">
      <alignment horizontal="left" vertical="center"/>
    </xf>
    <xf numFmtId="0" fontId="70" fillId="0" borderId="0" xfId="33" applyFont="1" applyAlignment="1">
      <alignment horizontal="center" vertical="center"/>
    </xf>
    <xf numFmtId="0" fontId="70" fillId="0" borderId="0" xfId="33" applyFont="1" applyAlignment="1">
      <alignment vertical="center"/>
    </xf>
    <xf numFmtId="0" fontId="77" fillId="2" borderId="29" xfId="32" applyFont="1" applyFill="1" applyBorder="1" applyAlignment="1">
      <alignment horizontal="left" vertical="center"/>
    </xf>
    <xf numFmtId="0" fontId="77" fillId="2" borderId="30" xfId="32" applyFont="1" applyFill="1" applyBorder="1" applyAlignment="1">
      <alignment horizontal="left" vertical="center"/>
    </xf>
    <xf numFmtId="0" fontId="78" fillId="2" borderId="31" xfId="1" applyFont="1" applyFill="1" applyBorder="1" applyAlignment="1">
      <alignment horizontal="left" vertical="center"/>
    </xf>
    <xf numFmtId="0" fontId="65" fillId="3" borderId="14" xfId="32" applyFont="1" applyFill="1" applyBorder="1" applyAlignment="1">
      <alignment horizontal="center" vertical="center"/>
    </xf>
    <xf numFmtId="0" fontId="65" fillId="3" borderId="15" xfId="32" applyFont="1" applyFill="1" applyBorder="1" applyAlignment="1">
      <alignment horizontal="center" vertical="center"/>
    </xf>
    <xf numFmtId="0" fontId="73" fillId="0" borderId="21" xfId="32" applyFont="1" applyBorder="1" applyAlignment="1">
      <alignment horizontal="center" vertical="center"/>
    </xf>
    <xf numFmtId="165" fontId="82" fillId="0" borderId="22" xfId="32" applyNumberFormat="1" applyFont="1" applyBorder="1"/>
    <xf numFmtId="165" fontId="84" fillId="0" borderId="23" xfId="32" applyNumberFormat="1" applyFont="1" applyBorder="1"/>
    <xf numFmtId="165" fontId="82" fillId="3" borderId="28" xfId="32" applyNumberFormat="1" applyFont="1" applyFill="1" applyBorder="1" applyAlignment="1">
      <alignment vertical="center"/>
    </xf>
    <xf numFmtId="0" fontId="70" fillId="0" borderId="29" xfId="32" applyFont="1" applyBorder="1" applyAlignment="1" applyProtection="1">
      <alignment vertical="center"/>
      <protection locked="0"/>
    </xf>
    <xf numFmtId="0" fontId="70" fillId="0" borderId="30" xfId="32" applyFont="1" applyBorder="1" applyAlignment="1" applyProtection="1">
      <alignment vertical="center"/>
      <protection locked="0"/>
    </xf>
    <xf numFmtId="0" fontId="70" fillId="0" borderId="31" xfId="32" applyFont="1" applyBorder="1" applyAlignment="1" applyProtection="1">
      <alignment vertical="center"/>
      <protection locked="0"/>
    </xf>
    <xf numFmtId="0" fontId="74" fillId="0" borderId="32" xfId="32" applyFont="1" applyBorder="1" applyAlignment="1">
      <alignment vertical="center"/>
    </xf>
    <xf numFmtId="0" fontId="74" fillId="0" borderId="32" xfId="32" applyFont="1" applyBorder="1" applyAlignment="1" applyProtection="1">
      <alignment horizontal="left" vertical="center"/>
      <protection locked="0"/>
    </xf>
    <xf numFmtId="0" fontId="74" fillId="0" borderId="32" xfId="32" applyFont="1" applyBorder="1" applyAlignment="1" applyProtection="1">
      <alignment vertical="center"/>
      <protection locked="0"/>
    </xf>
    <xf numFmtId="0" fontId="74" fillId="0" borderId="33" xfId="32" applyFont="1" applyBorder="1" applyAlignment="1" applyProtection="1">
      <alignment vertical="center"/>
      <protection locked="0"/>
    </xf>
    <xf numFmtId="0" fontId="74" fillId="0" borderId="0" xfId="32" applyFont="1" applyAlignment="1">
      <alignment vertical="center"/>
    </xf>
    <xf numFmtId="0" fontId="74" fillId="0" borderId="0" xfId="32" applyFont="1" applyAlignment="1" applyProtection="1">
      <alignment horizontal="left" vertical="center"/>
      <protection locked="0"/>
    </xf>
    <xf numFmtId="0" fontId="74" fillId="0" borderId="0" xfId="32" applyFont="1" applyAlignment="1" applyProtection="1">
      <alignment vertical="center"/>
      <protection locked="0"/>
    </xf>
    <xf numFmtId="0" fontId="74" fillId="0" borderId="18" xfId="32" applyFont="1" applyBorder="1" applyAlignment="1" applyProtection="1">
      <alignment vertical="center"/>
      <protection locked="0"/>
    </xf>
    <xf numFmtId="0" fontId="85" fillId="0" borderId="0" xfId="32" applyFont="1" applyAlignment="1">
      <alignment vertical="center"/>
    </xf>
    <xf numFmtId="0" fontId="74" fillId="0" borderId="18" xfId="32" applyFont="1" applyBorder="1" applyAlignment="1">
      <alignment vertical="center"/>
    </xf>
    <xf numFmtId="0" fontId="77" fillId="2" borderId="35" xfId="32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 wrapText="1"/>
    </xf>
    <xf numFmtId="0" fontId="73" fillId="3" borderId="9" xfId="0" applyFont="1" applyFill="1" applyBorder="1" applyAlignment="1">
      <alignment horizontal="center" vertical="center" wrapText="1"/>
    </xf>
    <xf numFmtId="165" fontId="73" fillId="3" borderId="9" xfId="0" applyNumberFormat="1" applyFont="1" applyFill="1" applyBorder="1" applyAlignment="1">
      <alignment horizontal="center" vertical="center" wrapText="1"/>
    </xf>
    <xf numFmtId="165" fontId="73" fillId="3" borderId="15" xfId="0" applyNumberFormat="1" applyFont="1" applyFill="1" applyBorder="1" applyAlignment="1">
      <alignment horizontal="center" vertical="center" wrapText="1"/>
    </xf>
    <xf numFmtId="172" fontId="52" fillId="0" borderId="0" xfId="0" applyNumberFormat="1" applyFont="1" applyAlignment="1">
      <alignment horizontal="right" vertical="center"/>
    </xf>
    <xf numFmtId="172" fontId="12" fillId="0" borderId="0" xfId="0" applyNumberFormat="1" applyFont="1" applyAlignment="1">
      <alignment horizontal="right" vertical="center"/>
    </xf>
    <xf numFmtId="172" fontId="9" fillId="0" borderId="0" xfId="0" applyNumberFormat="1" applyFont="1" applyAlignment="1">
      <alignment horizontal="right" vertical="top"/>
    </xf>
    <xf numFmtId="172" fontId="60" fillId="0" borderId="0" xfId="0" applyNumberFormat="1" applyFont="1" applyAlignment="1">
      <alignment horizontal="right" vertical="top"/>
    </xf>
    <xf numFmtId="172" fontId="6" fillId="0" borderId="0" xfId="0" applyNumberFormat="1" applyFont="1" applyAlignment="1">
      <alignment horizontal="right" vertical="center"/>
    </xf>
    <xf numFmtId="173" fontId="0" fillId="0" borderId="0" xfId="0" applyNumberFormat="1"/>
    <xf numFmtId="165" fontId="89" fillId="3" borderId="5" xfId="0" applyNumberFormat="1" applyFont="1" applyFill="1" applyBorder="1" applyAlignment="1">
      <alignment horizontal="center" vertical="center"/>
    </xf>
    <xf numFmtId="0" fontId="90" fillId="0" borderId="0" xfId="0" applyFont="1" applyAlignment="1">
      <alignment horizontal="center" vertical="center" wrapText="1"/>
    </xf>
    <xf numFmtId="164" fontId="68" fillId="0" borderId="0" xfId="0" applyNumberFormat="1" applyFont="1" applyAlignment="1">
      <alignment horizontal="left" vertical="center" wrapText="1"/>
    </xf>
    <xf numFmtId="0" fontId="74" fillId="0" borderId="0" xfId="0" applyFont="1" applyAlignment="1">
      <alignment horizontal="center" vertical="center"/>
    </xf>
    <xf numFmtId="172" fontId="74" fillId="0" borderId="0" xfId="0" applyNumberFormat="1" applyFont="1" applyAlignment="1">
      <alignment horizontal="right" vertical="center"/>
    </xf>
    <xf numFmtId="165" fontId="73" fillId="3" borderId="0" xfId="0" applyNumberFormat="1" applyFont="1" applyFill="1" applyAlignment="1">
      <alignment horizontal="center" vertical="center" wrapText="1"/>
    </xf>
    <xf numFmtId="165" fontId="73" fillId="0" borderId="0" xfId="0" applyNumberFormat="1" applyFont="1" applyAlignment="1">
      <alignment horizontal="right"/>
    </xf>
    <xf numFmtId="173" fontId="81" fillId="0" borderId="0" xfId="2" applyNumberFormat="1" applyFont="1" applyAlignment="1">
      <alignment horizontal="center" vertical="center"/>
    </xf>
    <xf numFmtId="172" fontId="92" fillId="0" borderId="0" xfId="0" applyNumberFormat="1" applyFont="1" applyAlignment="1">
      <alignment horizontal="right" vertical="center"/>
    </xf>
    <xf numFmtId="172" fontId="93" fillId="0" borderId="0" xfId="0" applyNumberFormat="1" applyFont="1" applyAlignment="1">
      <alignment horizontal="right" vertical="top"/>
    </xf>
    <xf numFmtId="0" fontId="94" fillId="0" borderId="0" xfId="0" applyFont="1" applyAlignment="1">
      <alignment horizontal="center" vertical="top"/>
    </xf>
    <xf numFmtId="172" fontId="94" fillId="0" borderId="0" xfId="0" applyNumberFormat="1" applyFont="1" applyAlignment="1">
      <alignment horizontal="right" vertical="top"/>
    </xf>
    <xf numFmtId="172" fontId="95" fillId="0" borderId="0" xfId="0" applyNumberFormat="1" applyFont="1" applyAlignment="1">
      <alignment horizontal="right" vertical="center"/>
    </xf>
    <xf numFmtId="172" fontId="74" fillId="0" borderId="0" xfId="0" applyNumberFormat="1" applyFont="1" applyAlignment="1">
      <alignment horizontal="center" vertical="center"/>
    </xf>
    <xf numFmtId="164" fontId="86" fillId="0" borderId="0" xfId="0" applyNumberFormat="1" applyFont="1" applyAlignment="1">
      <alignment horizontal="left" vertical="center" wrapText="1"/>
    </xf>
    <xf numFmtId="0" fontId="91" fillId="0" borderId="0" xfId="0" applyFont="1" applyAlignment="1">
      <alignment horizontal="center"/>
    </xf>
    <xf numFmtId="170" fontId="91" fillId="0" borderId="0" xfId="0" applyNumberFormat="1" applyFont="1"/>
    <xf numFmtId="169" fontId="91" fillId="0" borderId="0" xfId="0" applyNumberFormat="1" applyFont="1" applyAlignment="1">
      <alignment horizontal="center"/>
    </xf>
    <xf numFmtId="171" fontId="91" fillId="0" borderId="0" xfId="0" applyNumberFormat="1" applyFont="1"/>
    <xf numFmtId="0" fontId="0" fillId="0" borderId="34" xfId="0" applyBorder="1" applyAlignment="1">
      <alignment horizontal="left"/>
    </xf>
    <xf numFmtId="170" fontId="0" fillId="0" borderId="32" xfId="0" applyNumberFormat="1" applyBorder="1"/>
    <xf numFmtId="171" fontId="0" fillId="0" borderId="32" xfId="0" applyNumberFormat="1" applyBorder="1"/>
    <xf numFmtId="165" fontId="0" fillId="0" borderId="33" xfId="0" applyNumberFormat="1" applyBorder="1"/>
    <xf numFmtId="0" fontId="0" fillId="0" borderId="17" xfId="0" applyBorder="1" applyAlignment="1">
      <alignment horizontal="left"/>
    </xf>
    <xf numFmtId="165" fontId="0" fillId="0" borderId="18" xfId="0" applyNumberFormat="1" applyBorder="1"/>
    <xf numFmtId="16" fontId="0" fillId="0" borderId="17" xfId="0" applyNumberFormat="1" applyBorder="1" applyAlignment="1">
      <alignment horizontal="left"/>
    </xf>
    <xf numFmtId="0" fontId="0" fillId="0" borderId="19" xfId="0" applyBorder="1" applyAlignment="1">
      <alignment horizontal="left"/>
    </xf>
    <xf numFmtId="170" fontId="0" fillId="0" borderId="12" xfId="0" applyNumberFormat="1" applyBorder="1"/>
    <xf numFmtId="171" fontId="0" fillId="0" borderId="12" xfId="0" applyNumberFormat="1" applyBorder="1"/>
    <xf numFmtId="165" fontId="0" fillId="0" borderId="20" xfId="0" applyNumberFormat="1" applyBorder="1"/>
    <xf numFmtId="172" fontId="81" fillId="0" borderId="0" xfId="2" applyNumberFormat="1" applyFont="1" applyAlignment="1">
      <alignment horizontal="center" vertical="center"/>
    </xf>
    <xf numFmtId="164" fontId="70" fillId="0" borderId="0" xfId="0" applyNumberFormat="1" applyFont="1" applyAlignment="1">
      <alignment horizontal="left" vertical="center" wrapText="1"/>
    </xf>
    <xf numFmtId="172" fontId="96" fillId="0" borderId="0" xfId="0" applyNumberFormat="1" applyFont="1" applyAlignment="1">
      <alignment horizontal="right" vertical="center"/>
    </xf>
    <xf numFmtId="165" fontId="44" fillId="0" borderId="0" xfId="0" applyNumberFormat="1" applyFont="1" applyAlignment="1">
      <alignment horizontal="left"/>
    </xf>
    <xf numFmtId="0" fontId="96" fillId="0" borderId="0" xfId="0" applyFont="1" applyAlignment="1">
      <alignment vertical="center"/>
    </xf>
    <xf numFmtId="0" fontId="16" fillId="0" borderId="0" xfId="19" applyFont="1" applyAlignment="1">
      <alignment horizontal="center"/>
    </xf>
    <xf numFmtId="0" fontId="17" fillId="0" borderId="0" xfId="19" applyFont="1" applyAlignment="1">
      <alignment horizontal="center"/>
    </xf>
    <xf numFmtId="0" fontId="55" fillId="0" borderId="0" xfId="19" applyFont="1" applyAlignment="1">
      <alignment horizontal="center"/>
    </xf>
    <xf numFmtId="0" fontId="18" fillId="0" borderId="0" xfId="19" applyFont="1" applyAlignment="1">
      <alignment horizontal="center"/>
    </xf>
    <xf numFmtId="0" fontId="67" fillId="0" borderId="0" xfId="33" applyFont="1" applyAlignment="1">
      <alignment horizontal="center" vertical="center"/>
    </xf>
    <xf numFmtId="0" fontId="68" fillId="0" borderId="0" xfId="33" applyFont="1" applyAlignment="1">
      <alignment horizontal="left" vertical="center" wrapText="1"/>
    </xf>
    <xf numFmtId="0" fontId="82" fillId="3" borderId="14" xfId="32" applyFont="1" applyFill="1" applyBorder="1" applyAlignment="1">
      <alignment horizontal="right" vertical="center"/>
    </xf>
    <xf numFmtId="0" fontId="82" fillId="3" borderId="9" xfId="32" applyFont="1" applyFill="1" applyBorder="1" applyAlignment="1">
      <alignment horizontal="right" vertical="center"/>
    </xf>
    <xf numFmtId="0" fontId="73" fillId="0" borderId="27" xfId="32" applyFont="1" applyBorder="1" applyAlignment="1" applyProtection="1">
      <alignment horizontal="center" vertical="center"/>
      <protection locked="0"/>
    </xf>
    <xf numFmtId="0" fontId="73" fillId="0" borderId="7" xfId="32" applyFont="1" applyBorder="1" applyAlignment="1" applyProtection="1">
      <alignment horizontal="center" vertical="center"/>
      <protection locked="0"/>
    </xf>
    <xf numFmtId="0" fontId="73" fillId="0" borderId="8" xfId="32" applyFont="1" applyBorder="1" applyAlignment="1" applyProtection="1">
      <alignment horizontal="center" vertical="center"/>
      <protection locked="0"/>
    </xf>
    <xf numFmtId="0" fontId="73" fillId="0" borderId="6" xfId="32" applyFont="1" applyBorder="1" applyAlignment="1" applyProtection="1">
      <alignment horizontal="center" vertical="center"/>
      <protection locked="0"/>
    </xf>
    <xf numFmtId="0" fontId="73" fillId="0" borderId="0" xfId="32" applyFont="1" applyAlignment="1" applyProtection="1">
      <alignment horizontal="center" vertical="center"/>
      <protection locked="0"/>
    </xf>
    <xf numFmtId="0" fontId="73" fillId="0" borderId="4" xfId="32" applyFont="1" applyBorder="1" applyAlignment="1" applyProtection="1">
      <alignment horizontal="center" vertical="center"/>
      <protection locked="0"/>
    </xf>
    <xf numFmtId="2" fontId="73" fillId="0" borderId="6" xfId="32" applyNumberFormat="1" applyFont="1" applyBorder="1" applyAlignment="1" applyProtection="1">
      <alignment horizontal="center" vertical="center"/>
      <protection locked="0"/>
    </xf>
    <xf numFmtId="2" fontId="73" fillId="0" borderId="18" xfId="32" applyNumberFormat="1" applyFont="1" applyBorder="1" applyAlignment="1" applyProtection="1">
      <alignment horizontal="center" vertical="center"/>
      <protection locked="0"/>
    </xf>
    <xf numFmtId="0" fontId="83" fillId="3" borderId="14" xfId="32" applyFont="1" applyFill="1" applyBorder="1" applyAlignment="1">
      <alignment horizontal="center" vertical="center"/>
    </xf>
    <xf numFmtId="0" fontId="83" fillId="3" borderId="9" xfId="32" applyFont="1" applyFill="1" applyBorder="1" applyAlignment="1">
      <alignment horizontal="center" vertical="center"/>
    </xf>
    <xf numFmtId="0" fontId="83" fillId="3" borderId="15" xfId="32" applyFont="1" applyFill="1" applyBorder="1" applyAlignment="1">
      <alignment horizontal="center" vertical="center"/>
    </xf>
    <xf numFmtId="0" fontId="34" fillId="0" borderId="17" xfId="32" applyFont="1" applyBorder="1" applyAlignment="1" applyProtection="1">
      <alignment horizontal="center" vertical="center"/>
      <protection locked="0"/>
    </xf>
    <xf numFmtId="0" fontId="34" fillId="0" borderId="0" xfId="32" applyFont="1" applyAlignment="1" applyProtection="1">
      <alignment horizontal="center" vertical="center"/>
      <protection locked="0"/>
    </xf>
    <xf numFmtId="0" fontId="34" fillId="0" borderId="4" xfId="32" applyFont="1" applyBorder="1" applyAlignment="1" applyProtection="1">
      <alignment horizontal="center" vertical="center"/>
      <protection locked="0"/>
    </xf>
    <xf numFmtId="0" fontId="34" fillId="0" borderId="19" xfId="32" applyFont="1" applyBorder="1" applyAlignment="1" applyProtection="1">
      <alignment horizontal="center" vertical="center"/>
      <protection locked="0"/>
    </xf>
    <xf numFmtId="0" fontId="34" fillId="0" borderId="12" xfId="32" applyFont="1" applyBorder="1" applyAlignment="1" applyProtection="1">
      <alignment horizontal="center" vertical="center"/>
      <protection locked="0"/>
    </xf>
    <xf numFmtId="0" fontId="34" fillId="0" borderId="13" xfId="32" applyFont="1" applyBorder="1" applyAlignment="1" applyProtection="1">
      <alignment horizontal="center" vertical="center"/>
      <protection locked="0"/>
    </xf>
    <xf numFmtId="0" fontId="34" fillId="0" borderId="6" xfId="32" applyFont="1" applyBorder="1" applyAlignment="1" applyProtection="1">
      <alignment horizontal="center" vertical="center"/>
      <protection locked="0"/>
    </xf>
    <xf numFmtId="0" fontId="34" fillId="0" borderId="11" xfId="32" applyFont="1" applyBorder="1" applyAlignment="1" applyProtection="1">
      <alignment horizontal="center" vertical="center"/>
      <protection locked="0"/>
    </xf>
    <xf numFmtId="2" fontId="34" fillId="0" borderId="6" xfId="32" applyNumberFormat="1" applyFont="1" applyBorder="1" applyAlignment="1" applyProtection="1">
      <alignment horizontal="center" vertical="center"/>
      <protection locked="0"/>
    </xf>
    <xf numFmtId="2" fontId="34" fillId="0" borderId="18" xfId="32" applyNumberFormat="1" applyFont="1" applyBorder="1" applyAlignment="1" applyProtection="1">
      <alignment horizontal="center" vertical="center"/>
      <protection locked="0"/>
    </xf>
    <xf numFmtId="2" fontId="34" fillId="0" borderId="11" xfId="32" applyNumberFormat="1" applyFont="1" applyBorder="1" applyAlignment="1" applyProtection="1">
      <alignment horizontal="center" vertical="center"/>
      <protection locked="0"/>
    </xf>
    <xf numFmtId="2" fontId="34" fillId="0" borderId="20" xfId="32" applyNumberFormat="1" applyFont="1" applyBorder="1" applyAlignment="1" applyProtection="1">
      <alignment horizontal="center" vertical="center"/>
      <protection locked="0"/>
    </xf>
    <xf numFmtId="0" fontId="70" fillId="0" borderId="30" xfId="32" applyFont="1" applyBorder="1" applyAlignment="1" applyProtection="1">
      <alignment horizontal="left" vertical="center"/>
      <protection locked="0"/>
    </xf>
    <xf numFmtId="0" fontId="74" fillId="0" borderId="0" xfId="32" applyFont="1" applyAlignment="1">
      <alignment horizontal="left" vertical="center" wrapText="1"/>
    </xf>
    <xf numFmtId="0" fontId="74" fillId="0" borderId="18" xfId="32" applyFont="1" applyBorder="1" applyAlignment="1">
      <alignment horizontal="left" vertical="center" wrapText="1"/>
    </xf>
    <xf numFmtId="0" fontId="86" fillId="3" borderId="24" xfId="32" applyFont="1" applyFill="1" applyBorder="1" applyAlignment="1">
      <alignment horizontal="center" vertical="center"/>
    </xf>
    <xf numFmtId="0" fontId="86" fillId="3" borderId="25" xfId="32" applyFont="1" applyFill="1" applyBorder="1" applyAlignment="1">
      <alignment horizontal="center" vertical="center"/>
    </xf>
    <xf numFmtId="0" fontId="86" fillId="3" borderId="26" xfId="32" applyFont="1" applyFill="1" applyBorder="1" applyAlignment="1">
      <alignment horizontal="center" vertical="center"/>
    </xf>
    <xf numFmtId="0" fontId="58" fillId="0" borderId="0" xfId="32" applyFont="1" applyAlignment="1">
      <alignment horizontal="center" vertical="center" wrapText="1"/>
    </xf>
    <xf numFmtId="0" fontId="74" fillId="0" borderId="27" xfId="32" applyFont="1" applyBorder="1" applyAlignment="1" applyProtection="1">
      <alignment horizontal="center" vertical="center"/>
      <protection locked="0"/>
    </xf>
    <xf numFmtId="0" fontId="74" fillId="0" borderId="7" xfId="32" applyFont="1" applyBorder="1" applyAlignment="1" applyProtection="1">
      <alignment horizontal="center" vertical="center"/>
      <protection locked="0"/>
    </xf>
    <xf numFmtId="0" fontId="74" fillId="0" borderId="8" xfId="32" applyFont="1" applyBorder="1" applyAlignment="1" applyProtection="1">
      <alignment horizontal="center" vertical="center"/>
      <protection locked="0"/>
    </xf>
    <xf numFmtId="0" fontId="74" fillId="0" borderId="6" xfId="32" applyFont="1" applyBorder="1" applyAlignment="1" applyProtection="1">
      <alignment horizontal="center" vertical="center"/>
      <protection locked="0"/>
    </xf>
    <xf numFmtId="0" fontId="74" fillId="0" borderId="0" xfId="32" applyFont="1" applyAlignment="1" applyProtection="1">
      <alignment horizontal="center" vertical="center"/>
      <protection locked="0"/>
    </xf>
    <xf numFmtId="0" fontId="74" fillId="0" borderId="4" xfId="32" applyFont="1" applyBorder="1" applyAlignment="1" applyProtection="1">
      <alignment horizontal="center" vertical="center"/>
      <protection locked="0"/>
    </xf>
    <xf numFmtId="2" fontId="74" fillId="0" borderId="6" xfId="32" applyNumberFormat="1" applyFont="1" applyBorder="1" applyAlignment="1" applyProtection="1">
      <alignment horizontal="center" vertical="center"/>
      <protection locked="0"/>
    </xf>
    <xf numFmtId="2" fontId="74" fillId="0" borderId="18" xfId="32" applyNumberFormat="1" applyFont="1" applyBorder="1" applyAlignment="1" applyProtection="1">
      <alignment horizontal="center" vertical="center"/>
      <protection locked="0"/>
    </xf>
    <xf numFmtId="0" fontId="25" fillId="0" borderId="6" xfId="32" applyFont="1" applyBorder="1" applyAlignment="1" applyProtection="1">
      <alignment horizontal="center" vertical="center"/>
      <protection locked="0"/>
    </xf>
    <xf numFmtId="0" fontId="25" fillId="0" borderId="0" xfId="32" applyFont="1" applyAlignment="1" applyProtection="1">
      <alignment horizontal="center" vertical="center"/>
      <protection locked="0"/>
    </xf>
    <xf numFmtId="0" fontId="25" fillId="0" borderId="4" xfId="32" applyFont="1" applyBorder="1" applyAlignment="1" applyProtection="1">
      <alignment horizontal="center" vertical="center"/>
      <protection locked="0"/>
    </xf>
    <xf numFmtId="0" fontId="25" fillId="0" borderId="11" xfId="32" applyFont="1" applyBorder="1" applyAlignment="1" applyProtection="1">
      <alignment horizontal="center" vertical="center"/>
      <protection locked="0"/>
    </xf>
    <xf numFmtId="0" fontId="25" fillId="0" borderId="12" xfId="32" applyFont="1" applyBorder="1" applyAlignment="1" applyProtection="1">
      <alignment horizontal="center" vertical="center"/>
      <protection locked="0"/>
    </xf>
    <xf numFmtId="0" fontId="25" fillId="0" borderId="13" xfId="32" applyFont="1" applyBorder="1" applyAlignment="1" applyProtection="1">
      <alignment horizontal="center" vertical="center"/>
      <protection locked="0"/>
    </xf>
    <xf numFmtId="0" fontId="34" fillId="0" borderId="16" xfId="32" applyFont="1" applyBorder="1" applyAlignment="1">
      <alignment horizontal="left"/>
    </xf>
    <xf numFmtId="0" fontId="34" fillId="0" borderId="3" xfId="32" applyFont="1" applyBorder="1" applyAlignment="1">
      <alignment horizontal="left"/>
    </xf>
    <xf numFmtId="0" fontId="34" fillId="0" borderId="5" xfId="32" applyFont="1" applyBorder="1" applyAlignment="1">
      <alignment horizontal="left"/>
    </xf>
    <xf numFmtId="0" fontId="34" fillId="0" borderId="1" xfId="32" applyFont="1" applyBorder="1" applyAlignment="1">
      <alignment horizontal="left"/>
    </xf>
    <xf numFmtId="0" fontId="33" fillId="0" borderId="0" xfId="32" applyFont="1" applyAlignment="1">
      <alignment horizontal="left" wrapText="1"/>
    </xf>
    <xf numFmtId="0" fontId="73" fillId="0" borderId="10" xfId="32" applyFont="1" applyBorder="1" applyAlignment="1">
      <alignment horizontal="left"/>
    </xf>
    <xf numFmtId="0" fontId="79" fillId="0" borderId="17" xfId="32" applyFont="1" applyBorder="1" applyAlignment="1">
      <alignment horizontal="left" vertical="center" wrapText="1"/>
    </xf>
    <xf numFmtId="0" fontId="79" fillId="0" borderId="0" xfId="32" applyFont="1" applyAlignment="1">
      <alignment horizontal="left" vertical="center" wrapText="1"/>
    </xf>
    <xf numFmtId="0" fontId="79" fillId="0" borderId="18" xfId="32" applyFont="1" applyBorder="1" applyAlignment="1">
      <alignment horizontal="left" vertical="center" wrapText="1"/>
    </xf>
    <xf numFmtId="0" fontId="74" fillId="0" borderId="17" xfId="32" applyFont="1" applyBorder="1" applyAlignment="1">
      <alignment horizontal="left" vertical="center" wrapText="1"/>
    </xf>
    <xf numFmtId="0" fontId="5" fillId="0" borderId="12" xfId="1" applyFill="1" applyBorder="1" applyAlignment="1">
      <alignment horizontal="left" wrapText="1"/>
    </xf>
    <xf numFmtId="0" fontId="87" fillId="0" borderId="12" xfId="32" applyFont="1" applyBorder="1" applyAlignment="1">
      <alignment horizontal="left" wrapText="1"/>
    </xf>
    <xf numFmtId="14" fontId="80" fillId="0" borderId="19" xfId="32" applyNumberFormat="1" applyFont="1" applyBorder="1" applyAlignment="1">
      <alignment horizontal="left" vertical="center"/>
    </xf>
    <xf numFmtId="14" fontId="80" fillId="0" borderId="12" xfId="32" applyNumberFormat="1" applyFont="1" applyBorder="1" applyAlignment="1">
      <alignment horizontal="left" vertical="center"/>
    </xf>
    <xf numFmtId="14" fontId="80" fillId="0" borderId="20" xfId="32" applyNumberFormat="1" applyFont="1" applyBorder="1" applyAlignment="1">
      <alignment horizontal="left" vertical="center"/>
    </xf>
    <xf numFmtId="0" fontId="59" fillId="0" borderId="0" xfId="32" applyFont="1" applyAlignment="1">
      <alignment horizontal="center" vertical="center"/>
    </xf>
    <xf numFmtId="0" fontId="72" fillId="0" borderId="0" xfId="32" applyFont="1" applyAlignment="1">
      <alignment horizontal="center" vertical="center"/>
    </xf>
    <xf numFmtId="0" fontId="57" fillId="0" borderId="0" xfId="32" applyFont="1" applyAlignment="1">
      <alignment horizontal="center" vertical="center" wrapText="1"/>
    </xf>
    <xf numFmtId="0" fontId="65" fillId="3" borderId="14" xfId="32" applyFont="1" applyFill="1" applyBorder="1" applyAlignment="1">
      <alignment horizontal="left" vertical="center"/>
    </xf>
    <xf numFmtId="0" fontId="65" fillId="3" borderId="9" xfId="32" applyFont="1" applyFill="1" applyBorder="1" applyAlignment="1">
      <alignment horizontal="left" vertical="center"/>
    </xf>
    <xf numFmtId="0" fontId="65" fillId="3" borderId="15" xfId="32" applyFont="1" applyFill="1" applyBorder="1" applyAlignment="1">
      <alignment horizontal="left" vertical="center"/>
    </xf>
    <xf numFmtId="0" fontId="74" fillId="0" borderId="34" xfId="32" applyFont="1" applyBorder="1" applyAlignment="1">
      <alignment horizontal="left" vertical="center" wrapText="1"/>
    </xf>
    <xf numFmtId="0" fontId="74" fillId="0" borderId="32" xfId="32" applyFont="1" applyBorder="1" applyAlignment="1">
      <alignment horizontal="left" vertical="center" wrapText="1"/>
    </xf>
    <xf numFmtId="0" fontId="74" fillId="0" borderId="33" xfId="32" applyFont="1" applyBorder="1" applyAlignment="1">
      <alignment horizontal="left" vertical="center" wrapText="1"/>
    </xf>
    <xf numFmtId="0" fontId="73" fillId="0" borderId="0" xfId="0" applyFont="1" applyAlignment="1">
      <alignment horizontal="left" vertical="center"/>
    </xf>
    <xf numFmtId="0" fontId="96" fillId="0" borderId="0" xfId="0" applyFont="1" applyAlignment="1">
      <alignment horizontal="left" vertical="center"/>
    </xf>
    <xf numFmtId="172" fontId="92" fillId="0" borderId="0" xfId="0" applyNumberFormat="1" applyFont="1" applyAlignment="1">
      <alignment horizontal="center" vertical="center"/>
    </xf>
    <xf numFmtId="172" fontId="81" fillId="0" borderId="0" xfId="2" applyNumberFormat="1" applyFont="1" applyAlignment="1">
      <alignment horizontal="center" vertical="center"/>
    </xf>
    <xf numFmtId="173" fontId="81" fillId="0" borderId="0" xfId="2" applyNumberFormat="1" applyFont="1" applyAlignment="1">
      <alignment horizontal="center" vertical="center"/>
    </xf>
    <xf numFmtId="173" fontId="88" fillId="0" borderId="0" xfId="2" applyNumberFormat="1" applyFont="1" applyAlignment="1">
      <alignment horizontal="center" vertical="center"/>
    </xf>
    <xf numFmtId="165" fontId="89" fillId="3" borderId="5" xfId="0" applyNumberFormat="1" applyFont="1" applyFill="1" applyBorder="1" applyAlignment="1">
      <alignment horizontal="center" vertical="center"/>
    </xf>
    <xf numFmtId="165" fontId="89" fillId="3" borderId="1" xfId="0" applyNumberFormat="1" applyFont="1" applyFill="1" applyBorder="1" applyAlignment="1">
      <alignment horizontal="center" vertical="center"/>
    </xf>
    <xf numFmtId="172" fontId="40" fillId="0" borderId="0" xfId="0" applyNumberFormat="1" applyFont="1" applyAlignment="1">
      <alignment horizontal="right" vertical="center"/>
    </xf>
    <xf numFmtId="165" fontId="13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172" fontId="83" fillId="0" borderId="0" xfId="0" applyNumberFormat="1" applyFont="1" applyAlignment="1">
      <alignment horizontal="right" vertical="center"/>
    </xf>
    <xf numFmtId="165" fontId="89" fillId="3" borderId="36" xfId="0" applyNumberFormat="1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81" fillId="0" borderId="0" xfId="32" applyFont="1" applyAlignment="1">
      <alignment horizontal="left" wrapText="1"/>
    </xf>
    <xf numFmtId="175" fontId="82" fillId="0" borderId="22" xfId="32" applyNumberFormat="1" applyFont="1" applyBorder="1"/>
  </cellXfs>
  <cellStyles count="39">
    <cellStyle name="Binlik Ayracı 3" xfId="20" xr:uid="{00000000-0005-0000-0000-000000000000}"/>
    <cellStyle name="Excel Built-in Hyperlink" xfId="34" xr:uid="{00000000-0005-0000-0000-000001000000}"/>
    <cellStyle name="Excel Built-in Normal" xfId="35" xr:uid="{00000000-0005-0000-0000-000002000000}"/>
    <cellStyle name="Köprü" xfId="1" builtinId="8"/>
    <cellStyle name="Köprü 2" xfId="36" xr:uid="{00000000-0005-0000-0000-000004000000}"/>
    <cellStyle name="Normal" xfId="0" builtinId="0"/>
    <cellStyle name="Normal 10" xfId="33" xr:uid="{00000000-0005-0000-0000-000006000000}"/>
    <cellStyle name="Normal 120 2 2 2" xfId="21" xr:uid="{00000000-0005-0000-0000-000007000000}"/>
    <cellStyle name="Normal 2" xfId="3" xr:uid="{00000000-0005-0000-0000-000008000000}"/>
    <cellStyle name="Normal 2 2" xfId="16" xr:uid="{00000000-0005-0000-0000-000009000000}"/>
    <cellStyle name="Normal 2 2 2" xfId="18" xr:uid="{00000000-0005-0000-0000-00000A000000}"/>
    <cellStyle name="Normal 2 2 3" xfId="37" xr:uid="{00000000-0005-0000-0000-00000B000000}"/>
    <cellStyle name="Normal 2 3" xfId="17" xr:uid="{00000000-0005-0000-0000-00000C000000}"/>
    <cellStyle name="Normal 2 4" xfId="38" xr:uid="{00000000-0005-0000-0000-00000D000000}"/>
    <cellStyle name="Normal 2 7" xfId="22" xr:uid="{00000000-0005-0000-0000-00000E000000}"/>
    <cellStyle name="Normal 3" xfId="4" xr:uid="{00000000-0005-0000-0000-00000F000000}"/>
    <cellStyle name="Normal 3 112 3" xfId="23" xr:uid="{00000000-0005-0000-0000-000010000000}"/>
    <cellStyle name="Normal 3 2" xfId="10" xr:uid="{00000000-0005-0000-0000-000011000000}"/>
    <cellStyle name="Normal 4" xfId="5" xr:uid="{00000000-0005-0000-0000-000012000000}"/>
    <cellStyle name="Normal 4 2" xfId="11" xr:uid="{00000000-0005-0000-0000-000013000000}"/>
    <cellStyle name="Normal 4 3" xfId="32" xr:uid="{00000000-0005-0000-0000-000014000000}"/>
    <cellStyle name="Normal 5" xfId="6" xr:uid="{00000000-0005-0000-0000-000015000000}"/>
    <cellStyle name="Normal 5 2" xfId="12" xr:uid="{00000000-0005-0000-0000-000016000000}"/>
    <cellStyle name="Normal 6" xfId="7" xr:uid="{00000000-0005-0000-0000-000017000000}"/>
    <cellStyle name="Normal 6 2" xfId="13" xr:uid="{00000000-0005-0000-0000-000018000000}"/>
    <cellStyle name="Normal 7" xfId="8" xr:uid="{00000000-0005-0000-0000-000019000000}"/>
    <cellStyle name="Normal 7 2" xfId="14" xr:uid="{00000000-0005-0000-0000-00001A000000}"/>
    <cellStyle name="Normal 8" xfId="9" xr:uid="{00000000-0005-0000-0000-00001B000000}"/>
    <cellStyle name="Normal 8 2" xfId="15" xr:uid="{00000000-0005-0000-0000-00001C000000}"/>
    <cellStyle name="Normal 9" xfId="19" xr:uid="{00000000-0005-0000-0000-00001D000000}"/>
    <cellStyle name="ParaBirimi 2" xfId="24" xr:uid="{00000000-0005-0000-0000-00001E000000}"/>
    <cellStyle name="Standard 4" xfId="25" xr:uid="{00000000-0005-0000-0000-00001F000000}"/>
    <cellStyle name="Stil 1" xfId="26" xr:uid="{00000000-0005-0000-0000-000020000000}"/>
    <cellStyle name="Yüzde" xfId="2" builtinId="5"/>
    <cellStyle name="Yüzde 2" xfId="27" xr:uid="{00000000-0005-0000-0000-000022000000}"/>
    <cellStyle name="Yüzde 2 37" xfId="28" xr:uid="{00000000-0005-0000-0000-000023000000}"/>
    <cellStyle name="Yüzde 3" xfId="29" xr:uid="{00000000-0005-0000-0000-000024000000}"/>
    <cellStyle name="Yüzde 3 2 2" xfId="30" xr:uid="{00000000-0005-0000-0000-000025000000}"/>
    <cellStyle name="Yüzde 6 2" xfId="31" xr:uid="{00000000-0005-0000-0000-000026000000}"/>
  </cellStyles>
  <dxfs count="0"/>
  <tableStyles count="0" defaultTableStyle="TableStyleMedium2" defaultPivotStyle="PivotStyleLight16"/>
  <colors>
    <mruColors>
      <color rgb="FFEA0904"/>
      <color rgb="FFC4E59F"/>
      <color rgb="FFD6EDBD"/>
      <color rgb="FFC10803"/>
      <color rgb="FF6D6D6D"/>
      <color rgb="FF888888"/>
      <color rgb="FF717171"/>
      <color rgb="FF606060"/>
      <color rgb="FFA5A5A5"/>
      <color rgb="FFD1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410307</xdr:colOff>
      <xdr:row>0</xdr:row>
      <xdr:rowOff>95249</xdr:rowOff>
    </xdr:from>
    <xdr:to>
      <xdr:col>8</xdr:col>
      <xdr:colOff>417635</xdr:colOff>
      <xdr:row>24</xdr:row>
      <xdr:rowOff>131885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97B4C847-1CBC-8595-F9B2-58AA89F94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307" y="95249"/>
          <a:ext cx="4755174" cy="4755174"/>
        </a:xfrm>
        <a:prstGeom prst="rect">
          <a:avLst/>
        </a:prstGeom>
      </xdr:spPr>
    </xdr:pic>
    <xdr:clientData/>
  </xdr:twoCellAnchor>
  <xdr:twoCellAnchor editAs="oneCell">
    <xdr:from>
      <xdr:col>3</xdr:col>
      <xdr:colOff>402981</xdr:colOff>
      <xdr:row>25</xdr:row>
      <xdr:rowOff>212480</xdr:rowOff>
    </xdr:from>
    <xdr:to>
      <xdr:col>5</xdr:col>
      <xdr:colOff>456916</xdr:colOff>
      <xdr:row>31</xdr:row>
      <xdr:rowOff>175846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4D6F3FAD-5D60-71BE-A093-F7DEE3847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3423" y="5121518"/>
          <a:ext cx="1240897" cy="12089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728381</xdr:colOff>
      <xdr:row>0</xdr:row>
      <xdr:rowOff>168088</xdr:rowOff>
    </xdr:from>
    <xdr:to>
      <xdr:col>5</xdr:col>
      <xdr:colOff>33618</xdr:colOff>
      <xdr:row>5</xdr:row>
      <xdr:rowOff>89648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F2F044A1-56A7-FC3B-8A3A-F9945FF6C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9" y="168088"/>
          <a:ext cx="1714501" cy="851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E-POSTA/@-MAIL" TargetMode="External"/><Relationship Id="rId1" Type="http://schemas.openxmlformats.org/officeDocument/2006/relationships/hyperlink" Target="mailto:E-POSTA/@MAIL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23:J46"/>
  <sheetViews>
    <sheetView view="pageBreakPreview" topLeftCell="A26" zoomScale="130" zoomScaleNormal="85" zoomScaleSheetLayoutView="130" workbookViewId="0">
      <selection activeCell="J35" sqref="J35"/>
    </sheetView>
  </sheetViews>
  <sheetFormatPr defaultColWidth="8.85546875" defaultRowHeight="15"/>
  <cols>
    <col min="1" max="16384" width="8.85546875" style="6"/>
  </cols>
  <sheetData>
    <row r="23" spans="1:10" ht="15" customHeight="1"/>
    <row r="24" spans="1:10" ht="26.25">
      <c r="A24" s="170"/>
      <c r="B24" s="170"/>
      <c r="C24" s="170"/>
      <c r="D24" s="170"/>
      <c r="E24" s="170"/>
      <c r="F24" s="170"/>
      <c r="G24" s="170"/>
      <c r="H24" s="170"/>
      <c r="I24" s="170"/>
      <c r="J24" s="7"/>
    </row>
    <row r="26" spans="1:10" ht="23.25">
      <c r="A26" s="171"/>
      <c r="B26" s="171"/>
      <c r="C26" s="171"/>
      <c r="D26" s="171"/>
      <c r="E26" s="171"/>
      <c r="F26" s="171"/>
      <c r="G26" s="171"/>
      <c r="H26" s="171"/>
      <c r="I26" s="171"/>
      <c r="J26" s="8"/>
    </row>
    <row r="35" spans="1:10" ht="20.25">
      <c r="A35" s="172" t="s">
        <v>116</v>
      </c>
      <c r="B35" s="172"/>
      <c r="C35" s="172"/>
      <c r="D35" s="172"/>
      <c r="E35" s="172"/>
      <c r="F35" s="172"/>
      <c r="G35" s="172"/>
      <c r="H35" s="172"/>
      <c r="I35" s="172"/>
    </row>
    <row r="36" spans="1:10" ht="21">
      <c r="A36" s="172" t="s">
        <v>117</v>
      </c>
      <c r="B36" s="172"/>
      <c r="C36" s="172"/>
      <c r="D36" s="172"/>
      <c r="E36" s="172"/>
      <c r="F36" s="172"/>
      <c r="G36" s="172"/>
      <c r="H36" s="172"/>
      <c r="I36" s="172"/>
      <c r="J36" s="9"/>
    </row>
    <row r="37" spans="1:10" ht="21">
      <c r="A37" s="172"/>
      <c r="B37" s="172"/>
      <c r="C37" s="172"/>
      <c r="D37" s="172"/>
      <c r="E37" s="172"/>
      <c r="F37" s="172"/>
      <c r="G37" s="172"/>
      <c r="H37" s="172"/>
      <c r="I37" s="172"/>
      <c r="J37" s="9"/>
    </row>
    <row r="38" spans="1:10" ht="21">
      <c r="A38" s="173"/>
      <c r="B38" s="173"/>
      <c r="C38" s="173"/>
      <c r="D38" s="173"/>
      <c r="E38" s="173"/>
      <c r="F38" s="173"/>
      <c r="G38" s="173"/>
      <c r="H38" s="173"/>
      <c r="I38" s="173"/>
    </row>
    <row r="46" spans="1:10" ht="20.25">
      <c r="A46" s="172"/>
      <c r="B46" s="172"/>
      <c r="C46" s="172"/>
      <c r="D46" s="172"/>
      <c r="E46" s="172"/>
      <c r="F46" s="172"/>
      <c r="G46" s="172"/>
      <c r="H46" s="172"/>
      <c r="I46" s="172"/>
    </row>
  </sheetData>
  <mergeCells count="7">
    <mergeCell ref="A24:I24"/>
    <mergeCell ref="A26:I26"/>
    <mergeCell ref="A36:I36"/>
    <mergeCell ref="A37:I37"/>
    <mergeCell ref="A46:I46"/>
    <mergeCell ref="A35:I35"/>
    <mergeCell ref="A38:I38"/>
  </mergeCells>
  <printOptions vertic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&amp;C&amp;"Aptos Narrow,Kalın"&amp;K01+014LİNTU MÜHENDİSLİK
Lintu Engineering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EEA3-56A4-4F1E-B0E8-B284DAAF79E0}">
  <sheetPr>
    <tabColor theme="0" tint="-0.499984740745262"/>
    <pageSetUpPr fitToPage="1"/>
  </sheetPr>
  <dimension ref="A6:J59"/>
  <sheetViews>
    <sheetView view="pageBreakPreview" topLeftCell="A23" zoomScaleNormal="100" zoomScaleSheetLayoutView="100" workbookViewId="0">
      <selection activeCell="A36" sqref="A36:M36"/>
    </sheetView>
  </sheetViews>
  <sheetFormatPr defaultColWidth="9.140625" defaultRowHeight="15"/>
  <cols>
    <col min="1" max="1" width="3.7109375" style="91" customWidth="1"/>
    <col min="2" max="16384" width="9.140625" style="90"/>
  </cols>
  <sheetData>
    <row r="6" spans="1:10">
      <c r="A6" s="174" t="s">
        <v>57</v>
      </c>
      <c r="B6" s="174"/>
      <c r="C6" s="174"/>
      <c r="D6" s="174"/>
      <c r="E6" s="174"/>
      <c r="F6" s="174"/>
      <c r="G6" s="174"/>
      <c r="H6" s="174"/>
      <c r="I6" s="174"/>
      <c r="J6" s="174"/>
    </row>
    <row r="7" spans="1:10">
      <c r="A7" s="174"/>
      <c r="B7" s="174"/>
      <c r="C7" s="174"/>
      <c r="D7" s="174"/>
      <c r="E7" s="174"/>
      <c r="F7" s="174"/>
      <c r="G7" s="174"/>
      <c r="H7" s="174"/>
      <c r="I7" s="174"/>
      <c r="J7" s="174"/>
    </row>
    <row r="8" spans="1:10" ht="9.9499999999999993" customHeight="1">
      <c r="B8" s="91"/>
      <c r="C8" s="91"/>
      <c r="D8" s="91"/>
      <c r="E8" s="91"/>
      <c r="F8" s="91"/>
      <c r="G8" s="91"/>
      <c r="H8" s="91"/>
      <c r="I8" s="91"/>
      <c r="J8" s="91"/>
    </row>
    <row r="9" spans="1:10">
      <c r="A9" s="100">
        <v>1</v>
      </c>
      <c r="B9" s="97" t="s">
        <v>58</v>
      </c>
      <c r="C9" s="98"/>
      <c r="D9" s="98"/>
      <c r="E9" s="98"/>
      <c r="F9" s="98"/>
      <c r="G9" s="98"/>
      <c r="H9" s="98"/>
      <c r="I9" s="98"/>
      <c r="J9" s="98"/>
    </row>
    <row r="10" spans="1:10" ht="5.0999999999999996" customHeight="1">
      <c r="A10" s="100"/>
      <c r="B10" s="97"/>
      <c r="C10" s="98"/>
      <c r="D10" s="98"/>
      <c r="E10" s="98"/>
      <c r="F10" s="98"/>
      <c r="G10" s="98"/>
      <c r="H10" s="98"/>
      <c r="I10" s="98"/>
      <c r="J10" s="98"/>
    </row>
    <row r="11" spans="1:10">
      <c r="A11" s="100">
        <v>2</v>
      </c>
      <c r="B11" s="97" t="s">
        <v>59</v>
      </c>
      <c r="C11" s="98"/>
      <c r="D11" s="98"/>
      <c r="E11" s="98"/>
      <c r="F11" s="98"/>
      <c r="G11" s="98"/>
      <c r="H11" s="98"/>
      <c r="I11" s="98"/>
      <c r="J11" s="98"/>
    </row>
    <row r="12" spans="1:10">
      <c r="A12" s="100"/>
      <c r="B12" s="97" t="s">
        <v>60</v>
      </c>
      <c r="C12" s="98"/>
      <c r="D12" s="98"/>
      <c r="E12" s="98"/>
      <c r="F12" s="98"/>
      <c r="G12" s="98"/>
      <c r="H12" s="98"/>
      <c r="I12" s="98"/>
      <c r="J12" s="98"/>
    </row>
    <row r="13" spans="1:10" ht="5.0999999999999996" customHeight="1">
      <c r="A13" s="100"/>
      <c r="B13" s="97"/>
      <c r="C13" s="98"/>
      <c r="D13" s="98"/>
      <c r="E13" s="98"/>
      <c r="F13" s="98"/>
      <c r="G13" s="98"/>
      <c r="H13" s="98"/>
      <c r="I13" s="98"/>
      <c r="J13" s="98"/>
    </row>
    <row r="14" spans="1:10">
      <c r="A14" s="100">
        <v>3</v>
      </c>
      <c r="B14" s="99" t="s">
        <v>61</v>
      </c>
      <c r="C14" s="98"/>
      <c r="D14" s="98"/>
      <c r="E14" s="98"/>
      <c r="F14" s="98"/>
      <c r="G14" s="98"/>
      <c r="H14" s="98"/>
      <c r="I14" s="98"/>
      <c r="J14" s="98"/>
    </row>
    <row r="15" spans="1:10">
      <c r="A15" s="100"/>
      <c r="B15" s="97" t="s">
        <v>62</v>
      </c>
      <c r="C15" s="98"/>
      <c r="D15" s="98"/>
      <c r="E15" s="98"/>
      <c r="F15" s="98"/>
      <c r="G15" s="98"/>
      <c r="H15" s="98"/>
      <c r="I15" s="98"/>
      <c r="J15" s="98"/>
    </row>
    <row r="16" spans="1:10" ht="5.0999999999999996" customHeight="1">
      <c r="A16" s="100"/>
      <c r="B16" s="97"/>
      <c r="C16" s="98"/>
      <c r="D16" s="98"/>
      <c r="E16" s="98"/>
      <c r="F16" s="98"/>
      <c r="G16" s="98"/>
      <c r="H16" s="98"/>
      <c r="I16" s="98"/>
      <c r="J16" s="98"/>
    </row>
    <row r="17" spans="1:10">
      <c r="A17" s="100">
        <v>4</v>
      </c>
      <c r="B17" s="99" t="s">
        <v>63</v>
      </c>
      <c r="C17" s="98"/>
      <c r="D17" s="98"/>
      <c r="E17" s="98"/>
      <c r="F17" s="98"/>
      <c r="G17" s="98"/>
      <c r="H17" s="98"/>
      <c r="I17" s="98"/>
      <c r="J17" s="98"/>
    </row>
    <row r="18" spans="1:10">
      <c r="A18" s="100"/>
      <c r="B18" s="97" t="s">
        <v>64</v>
      </c>
      <c r="C18" s="98"/>
      <c r="D18" s="98"/>
      <c r="E18" s="98"/>
      <c r="F18" s="98"/>
      <c r="G18" s="98"/>
      <c r="H18" s="98"/>
      <c r="I18" s="98"/>
      <c r="J18" s="98"/>
    </row>
    <row r="19" spans="1:10" ht="5.0999999999999996" customHeight="1">
      <c r="A19" s="100"/>
      <c r="B19" s="97"/>
      <c r="C19" s="98"/>
      <c r="D19" s="98"/>
      <c r="E19" s="98"/>
      <c r="F19" s="98"/>
      <c r="G19" s="98"/>
      <c r="H19" s="98"/>
      <c r="I19" s="98"/>
      <c r="J19" s="98"/>
    </row>
    <row r="20" spans="1:10">
      <c r="A20" s="100">
        <v>5</v>
      </c>
      <c r="B20" s="99" t="s">
        <v>65</v>
      </c>
      <c r="C20" s="98"/>
      <c r="D20" s="98"/>
      <c r="E20" s="98"/>
      <c r="F20" s="98"/>
      <c r="G20" s="98"/>
      <c r="H20" s="98"/>
      <c r="I20" s="98"/>
      <c r="J20" s="98"/>
    </row>
    <row r="21" spans="1:10" ht="5.0999999999999996" customHeight="1">
      <c r="A21" s="100"/>
      <c r="B21" s="99"/>
      <c r="C21" s="98"/>
      <c r="D21" s="98"/>
      <c r="E21" s="98"/>
      <c r="F21" s="98"/>
      <c r="G21" s="98"/>
      <c r="H21" s="98"/>
      <c r="I21" s="98"/>
      <c r="J21" s="98"/>
    </row>
    <row r="22" spans="1:10" ht="5.0999999999999996" customHeight="1">
      <c r="A22" s="100"/>
      <c r="B22" s="99"/>
      <c r="C22" s="98"/>
      <c r="D22" s="98"/>
      <c r="E22" s="98"/>
      <c r="F22" s="98"/>
      <c r="G22" s="98"/>
      <c r="H22" s="98"/>
      <c r="I22" s="98"/>
      <c r="J22" s="98"/>
    </row>
    <row r="23" spans="1:10">
      <c r="A23" s="100">
        <v>6</v>
      </c>
      <c r="B23" s="99" t="s">
        <v>66</v>
      </c>
      <c r="C23" s="98"/>
      <c r="D23" s="98"/>
      <c r="E23" s="98"/>
      <c r="F23" s="98"/>
      <c r="G23" s="98"/>
      <c r="H23" s="98"/>
      <c r="I23" s="98"/>
      <c r="J23" s="98"/>
    </row>
    <row r="24" spans="1:10">
      <c r="A24" s="100"/>
      <c r="B24" s="99" t="s">
        <v>67</v>
      </c>
      <c r="C24" s="98"/>
      <c r="D24" s="98"/>
      <c r="E24" s="98"/>
      <c r="F24" s="98"/>
      <c r="G24" s="98"/>
      <c r="H24" s="98"/>
      <c r="I24" s="98"/>
      <c r="J24" s="98"/>
    </row>
    <row r="25" spans="1:10" ht="5.0999999999999996" customHeight="1">
      <c r="A25" s="100"/>
      <c r="B25" s="99"/>
      <c r="C25" s="98"/>
      <c r="D25" s="98"/>
      <c r="E25" s="98"/>
      <c r="F25" s="98"/>
      <c r="G25" s="98"/>
      <c r="H25" s="98"/>
      <c r="I25" s="98"/>
      <c r="J25" s="98"/>
    </row>
    <row r="26" spans="1:10">
      <c r="A26" s="100">
        <v>7</v>
      </c>
      <c r="B26" s="97" t="s">
        <v>68</v>
      </c>
      <c r="C26" s="98"/>
      <c r="D26" s="98"/>
      <c r="E26" s="98"/>
      <c r="F26" s="98"/>
      <c r="G26" s="98"/>
      <c r="H26" s="98"/>
      <c r="I26" s="98"/>
      <c r="J26" s="98"/>
    </row>
    <row r="27" spans="1:10" ht="5.0999999999999996" customHeight="1">
      <c r="A27" s="100"/>
      <c r="B27" s="97"/>
      <c r="C27" s="98"/>
      <c r="D27" s="98"/>
      <c r="E27" s="98"/>
      <c r="F27" s="98"/>
      <c r="G27" s="98"/>
      <c r="H27" s="98"/>
      <c r="I27" s="98"/>
      <c r="J27" s="98"/>
    </row>
    <row r="28" spans="1:10">
      <c r="A28" s="100">
        <v>8</v>
      </c>
      <c r="B28" s="97" t="s">
        <v>87</v>
      </c>
      <c r="C28" s="98"/>
      <c r="D28" s="98"/>
      <c r="E28" s="98"/>
      <c r="F28" s="98"/>
      <c r="G28" s="98"/>
      <c r="H28" s="98"/>
      <c r="I28" s="98"/>
      <c r="J28" s="98"/>
    </row>
    <row r="29" spans="1:10">
      <c r="A29" s="100"/>
      <c r="B29" s="97" t="s">
        <v>69</v>
      </c>
      <c r="C29" s="98"/>
      <c r="D29" s="98"/>
      <c r="E29" s="98"/>
      <c r="F29" s="98"/>
      <c r="G29" s="98"/>
      <c r="H29" s="98"/>
      <c r="I29" s="98"/>
      <c r="J29" s="98"/>
    </row>
    <row r="30" spans="1:10" ht="5.0999999999999996" customHeight="1">
      <c r="A30" s="101"/>
      <c r="B30" s="97"/>
      <c r="C30" s="98"/>
      <c r="D30" s="98"/>
      <c r="E30" s="98"/>
      <c r="F30" s="98"/>
      <c r="G30" s="98"/>
      <c r="H30" s="98"/>
      <c r="I30" s="98"/>
      <c r="J30" s="98"/>
    </row>
    <row r="31" spans="1:10" ht="14.45" customHeight="1">
      <c r="A31" s="100">
        <v>9</v>
      </c>
      <c r="B31" s="97" t="s">
        <v>82</v>
      </c>
      <c r="C31" s="98"/>
      <c r="D31" s="98"/>
      <c r="E31" s="98"/>
      <c r="F31" s="98"/>
      <c r="G31" s="98"/>
      <c r="H31" s="98"/>
      <c r="I31" s="98"/>
      <c r="J31" s="98"/>
    </row>
    <row r="32" spans="1:10" ht="5.0999999999999996" customHeight="1">
      <c r="A32" s="101"/>
      <c r="B32" s="97"/>
      <c r="C32" s="98"/>
      <c r="D32" s="98"/>
      <c r="E32" s="98"/>
      <c r="F32" s="98"/>
      <c r="G32" s="98"/>
      <c r="H32" s="98"/>
      <c r="I32" s="98"/>
      <c r="J32" s="98"/>
    </row>
    <row r="33" spans="1:10" ht="14.45" customHeight="1">
      <c r="A33" s="100">
        <v>10</v>
      </c>
      <c r="B33" s="97" t="s">
        <v>70</v>
      </c>
      <c r="C33" s="98"/>
      <c r="D33" s="98"/>
      <c r="E33" s="98"/>
      <c r="F33" s="98"/>
      <c r="G33" s="98"/>
      <c r="H33" s="98"/>
      <c r="I33" s="98"/>
      <c r="J33" s="98"/>
    </row>
    <row r="34" spans="1:10">
      <c r="A34" s="100"/>
      <c r="B34" s="97" t="s">
        <v>71</v>
      </c>
      <c r="C34" s="98"/>
      <c r="D34" s="98"/>
      <c r="E34" s="98"/>
      <c r="F34" s="98"/>
      <c r="G34" s="98"/>
      <c r="H34" s="98"/>
      <c r="I34" s="98"/>
      <c r="J34" s="98"/>
    </row>
    <row r="35" spans="1:10" ht="5.0999999999999996" customHeight="1">
      <c r="A35" s="100"/>
      <c r="B35" s="97"/>
      <c r="C35" s="98"/>
      <c r="D35" s="98"/>
      <c r="E35" s="98"/>
      <c r="F35" s="98"/>
      <c r="G35" s="98"/>
      <c r="H35" s="98"/>
      <c r="I35" s="98"/>
      <c r="J35" s="98"/>
    </row>
    <row r="36" spans="1:10">
      <c r="A36" s="100">
        <v>11</v>
      </c>
      <c r="B36" s="97" t="s">
        <v>89</v>
      </c>
      <c r="C36" s="98"/>
      <c r="D36" s="98"/>
      <c r="E36" s="98"/>
      <c r="F36" s="98"/>
      <c r="G36" s="98"/>
      <c r="H36" s="98"/>
      <c r="I36" s="98"/>
      <c r="J36" s="98"/>
    </row>
    <row r="37" spans="1:10" ht="5.0999999999999996" customHeight="1">
      <c r="A37" s="100"/>
      <c r="B37" s="97"/>
      <c r="C37" s="98"/>
      <c r="D37" s="98"/>
      <c r="E37" s="98"/>
      <c r="F37" s="98"/>
      <c r="G37" s="98"/>
      <c r="H37" s="98"/>
      <c r="I37" s="98"/>
      <c r="J37" s="98"/>
    </row>
    <row r="38" spans="1:10">
      <c r="A38" s="100">
        <v>12</v>
      </c>
      <c r="B38" s="97" t="s">
        <v>72</v>
      </c>
      <c r="C38" s="98"/>
      <c r="D38" s="98"/>
      <c r="E38" s="98"/>
      <c r="F38" s="98"/>
      <c r="G38" s="98"/>
      <c r="H38" s="98"/>
      <c r="I38" s="98"/>
      <c r="J38" s="98"/>
    </row>
    <row r="39" spans="1:10" ht="5.0999999999999996" customHeight="1">
      <c r="A39" s="100"/>
      <c r="B39" s="97"/>
      <c r="C39" s="98"/>
      <c r="D39" s="98"/>
      <c r="E39" s="98"/>
      <c r="F39" s="98"/>
      <c r="G39" s="98"/>
      <c r="H39" s="98"/>
      <c r="I39" s="98"/>
      <c r="J39" s="98"/>
    </row>
    <row r="40" spans="1:10">
      <c r="A40" s="100">
        <v>13</v>
      </c>
      <c r="B40" s="97" t="s">
        <v>90</v>
      </c>
      <c r="C40" s="98"/>
      <c r="D40" s="98"/>
      <c r="E40" s="98"/>
      <c r="F40" s="98"/>
      <c r="G40" s="98"/>
      <c r="H40" s="98"/>
      <c r="I40" s="98"/>
      <c r="J40" s="98"/>
    </row>
    <row r="41" spans="1:10">
      <c r="A41" s="100"/>
      <c r="B41" s="97" t="s">
        <v>73</v>
      </c>
      <c r="C41" s="98"/>
      <c r="D41" s="98"/>
      <c r="E41" s="98"/>
      <c r="F41" s="98"/>
      <c r="G41" s="98"/>
      <c r="H41" s="98"/>
      <c r="I41" s="98"/>
      <c r="J41" s="98"/>
    </row>
    <row r="42" spans="1:10">
      <c r="A42" s="100"/>
      <c r="B42" s="97" t="s">
        <v>74</v>
      </c>
      <c r="C42" s="98"/>
      <c r="D42" s="98"/>
      <c r="E42" s="98"/>
      <c r="F42" s="98"/>
      <c r="G42" s="98"/>
      <c r="H42" s="98"/>
      <c r="I42" s="98"/>
      <c r="J42" s="98"/>
    </row>
    <row r="43" spans="1:10">
      <c r="A43" s="100"/>
      <c r="B43" s="97" t="s">
        <v>75</v>
      </c>
      <c r="C43" s="98"/>
      <c r="D43" s="98"/>
      <c r="E43" s="98"/>
      <c r="F43" s="98"/>
      <c r="G43" s="98"/>
      <c r="H43" s="98"/>
      <c r="I43" s="98"/>
      <c r="J43" s="98"/>
    </row>
    <row r="44" spans="1:10" ht="5.0999999999999996" customHeight="1">
      <c r="A44" s="100"/>
      <c r="B44" s="97"/>
      <c r="C44" s="98"/>
      <c r="D44" s="98"/>
      <c r="E44" s="98"/>
      <c r="F44" s="98"/>
      <c r="G44" s="98"/>
      <c r="H44" s="98"/>
      <c r="I44" s="98"/>
      <c r="J44" s="98"/>
    </row>
    <row r="45" spans="1:10">
      <c r="A45" s="100">
        <v>14</v>
      </c>
      <c r="B45" s="97" t="s">
        <v>91</v>
      </c>
      <c r="C45" s="98"/>
      <c r="D45" s="98"/>
      <c r="E45" s="98"/>
      <c r="F45" s="98"/>
      <c r="G45" s="98"/>
      <c r="H45" s="98"/>
      <c r="I45" s="98"/>
      <c r="J45" s="98"/>
    </row>
    <row r="46" spans="1:10">
      <c r="A46" s="100"/>
      <c r="B46" s="97" t="s">
        <v>88</v>
      </c>
      <c r="C46" s="98"/>
      <c r="D46" s="98"/>
      <c r="E46" s="98"/>
      <c r="F46" s="98"/>
      <c r="G46" s="98"/>
      <c r="H46" s="98"/>
      <c r="I46" s="98"/>
      <c r="J46" s="98"/>
    </row>
    <row r="47" spans="1:10" ht="5.0999999999999996" customHeight="1">
      <c r="A47" s="100"/>
      <c r="B47" s="97"/>
      <c r="C47" s="98"/>
      <c r="D47" s="98"/>
      <c r="E47" s="98"/>
      <c r="F47" s="98"/>
      <c r="G47" s="98"/>
      <c r="H47" s="98"/>
      <c r="I47" s="98"/>
      <c r="J47" s="98"/>
    </row>
    <row r="48" spans="1:10">
      <c r="A48" s="100">
        <v>15</v>
      </c>
      <c r="B48" s="97" t="s">
        <v>76</v>
      </c>
      <c r="C48" s="98"/>
      <c r="D48" s="98"/>
      <c r="E48" s="98"/>
      <c r="F48" s="98"/>
      <c r="G48" s="98"/>
      <c r="H48" s="98"/>
      <c r="I48" s="98"/>
      <c r="J48" s="98"/>
    </row>
    <row r="49" spans="1:10">
      <c r="A49" s="100"/>
      <c r="B49" s="97" t="s">
        <v>77</v>
      </c>
      <c r="C49" s="98"/>
      <c r="D49" s="98"/>
      <c r="E49" s="98"/>
      <c r="F49" s="98"/>
      <c r="G49" s="98"/>
      <c r="H49" s="98"/>
      <c r="I49" s="98"/>
      <c r="J49" s="98"/>
    </row>
    <row r="50" spans="1:10" ht="5.0999999999999996" customHeight="1">
      <c r="A50" s="100"/>
      <c r="B50" s="97"/>
      <c r="C50" s="98"/>
      <c r="D50" s="98"/>
      <c r="E50" s="98"/>
      <c r="F50" s="98"/>
      <c r="G50" s="98"/>
      <c r="H50" s="98"/>
      <c r="I50" s="98"/>
      <c r="J50" s="98"/>
    </row>
    <row r="51" spans="1:10">
      <c r="A51" s="100">
        <v>16</v>
      </c>
      <c r="B51" s="97" t="s">
        <v>78</v>
      </c>
      <c r="C51" s="98"/>
      <c r="D51" s="98"/>
      <c r="E51" s="98"/>
      <c r="F51" s="98"/>
      <c r="G51" s="98"/>
      <c r="H51" s="98"/>
      <c r="I51" s="98"/>
      <c r="J51" s="98"/>
    </row>
    <row r="52" spans="1:10">
      <c r="A52" s="100"/>
      <c r="B52" s="97" t="s">
        <v>79</v>
      </c>
      <c r="C52" s="98"/>
      <c r="D52" s="98"/>
      <c r="E52" s="98"/>
      <c r="F52" s="98"/>
      <c r="G52" s="98"/>
      <c r="H52" s="98"/>
      <c r="I52" s="98"/>
      <c r="J52" s="98"/>
    </row>
    <row r="53" spans="1:10" ht="5.0999999999999996" customHeight="1">
      <c r="A53" s="100"/>
      <c r="B53" s="97"/>
      <c r="C53" s="98"/>
      <c r="D53" s="98"/>
      <c r="E53" s="98"/>
      <c r="F53" s="98"/>
      <c r="G53" s="98"/>
      <c r="H53" s="98"/>
      <c r="I53" s="98"/>
      <c r="J53" s="98"/>
    </row>
    <row r="54" spans="1:10">
      <c r="A54" s="100">
        <v>17</v>
      </c>
      <c r="B54" s="97" t="s">
        <v>80</v>
      </c>
      <c r="C54" s="98"/>
      <c r="D54" s="98"/>
      <c r="E54" s="98"/>
      <c r="F54" s="98"/>
      <c r="G54" s="98"/>
      <c r="H54" s="98"/>
      <c r="I54" s="98"/>
      <c r="J54" s="98"/>
    </row>
    <row r="55" spans="1:10">
      <c r="A55" s="100"/>
      <c r="B55" s="97" t="s">
        <v>81</v>
      </c>
      <c r="C55" s="98"/>
      <c r="D55" s="98"/>
      <c r="E55" s="98"/>
      <c r="F55" s="98"/>
      <c r="G55" s="98"/>
      <c r="H55" s="98"/>
      <c r="I55" s="98"/>
      <c r="J55" s="98"/>
    </row>
    <row r="56" spans="1:10" ht="6.95" customHeight="1">
      <c r="A56" s="100"/>
      <c r="B56" s="97"/>
      <c r="C56" s="98"/>
      <c r="D56" s="98"/>
      <c r="E56" s="98"/>
      <c r="F56" s="98"/>
      <c r="G56" s="98"/>
      <c r="H56" s="98"/>
      <c r="I56" s="98"/>
      <c r="J56" s="98"/>
    </row>
    <row r="57" spans="1:10" ht="30" customHeight="1">
      <c r="A57" s="100">
        <v>18</v>
      </c>
      <c r="B57" s="175" t="s">
        <v>83</v>
      </c>
      <c r="C57" s="175"/>
      <c r="D57" s="175"/>
      <c r="E57" s="175"/>
      <c r="F57" s="175"/>
      <c r="G57" s="175"/>
      <c r="H57" s="175"/>
      <c r="I57" s="175"/>
      <c r="J57" s="175"/>
    </row>
    <row r="59" spans="1:10">
      <c r="B59" s="92"/>
    </row>
  </sheetData>
  <mergeCells count="2">
    <mergeCell ref="A6:J7"/>
    <mergeCell ref="B57:J57"/>
  </mergeCells>
  <printOptions horizontalCentered="1" verticalCentered="1"/>
  <pageMargins left="0.70866141732283472" right="0.70866141732283472" top="1.3779527559055118" bottom="0.74803149606299213" header="0.31496062992125984" footer="0.31496062992125984"/>
  <pageSetup paperSize="9" scale="99" fitToWidth="0" orientation="portrait" r:id="rId1"/>
  <headerFooter>
    <oddHeader>&amp;C&amp;G</oddHeader>
  </headerFooter>
  <colBreaks count="1" manualBreakCount="1">
    <brk id="12" max="44" man="1"/>
  </col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2:N63"/>
  <sheetViews>
    <sheetView tabSelected="1" view="pageBreakPreview" zoomScale="85" zoomScaleNormal="85" zoomScaleSheetLayoutView="85" workbookViewId="0">
      <selection activeCell="I33" sqref="I33"/>
    </sheetView>
  </sheetViews>
  <sheetFormatPr defaultRowHeight="15"/>
  <cols>
    <col min="1" max="1" width="6.28515625" style="10" customWidth="1"/>
    <col min="2" max="2" width="16.28515625" style="10" customWidth="1"/>
    <col min="3" max="3" width="6.5703125" style="10" customWidth="1"/>
    <col min="4" max="4" width="5.7109375" style="11" customWidth="1"/>
    <col min="5" max="5" width="7.5703125" style="10" customWidth="1"/>
    <col min="6" max="6" width="11.28515625" style="10" customWidth="1"/>
    <col min="7" max="7" width="5.85546875" style="10" customWidth="1"/>
    <col min="8" max="8" width="4.85546875" style="10" customWidth="1"/>
    <col min="9" max="9" width="5.7109375" style="10" customWidth="1"/>
    <col min="10" max="10" width="19" style="10" customWidth="1"/>
    <col min="11" max="11" width="10.140625" style="10" customWidth="1"/>
    <col min="12" max="12" width="16.28515625" style="10" customWidth="1"/>
    <col min="13" max="13" width="25.28515625" style="10" customWidth="1"/>
    <col min="14" max="14" width="5.85546875" style="10" customWidth="1"/>
    <col min="15" max="256" width="8.85546875" style="6"/>
    <col min="257" max="257" width="6.28515625" style="6" customWidth="1"/>
    <col min="258" max="258" width="16.28515625" style="6" customWidth="1"/>
    <col min="259" max="259" width="6.5703125" style="6" customWidth="1"/>
    <col min="260" max="260" width="5.7109375" style="6" customWidth="1"/>
    <col min="261" max="261" width="7.5703125" style="6" customWidth="1"/>
    <col min="262" max="262" width="9.5703125" style="6" customWidth="1"/>
    <col min="263" max="263" width="5.85546875" style="6" customWidth="1"/>
    <col min="264" max="264" width="4.85546875" style="6" customWidth="1"/>
    <col min="265" max="265" width="5.7109375" style="6" customWidth="1"/>
    <col min="266" max="266" width="17" style="6" customWidth="1"/>
    <col min="267" max="267" width="10.140625" style="6" customWidth="1"/>
    <col min="268" max="268" width="12.140625" style="6" customWidth="1"/>
    <col min="269" max="269" width="25.28515625" style="6" customWidth="1"/>
    <col min="270" max="270" width="5.85546875" style="6" customWidth="1"/>
    <col min="271" max="512" width="8.85546875" style="6"/>
    <col min="513" max="513" width="6.28515625" style="6" customWidth="1"/>
    <col min="514" max="514" width="16.28515625" style="6" customWidth="1"/>
    <col min="515" max="515" width="6.5703125" style="6" customWidth="1"/>
    <col min="516" max="516" width="5.7109375" style="6" customWidth="1"/>
    <col min="517" max="517" width="7.5703125" style="6" customWidth="1"/>
    <col min="518" max="518" width="9.5703125" style="6" customWidth="1"/>
    <col min="519" max="519" width="5.85546875" style="6" customWidth="1"/>
    <col min="520" max="520" width="4.85546875" style="6" customWidth="1"/>
    <col min="521" max="521" width="5.7109375" style="6" customWidth="1"/>
    <col min="522" max="522" width="17" style="6" customWidth="1"/>
    <col min="523" max="523" width="10.140625" style="6" customWidth="1"/>
    <col min="524" max="524" width="12.140625" style="6" customWidth="1"/>
    <col min="525" max="525" width="25.28515625" style="6" customWidth="1"/>
    <col min="526" max="526" width="5.85546875" style="6" customWidth="1"/>
    <col min="527" max="768" width="8.85546875" style="6"/>
    <col min="769" max="769" width="6.28515625" style="6" customWidth="1"/>
    <col min="770" max="770" width="16.28515625" style="6" customWidth="1"/>
    <col min="771" max="771" width="6.5703125" style="6" customWidth="1"/>
    <col min="772" max="772" width="5.7109375" style="6" customWidth="1"/>
    <col min="773" max="773" width="7.5703125" style="6" customWidth="1"/>
    <col min="774" max="774" width="9.5703125" style="6" customWidth="1"/>
    <col min="775" max="775" width="5.85546875" style="6" customWidth="1"/>
    <col min="776" max="776" width="4.85546875" style="6" customWidth="1"/>
    <col min="777" max="777" width="5.7109375" style="6" customWidth="1"/>
    <col min="778" max="778" width="17" style="6" customWidth="1"/>
    <col min="779" max="779" width="10.140625" style="6" customWidth="1"/>
    <col min="780" max="780" width="12.140625" style="6" customWidth="1"/>
    <col min="781" max="781" width="25.28515625" style="6" customWidth="1"/>
    <col min="782" max="782" width="5.85546875" style="6" customWidth="1"/>
    <col min="783" max="1024" width="8.85546875" style="6"/>
    <col min="1025" max="1025" width="6.28515625" style="6" customWidth="1"/>
    <col min="1026" max="1026" width="16.28515625" style="6" customWidth="1"/>
    <col min="1027" max="1027" width="6.5703125" style="6" customWidth="1"/>
    <col min="1028" max="1028" width="5.7109375" style="6" customWidth="1"/>
    <col min="1029" max="1029" width="7.5703125" style="6" customWidth="1"/>
    <col min="1030" max="1030" width="9.5703125" style="6" customWidth="1"/>
    <col min="1031" max="1031" width="5.85546875" style="6" customWidth="1"/>
    <col min="1032" max="1032" width="4.85546875" style="6" customWidth="1"/>
    <col min="1033" max="1033" width="5.7109375" style="6" customWidth="1"/>
    <col min="1034" max="1034" width="17" style="6" customWidth="1"/>
    <col min="1035" max="1035" width="10.140625" style="6" customWidth="1"/>
    <col min="1036" max="1036" width="12.140625" style="6" customWidth="1"/>
    <col min="1037" max="1037" width="25.28515625" style="6" customWidth="1"/>
    <col min="1038" max="1038" width="5.85546875" style="6" customWidth="1"/>
    <col min="1039" max="1280" width="8.85546875" style="6"/>
    <col min="1281" max="1281" width="6.28515625" style="6" customWidth="1"/>
    <col min="1282" max="1282" width="16.28515625" style="6" customWidth="1"/>
    <col min="1283" max="1283" width="6.5703125" style="6" customWidth="1"/>
    <col min="1284" max="1284" width="5.7109375" style="6" customWidth="1"/>
    <col min="1285" max="1285" width="7.5703125" style="6" customWidth="1"/>
    <col min="1286" max="1286" width="9.5703125" style="6" customWidth="1"/>
    <col min="1287" max="1287" width="5.85546875" style="6" customWidth="1"/>
    <col min="1288" max="1288" width="4.85546875" style="6" customWidth="1"/>
    <col min="1289" max="1289" width="5.7109375" style="6" customWidth="1"/>
    <col min="1290" max="1290" width="17" style="6" customWidth="1"/>
    <col min="1291" max="1291" width="10.140625" style="6" customWidth="1"/>
    <col min="1292" max="1292" width="12.140625" style="6" customWidth="1"/>
    <col min="1293" max="1293" width="25.28515625" style="6" customWidth="1"/>
    <col min="1294" max="1294" width="5.85546875" style="6" customWidth="1"/>
    <col min="1295" max="1536" width="8.85546875" style="6"/>
    <col min="1537" max="1537" width="6.28515625" style="6" customWidth="1"/>
    <col min="1538" max="1538" width="16.28515625" style="6" customWidth="1"/>
    <col min="1539" max="1539" width="6.5703125" style="6" customWidth="1"/>
    <col min="1540" max="1540" width="5.7109375" style="6" customWidth="1"/>
    <col min="1541" max="1541" width="7.5703125" style="6" customWidth="1"/>
    <col min="1542" max="1542" width="9.5703125" style="6" customWidth="1"/>
    <col min="1543" max="1543" width="5.85546875" style="6" customWidth="1"/>
    <col min="1544" max="1544" width="4.85546875" style="6" customWidth="1"/>
    <col min="1545" max="1545" width="5.7109375" style="6" customWidth="1"/>
    <col min="1546" max="1546" width="17" style="6" customWidth="1"/>
    <col min="1547" max="1547" width="10.140625" style="6" customWidth="1"/>
    <col min="1548" max="1548" width="12.140625" style="6" customWidth="1"/>
    <col min="1549" max="1549" width="25.28515625" style="6" customWidth="1"/>
    <col min="1550" max="1550" width="5.85546875" style="6" customWidth="1"/>
    <col min="1551" max="1792" width="8.85546875" style="6"/>
    <col min="1793" max="1793" width="6.28515625" style="6" customWidth="1"/>
    <col min="1794" max="1794" width="16.28515625" style="6" customWidth="1"/>
    <col min="1795" max="1795" width="6.5703125" style="6" customWidth="1"/>
    <col min="1796" max="1796" width="5.7109375" style="6" customWidth="1"/>
    <col min="1797" max="1797" width="7.5703125" style="6" customWidth="1"/>
    <col min="1798" max="1798" width="9.5703125" style="6" customWidth="1"/>
    <col min="1799" max="1799" width="5.85546875" style="6" customWidth="1"/>
    <col min="1800" max="1800" width="4.85546875" style="6" customWidth="1"/>
    <col min="1801" max="1801" width="5.7109375" style="6" customWidth="1"/>
    <col min="1802" max="1802" width="17" style="6" customWidth="1"/>
    <col min="1803" max="1803" width="10.140625" style="6" customWidth="1"/>
    <col min="1804" max="1804" width="12.140625" style="6" customWidth="1"/>
    <col min="1805" max="1805" width="25.28515625" style="6" customWidth="1"/>
    <col min="1806" max="1806" width="5.85546875" style="6" customWidth="1"/>
    <col min="1807" max="2048" width="8.85546875" style="6"/>
    <col min="2049" max="2049" width="6.28515625" style="6" customWidth="1"/>
    <col min="2050" max="2050" width="16.28515625" style="6" customWidth="1"/>
    <col min="2051" max="2051" width="6.5703125" style="6" customWidth="1"/>
    <col min="2052" max="2052" width="5.7109375" style="6" customWidth="1"/>
    <col min="2053" max="2053" width="7.5703125" style="6" customWidth="1"/>
    <col min="2054" max="2054" width="9.5703125" style="6" customWidth="1"/>
    <col min="2055" max="2055" width="5.85546875" style="6" customWidth="1"/>
    <col min="2056" max="2056" width="4.85546875" style="6" customWidth="1"/>
    <col min="2057" max="2057" width="5.7109375" style="6" customWidth="1"/>
    <col min="2058" max="2058" width="17" style="6" customWidth="1"/>
    <col min="2059" max="2059" width="10.140625" style="6" customWidth="1"/>
    <col min="2060" max="2060" width="12.140625" style="6" customWidth="1"/>
    <col min="2061" max="2061" width="25.28515625" style="6" customWidth="1"/>
    <col min="2062" max="2062" width="5.85546875" style="6" customWidth="1"/>
    <col min="2063" max="2304" width="8.85546875" style="6"/>
    <col min="2305" max="2305" width="6.28515625" style="6" customWidth="1"/>
    <col min="2306" max="2306" width="16.28515625" style="6" customWidth="1"/>
    <col min="2307" max="2307" width="6.5703125" style="6" customWidth="1"/>
    <col min="2308" max="2308" width="5.7109375" style="6" customWidth="1"/>
    <col min="2309" max="2309" width="7.5703125" style="6" customWidth="1"/>
    <col min="2310" max="2310" width="9.5703125" style="6" customWidth="1"/>
    <col min="2311" max="2311" width="5.85546875" style="6" customWidth="1"/>
    <col min="2312" max="2312" width="4.85546875" style="6" customWidth="1"/>
    <col min="2313" max="2313" width="5.7109375" style="6" customWidth="1"/>
    <col min="2314" max="2314" width="17" style="6" customWidth="1"/>
    <col min="2315" max="2315" width="10.140625" style="6" customWidth="1"/>
    <col min="2316" max="2316" width="12.140625" style="6" customWidth="1"/>
    <col min="2317" max="2317" width="25.28515625" style="6" customWidth="1"/>
    <col min="2318" max="2318" width="5.85546875" style="6" customWidth="1"/>
    <col min="2319" max="2560" width="8.85546875" style="6"/>
    <col min="2561" max="2561" width="6.28515625" style="6" customWidth="1"/>
    <col min="2562" max="2562" width="16.28515625" style="6" customWidth="1"/>
    <col min="2563" max="2563" width="6.5703125" style="6" customWidth="1"/>
    <col min="2564" max="2564" width="5.7109375" style="6" customWidth="1"/>
    <col min="2565" max="2565" width="7.5703125" style="6" customWidth="1"/>
    <col min="2566" max="2566" width="9.5703125" style="6" customWidth="1"/>
    <col min="2567" max="2567" width="5.85546875" style="6" customWidth="1"/>
    <col min="2568" max="2568" width="4.85546875" style="6" customWidth="1"/>
    <col min="2569" max="2569" width="5.7109375" style="6" customWidth="1"/>
    <col min="2570" max="2570" width="17" style="6" customWidth="1"/>
    <col min="2571" max="2571" width="10.140625" style="6" customWidth="1"/>
    <col min="2572" max="2572" width="12.140625" style="6" customWidth="1"/>
    <col min="2573" max="2573" width="25.28515625" style="6" customWidth="1"/>
    <col min="2574" max="2574" width="5.85546875" style="6" customWidth="1"/>
    <col min="2575" max="2816" width="8.85546875" style="6"/>
    <col min="2817" max="2817" width="6.28515625" style="6" customWidth="1"/>
    <col min="2818" max="2818" width="16.28515625" style="6" customWidth="1"/>
    <col min="2819" max="2819" width="6.5703125" style="6" customWidth="1"/>
    <col min="2820" max="2820" width="5.7109375" style="6" customWidth="1"/>
    <col min="2821" max="2821" width="7.5703125" style="6" customWidth="1"/>
    <col min="2822" max="2822" width="9.5703125" style="6" customWidth="1"/>
    <col min="2823" max="2823" width="5.85546875" style="6" customWidth="1"/>
    <col min="2824" max="2824" width="4.85546875" style="6" customWidth="1"/>
    <col min="2825" max="2825" width="5.7109375" style="6" customWidth="1"/>
    <col min="2826" max="2826" width="17" style="6" customWidth="1"/>
    <col min="2827" max="2827" width="10.140625" style="6" customWidth="1"/>
    <col min="2828" max="2828" width="12.140625" style="6" customWidth="1"/>
    <col min="2829" max="2829" width="25.28515625" style="6" customWidth="1"/>
    <col min="2830" max="2830" width="5.85546875" style="6" customWidth="1"/>
    <col min="2831" max="3072" width="8.85546875" style="6"/>
    <col min="3073" max="3073" width="6.28515625" style="6" customWidth="1"/>
    <col min="3074" max="3074" width="16.28515625" style="6" customWidth="1"/>
    <col min="3075" max="3075" width="6.5703125" style="6" customWidth="1"/>
    <col min="3076" max="3076" width="5.7109375" style="6" customWidth="1"/>
    <col min="3077" max="3077" width="7.5703125" style="6" customWidth="1"/>
    <col min="3078" max="3078" width="9.5703125" style="6" customWidth="1"/>
    <col min="3079" max="3079" width="5.85546875" style="6" customWidth="1"/>
    <col min="3080" max="3080" width="4.85546875" style="6" customWidth="1"/>
    <col min="3081" max="3081" width="5.7109375" style="6" customWidth="1"/>
    <col min="3082" max="3082" width="17" style="6" customWidth="1"/>
    <col min="3083" max="3083" width="10.140625" style="6" customWidth="1"/>
    <col min="3084" max="3084" width="12.140625" style="6" customWidth="1"/>
    <col min="3085" max="3085" width="25.28515625" style="6" customWidth="1"/>
    <col min="3086" max="3086" width="5.85546875" style="6" customWidth="1"/>
    <col min="3087" max="3328" width="8.85546875" style="6"/>
    <col min="3329" max="3329" width="6.28515625" style="6" customWidth="1"/>
    <col min="3330" max="3330" width="16.28515625" style="6" customWidth="1"/>
    <col min="3331" max="3331" width="6.5703125" style="6" customWidth="1"/>
    <col min="3332" max="3332" width="5.7109375" style="6" customWidth="1"/>
    <col min="3333" max="3333" width="7.5703125" style="6" customWidth="1"/>
    <col min="3334" max="3334" width="9.5703125" style="6" customWidth="1"/>
    <col min="3335" max="3335" width="5.85546875" style="6" customWidth="1"/>
    <col min="3336" max="3336" width="4.85546875" style="6" customWidth="1"/>
    <col min="3337" max="3337" width="5.7109375" style="6" customWidth="1"/>
    <col min="3338" max="3338" width="17" style="6" customWidth="1"/>
    <col min="3339" max="3339" width="10.140625" style="6" customWidth="1"/>
    <col min="3340" max="3340" width="12.140625" style="6" customWidth="1"/>
    <col min="3341" max="3341" width="25.28515625" style="6" customWidth="1"/>
    <col min="3342" max="3342" width="5.85546875" style="6" customWidth="1"/>
    <col min="3343" max="3584" width="8.85546875" style="6"/>
    <col min="3585" max="3585" width="6.28515625" style="6" customWidth="1"/>
    <col min="3586" max="3586" width="16.28515625" style="6" customWidth="1"/>
    <col min="3587" max="3587" width="6.5703125" style="6" customWidth="1"/>
    <col min="3588" max="3588" width="5.7109375" style="6" customWidth="1"/>
    <col min="3589" max="3589" width="7.5703125" style="6" customWidth="1"/>
    <col min="3590" max="3590" width="9.5703125" style="6" customWidth="1"/>
    <col min="3591" max="3591" width="5.85546875" style="6" customWidth="1"/>
    <col min="3592" max="3592" width="4.85546875" style="6" customWidth="1"/>
    <col min="3593" max="3593" width="5.7109375" style="6" customWidth="1"/>
    <col min="3594" max="3594" width="17" style="6" customWidth="1"/>
    <col min="3595" max="3595" width="10.140625" style="6" customWidth="1"/>
    <col min="3596" max="3596" width="12.140625" style="6" customWidth="1"/>
    <col min="3597" max="3597" width="25.28515625" style="6" customWidth="1"/>
    <col min="3598" max="3598" width="5.85546875" style="6" customWidth="1"/>
    <col min="3599" max="3840" width="8.85546875" style="6"/>
    <col min="3841" max="3841" width="6.28515625" style="6" customWidth="1"/>
    <col min="3842" max="3842" width="16.28515625" style="6" customWidth="1"/>
    <col min="3843" max="3843" width="6.5703125" style="6" customWidth="1"/>
    <col min="3844" max="3844" width="5.7109375" style="6" customWidth="1"/>
    <col min="3845" max="3845" width="7.5703125" style="6" customWidth="1"/>
    <col min="3846" max="3846" width="9.5703125" style="6" customWidth="1"/>
    <col min="3847" max="3847" width="5.85546875" style="6" customWidth="1"/>
    <col min="3848" max="3848" width="4.85546875" style="6" customWidth="1"/>
    <col min="3849" max="3849" width="5.7109375" style="6" customWidth="1"/>
    <col min="3850" max="3850" width="17" style="6" customWidth="1"/>
    <col min="3851" max="3851" width="10.140625" style="6" customWidth="1"/>
    <col min="3852" max="3852" width="12.140625" style="6" customWidth="1"/>
    <col min="3853" max="3853" width="25.28515625" style="6" customWidth="1"/>
    <col min="3854" max="3854" width="5.85546875" style="6" customWidth="1"/>
    <col min="3855" max="4096" width="8.85546875" style="6"/>
    <col min="4097" max="4097" width="6.28515625" style="6" customWidth="1"/>
    <col min="4098" max="4098" width="16.28515625" style="6" customWidth="1"/>
    <col min="4099" max="4099" width="6.5703125" style="6" customWidth="1"/>
    <col min="4100" max="4100" width="5.7109375" style="6" customWidth="1"/>
    <col min="4101" max="4101" width="7.5703125" style="6" customWidth="1"/>
    <col min="4102" max="4102" width="9.5703125" style="6" customWidth="1"/>
    <col min="4103" max="4103" width="5.85546875" style="6" customWidth="1"/>
    <col min="4104" max="4104" width="4.85546875" style="6" customWidth="1"/>
    <col min="4105" max="4105" width="5.7109375" style="6" customWidth="1"/>
    <col min="4106" max="4106" width="17" style="6" customWidth="1"/>
    <col min="4107" max="4107" width="10.140625" style="6" customWidth="1"/>
    <col min="4108" max="4108" width="12.140625" style="6" customWidth="1"/>
    <col min="4109" max="4109" width="25.28515625" style="6" customWidth="1"/>
    <col min="4110" max="4110" width="5.85546875" style="6" customWidth="1"/>
    <col min="4111" max="4352" width="8.85546875" style="6"/>
    <col min="4353" max="4353" width="6.28515625" style="6" customWidth="1"/>
    <col min="4354" max="4354" width="16.28515625" style="6" customWidth="1"/>
    <col min="4355" max="4355" width="6.5703125" style="6" customWidth="1"/>
    <col min="4356" max="4356" width="5.7109375" style="6" customWidth="1"/>
    <col min="4357" max="4357" width="7.5703125" style="6" customWidth="1"/>
    <col min="4358" max="4358" width="9.5703125" style="6" customWidth="1"/>
    <col min="4359" max="4359" width="5.85546875" style="6" customWidth="1"/>
    <col min="4360" max="4360" width="4.85546875" style="6" customWidth="1"/>
    <col min="4361" max="4361" width="5.7109375" style="6" customWidth="1"/>
    <col min="4362" max="4362" width="17" style="6" customWidth="1"/>
    <col min="4363" max="4363" width="10.140625" style="6" customWidth="1"/>
    <col min="4364" max="4364" width="12.140625" style="6" customWidth="1"/>
    <col min="4365" max="4365" width="25.28515625" style="6" customWidth="1"/>
    <col min="4366" max="4366" width="5.85546875" style="6" customWidth="1"/>
    <col min="4367" max="4608" width="8.85546875" style="6"/>
    <col min="4609" max="4609" width="6.28515625" style="6" customWidth="1"/>
    <col min="4610" max="4610" width="16.28515625" style="6" customWidth="1"/>
    <col min="4611" max="4611" width="6.5703125" style="6" customWidth="1"/>
    <col min="4612" max="4612" width="5.7109375" style="6" customWidth="1"/>
    <col min="4613" max="4613" width="7.5703125" style="6" customWidth="1"/>
    <col min="4614" max="4614" width="9.5703125" style="6" customWidth="1"/>
    <col min="4615" max="4615" width="5.85546875" style="6" customWidth="1"/>
    <col min="4616" max="4616" width="4.85546875" style="6" customWidth="1"/>
    <col min="4617" max="4617" width="5.7109375" style="6" customWidth="1"/>
    <col min="4618" max="4618" width="17" style="6" customWidth="1"/>
    <col min="4619" max="4619" width="10.140625" style="6" customWidth="1"/>
    <col min="4620" max="4620" width="12.140625" style="6" customWidth="1"/>
    <col min="4621" max="4621" width="25.28515625" style="6" customWidth="1"/>
    <col min="4622" max="4622" width="5.85546875" style="6" customWidth="1"/>
    <col min="4623" max="4864" width="8.85546875" style="6"/>
    <col min="4865" max="4865" width="6.28515625" style="6" customWidth="1"/>
    <col min="4866" max="4866" width="16.28515625" style="6" customWidth="1"/>
    <col min="4867" max="4867" width="6.5703125" style="6" customWidth="1"/>
    <col min="4868" max="4868" width="5.7109375" style="6" customWidth="1"/>
    <col min="4869" max="4869" width="7.5703125" style="6" customWidth="1"/>
    <col min="4870" max="4870" width="9.5703125" style="6" customWidth="1"/>
    <col min="4871" max="4871" width="5.85546875" style="6" customWidth="1"/>
    <col min="4872" max="4872" width="4.85546875" style="6" customWidth="1"/>
    <col min="4873" max="4873" width="5.7109375" style="6" customWidth="1"/>
    <col min="4874" max="4874" width="17" style="6" customWidth="1"/>
    <col min="4875" max="4875" width="10.140625" style="6" customWidth="1"/>
    <col min="4876" max="4876" width="12.140625" style="6" customWidth="1"/>
    <col min="4877" max="4877" width="25.28515625" style="6" customWidth="1"/>
    <col min="4878" max="4878" width="5.85546875" style="6" customWidth="1"/>
    <col min="4879" max="5120" width="8.85546875" style="6"/>
    <col min="5121" max="5121" width="6.28515625" style="6" customWidth="1"/>
    <col min="5122" max="5122" width="16.28515625" style="6" customWidth="1"/>
    <col min="5123" max="5123" width="6.5703125" style="6" customWidth="1"/>
    <col min="5124" max="5124" width="5.7109375" style="6" customWidth="1"/>
    <col min="5125" max="5125" width="7.5703125" style="6" customWidth="1"/>
    <col min="5126" max="5126" width="9.5703125" style="6" customWidth="1"/>
    <col min="5127" max="5127" width="5.85546875" style="6" customWidth="1"/>
    <col min="5128" max="5128" width="4.85546875" style="6" customWidth="1"/>
    <col min="5129" max="5129" width="5.7109375" style="6" customWidth="1"/>
    <col min="5130" max="5130" width="17" style="6" customWidth="1"/>
    <col min="5131" max="5131" width="10.140625" style="6" customWidth="1"/>
    <col min="5132" max="5132" width="12.140625" style="6" customWidth="1"/>
    <col min="5133" max="5133" width="25.28515625" style="6" customWidth="1"/>
    <col min="5134" max="5134" width="5.85546875" style="6" customWidth="1"/>
    <col min="5135" max="5376" width="8.85546875" style="6"/>
    <col min="5377" max="5377" width="6.28515625" style="6" customWidth="1"/>
    <col min="5378" max="5378" width="16.28515625" style="6" customWidth="1"/>
    <col min="5379" max="5379" width="6.5703125" style="6" customWidth="1"/>
    <col min="5380" max="5380" width="5.7109375" style="6" customWidth="1"/>
    <col min="5381" max="5381" width="7.5703125" style="6" customWidth="1"/>
    <col min="5382" max="5382" width="9.5703125" style="6" customWidth="1"/>
    <col min="5383" max="5383" width="5.85546875" style="6" customWidth="1"/>
    <col min="5384" max="5384" width="4.85546875" style="6" customWidth="1"/>
    <col min="5385" max="5385" width="5.7109375" style="6" customWidth="1"/>
    <col min="5386" max="5386" width="17" style="6" customWidth="1"/>
    <col min="5387" max="5387" width="10.140625" style="6" customWidth="1"/>
    <col min="5388" max="5388" width="12.140625" style="6" customWidth="1"/>
    <col min="5389" max="5389" width="25.28515625" style="6" customWidth="1"/>
    <col min="5390" max="5390" width="5.85546875" style="6" customWidth="1"/>
    <col min="5391" max="5632" width="8.85546875" style="6"/>
    <col min="5633" max="5633" width="6.28515625" style="6" customWidth="1"/>
    <col min="5634" max="5634" width="16.28515625" style="6" customWidth="1"/>
    <col min="5635" max="5635" width="6.5703125" style="6" customWidth="1"/>
    <col min="5636" max="5636" width="5.7109375" style="6" customWidth="1"/>
    <col min="5637" max="5637" width="7.5703125" style="6" customWidth="1"/>
    <col min="5638" max="5638" width="9.5703125" style="6" customWidth="1"/>
    <col min="5639" max="5639" width="5.85546875" style="6" customWidth="1"/>
    <col min="5640" max="5640" width="4.85546875" style="6" customWidth="1"/>
    <col min="5641" max="5641" width="5.7109375" style="6" customWidth="1"/>
    <col min="5642" max="5642" width="17" style="6" customWidth="1"/>
    <col min="5643" max="5643" width="10.140625" style="6" customWidth="1"/>
    <col min="5644" max="5644" width="12.140625" style="6" customWidth="1"/>
    <col min="5645" max="5645" width="25.28515625" style="6" customWidth="1"/>
    <col min="5646" max="5646" width="5.85546875" style="6" customWidth="1"/>
    <col min="5647" max="5888" width="8.85546875" style="6"/>
    <col min="5889" max="5889" width="6.28515625" style="6" customWidth="1"/>
    <col min="5890" max="5890" width="16.28515625" style="6" customWidth="1"/>
    <col min="5891" max="5891" width="6.5703125" style="6" customWidth="1"/>
    <col min="5892" max="5892" width="5.7109375" style="6" customWidth="1"/>
    <col min="5893" max="5893" width="7.5703125" style="6" customWidth="1"/>
    <col min="5894" max="5894" width="9.5703125" style="6" customWidth="1"/>
    <col min="5895" max="5895" width="5.85546875" style="6" customWidth="1"/>
    <col min="5896" max="5896" width="4.85546875" style="6" customWidth="1"/>
    <col min="5897" max="5897" width="5.7109375" style="6" customWidth="1"/>
    <col min="5898" max="5898" width="17" style="6" customWidth="1"/>
    <col min="5899" max="5899" width="10.140625" style="6" customWidth="1"/>
    <col min="5900" max="5900" width="12.140625" style="6" customWidth="1"/>
    <col min="5901" max="5901" width="25.28515625" style="6" customWidth="1"/>
    <col min="5902" max="5902" width="5.85546875" style="6" customWidth="1"/>
    <col min="5903" max="6144" width="8.85546875" style="6"/>
    <col min="6145" max="6145" width="6.28515625" style="6" customWidth="1"/>
    <col min="6146" max="6146" width="16.28515625" style="6" customWidth="1"/>
    <col min="6147" max="6147" width="6.5703125" style="6" customWidth="1"/>
    <col min="6148" max="6148" width="5.7109375" style="6" customWidth="1"/>
    <col min="6149" max="6149" width="7.5703125" style="6" customWidth="1"/>
    <col min="6150" max="6150" width="9.5703125" style="6" customWidth="1"/>
    <col min="6151" max="6151" width="5.85546875" style="6" customWidth="1"/>
    <col min="6152" max="6152" width="4.85546875" style="6" customWidth="1"/>
    <col min="6153" max="6153" width="5.7109375" style="6" customWidth="1"/>
    <col min="6154" max="6154" width="17" style="6" customWidth="1"/>
    <col min="6155" max="6155" width="10.140625" style="6" customWidth="1"/>
    <col min="6156" max="6156" width="12.140625" style="6" customWidth="1"/>
    <col min="6157" max="6157" width="25.28515625" style="6" customWidth="1"/>
    <col min="6158" max="6158" width="5.85546875" style="6" customWidth="1"/>
    <col min="6159" max="6400" width="8.85546875" style="6"/>
    <col min="6401" max="6401" width="6.28515625" style="6" customWidth="1"/>
    <col min="6402" max="6402" width="16.28515625" style="6" customWidth="1"/>
    <col min="6403" max="6403" width="6.5703125" style="6" customWidth="1"/>
    <col min="6404" max="6404" width="5.7109375" style="6" customWidth="1"/>
    <col min="6405" max="6405" width="7.5703125" style="6" customWidth="1"/>
    <col min="6406" max="6406" width="9.5703125" style="6" customWidth="1"/>
    <col min="6407" max="6407" width="5.85546875" style="6" customWidth="1"/>
    <col min="6408" max="6408" width="4.85546875" style="6" customWidth="1"/>
    <col min="6409" max="6409" width="5.7109375" style="6" customWidth="1"/>
    <col min="6410" max="6410" width="17" style="6" customWidth="1"/>
    <col min="6411" max="6411" width="10.140625" style="6" customWidth="1"/>
    <col min="6412" max="6412" width="12.140625" style="6" customWidth="1"/>
    <col min="6413" max="6413" width="25.28515625" style="6" customWidth="1"/>
    <col min="6414" max="6414" width="5.85546875" style="6" customWidth="1"/>
    <col min="6415" max="6656" width="8.85546875" style="6"/>
    <col min="6657" max="6657" width="6.28515625" style="6" customWidth="1"/>
    <col min="6658" max="6658" width="16.28515625" style="6" customWidth="1"/>
    <col min="6659" max="6659" width="6.5703125" style="6" customWidth="1"/>
    <col min="6660" max="6660" width="5.7109375" style="6" customWidth="1"/>
    <col min="6661" max="6661" width="7.5703125" style="6" customWidth="1"/>
    <col min="6662" max="6662" width="9.5703125" style="6" customWidth="1"/>
    <col min="6663" max="6663" width="5.85546875" style="6" customWidth="1"/>
    <col min="6664" max="6664" width="4.85546875" style="6" customWidth="1"/>
    <col min="6665" max="6665" width="5.7109375" style="6" customWidth="1"/>
    <col min="6666" max="6666" width="17" style="6" customWidth="1"/>
    <col min="6667" max="6667" width="10.140625" style="6" customWidth="1"/>
    <col min="6668" max="6668" width="12.140625" style="6" customWidth="1"/>
    <col min="6669" max="6669" width="25.28515625" style="6" customWidth="1"/>
    <col min="6670" max="6670" width="5.85546875" style="6" customWidth="1"/>
    <col min="6671" max="6912" width="8.85546875" style="6"/>
    <col min="6913" max="6913" width="6.28515625" style="6" customWidth="1"/>
    <col min="6914" max="6914" width="16.28515625" style="6" customWidth="1"/>
    <col min="6915" max="6915" width="6.5703125" style="6" customWidth="1"/>
    <col min="6916" max="6916" width="5.7109375" style="6" customWidth="1"/>
    <col min="6917" max="6917" width="7.5703125" style="6" customWidth="1"/>
    <col min="6918" max="6918" width="9.5703125" style="6" customWidth="1"/>
    <col min="6919" max="6919" width="5.85546875" style="6" customWidth="1"/>
    <col min="6920" max="6920" width="4.85546875" style="6" customWidth="1"/>
    <col min="6921" max="6921" width="5.7109375" style="6" customWidth="1"/>
    <col min="6922" max="6922" width="17" style="6" customWidth="1"/>
    <col min="6923" max="6923" width="10.140625" style="6" customWidth="1"/>
    <col min="6924" max="6924" width="12.140625" style="6" customWidth="1"/>
    <col min="6925" max="6925" width="25.28515625" style="6" customWidth="1"/>
    <col min="6926" max="6926" width="5.85546875" style="6" customWidth="1"/>
    <col min="6927" max="7168" width="8.85546875" style="6"/>
    <col min="7169" max="7169" width="6.28515625" style="6" customWidth="1"/>
    <col min="7170" max="7170" width="16.28515625" style="6" customWidth="1"/>
    <col min="7171" max="7171" width="6.5703125" style="6" customWidth="1"/>
    <col min="7172" max="7172" width="5.7109375" style="6" customWidth="1"/>
    <col min="7173" max="7173" width="7.5703125" style="6" customWidth="1"/>
    <col min="7174" max="7174" width="9.5703125" style="6" customWidth="1"/>
    <col min="7175" max="7175" width="5.85546875" style="6" customWidth="1"/>
    <col min="7176" max="7176" width="4.85546875" style="6" customWidth="1"/>
    <col min="7177" max="7177" width="5.7109375" style="6" customWidth="1"/>
    <col min="7178" max="7178" width="17" style="6" customWidth="1"/>
    <col min="7179" max="7179" width="10.140625" style="6" customWidth="1"/>
    <col min="7180" max="7180" width="12.140625" style="6" customWidth="1"/>
    <col min="7181" max="7181" width="25.28515625" style="6" customWidth="1"/>
    <col min="7182" max="7182" width="5.85546875" style="6" customWidth="1"/>
    <col min="7183" max="7424" width="8.85546875" style="6"/>
    <col min="7425" max="7425" width="6.28515625" style="6" customWidth="1"/>
    <col min="7426" max="7426" width="16.28515625" style="6" customWidth="1"/>
    <col min="7427" max="7427" width="6.5703125" style="6" customWidth="1"/>
    <col min="7428" max="7428" width="5.7109375" style="6" customWidth="1"/>
    <col min="7429" max="7429" width="7.5703125" style="6" customWidth="1"/>
    <col min="7430" max="7430" width="9.5703125" style="6" customWidth="1"/>
    <col min="7431" max="7431" width="5.85546875" style="6" customWidth="1"/>
    <col min="7432" max="7432" width="4.85546875" style="6" customWidth="1"/>
    <col min="7433" max="7433" width="5.7109375" style="6" customWidth="1"/>
    <col min="7434" max="7434" width="17" style="6" customWidth="1"/>
    <col min="7435" max="7435" width="10.140625" style="6" customWidth="1"/>
    <col min="7436" max="7436" width="12.140625" style="6" customWidth="1"/>
    <col min="7437" max="7437" width="25.28515625" style="6" customWidth="1"/>
    <col min="7438" max="7438" width="5.85546875" style="6" customWidth="1"/>
    <col min="7439" max="7680" width="8.85546875" style="6"/>
    <col min="7681" max="7681" width="6.28515625" style="6" customWidth="1"/>
    <col min="7682" max="7682" width="16.28515625" style="6" customWidth="1"/>
    <col min="7683" max="7683" width="6.5703125" style="6" customWidth="1"/>
    <col min="7684" max="7684" width="5.7109375" style="6" customWidth="1"/>
    <col min="7685" max="7685" width="7.5703125" style="6" customWidth="1"/>
    <col min="7686" max="7686" width="9.5703125" style="6" customWidth="1"/>
    <col min="7687" max="7687" width="5.85546875" style="6" customWidth="1"/>
    <col min="7688" max="7688" width="4.85546875" style="6" customWidth="1"/>
    <col min="7689" max="7689" width="5.7109375" style="6" customWidth="1"/>
    <col min="7690" max="7690" width="17" style="6" customWidth="1"/>
    <col min="7691" max="7691" width="10.140625" style="6" customWidth="1"/>
    <col min="7692" max="7692" width="12.140625" style="6" customWidth="1"/>
    <col min="7693" max="7693" width="25.28515625" style="6" customWidth="1"/>
    <col min="7694" max="7694" width="5.85546875" style="6" customWidth="1"/>
    <col min="7695" max="7936" width="8.85546875" style="6"/>
    <col min="7937" max="7937" width="6.28515625" style="6" customWidth="1"/>
    <col min="7938" max="7938" width="16.28515625" style="6" customWidth="1"/>
    <col min="7939" max="7939" width="6.5703125" style="6" customWidth="1"/>
    <col min="7940" max="7940" width="5.7109375" style="6" customWidth="1"/>
    <col min="7941" max="7941" width="7.5703125" style="6" customWidth="1"/>
    <col min="7942" max="7942" width="9.5703125" style="6" customWidth="1"/>
    <col min="7943" max="7943" width="5.85546875" style="6" customWidth="1"/>
    <col min="7944" max="7944" width="4.85546875" style="6" customWidth="1"/>
    <col min="7945" max="7945" width="5.7109375" style="6" customWidth="1"/>
    <col min="7946" max="7946" width="17" style="6" customWidth="1"/>
    <col min="7947" max="7947" width="10.140625" style="6" customWidth="1"/>
    <col min="7948" max="7948" width="12.140625" style="6" customWidth="1"/>
    <col min="7949" max="7949" width="25.28515625" style="6" customWidth="1"/>
    <col min="7950" max="7950" width="5.85546875" style="6" customWidth="1"/>
    <col min="7951" max="8192" width="8.85546875" style="6"/>
    <col min="8193" max="8193" width="6.28515625" style="6" customWidth="1"/>
    <col min="8194" max="8194" width="16.28515625" style="6" customWidth="1"/>
    <col min="8195" max="8195" width="6.5703125" style="6" customWidth="1"/>
    <col min="8196" max="8196" width="5.7109375" style="6" customWidth="1"/>
    <col min="8197" max="8197" width="7.5703125" style="6" customWidth="1"/>
    <col min="8198" max="8198" width="9.5703125" style="6" customWidth="1"/>
    <col min="8199" max="8199" width="5.85546875" style="6" customWidth="1"/>
    <col min="8200" max="8200" width="4.85546875" style="6" customWidth="1"/>
    <col min="8201" max="8201" width="5.7109375" style="6" customWidth="1"/>
    <col min="8202" max="8202" width="17" style="6" customWidth="1"/>
    <col min="8203" max="8203" width="10.140625" style="6" customWidth="1"/>
    <col min="8204" max="8204" width="12.140625" style="6" customWidth="1"/>
    <col min="8205" max="8205" width="25.28515625" style="6" customWidth="1"/>
    <col min="8206" max="8206" width="5.85546875" style="6" customWidth="1"/>
    <col min="8207" max="8448" width="8.85546875" style="6"/>
    <col min="8449" max="8449" width="6.28515625" style="6" customWidth="1"/>
    <col min="8450" max="8450" width="16.28515625" style="6" customWidth="1"/>
    <col min="8451" max="8451" width="6.5703125" style="6" customWidth="1"/>
    <col min="8452" max="8452" width="5.7109375" style="6" customWidth="1"/>
    <col min="8453" max="8453" width="7.5703125" style="6" customWidth="1"/>
    <col min="8454" max="8454" width="9.5703125" style="6" customWidth="1"/>
    <col min="8455" max="8455" width="5.85546875" style="6" customWidth="1"/>
    <col min="8456" max="8456" width="4.85546875" style="6" customWidth="1"/>
    <col min="8457" max="8457" width="5.7109375" style="6" customWidth="1"/>
    <col min="8458" max="8458" width="17" style="6" customWidth="1"/>
    <col min="8459" max="8459" width="10.140625" style="6" customWidth="1"/>
    <col min="8460" max="8460" width="12.140625" style="6" customWidth="1"/>
    <col min="8461" max="8461" width="25.28515625" style="6" customWidth="1"/>
    <col min="8462" max="8462" width="5.85546875" style="6" customWidth="1"/>
    <col min="8463" max="8704" width="8.85546875" style="6"/>
    <col min="8705" max="8705" width="6.28515625" style="6" customWidth="1"/>
    <col min="8706" max="8706" width="16.28515625" style="6" customWidth="1"/>
    <col min="8707" max="8707" width="6.5703125" style="6" customWidth="1"/>
    <col min="8708" max="8708" width="5.7109375" style="6" customWidth="1"/>
    <col min="8709" max="8709" width="7.5703125" style="6" customWidth="1"/>
    <col min="8710" max="8710" width="9.5703125" style="6" customWidth="1"/>
    <col min="8711" max="8711" width="5.85546875" style="6" customWidth="1"/>
    <col min="8712" max="8712" width="4.85546875" style="6" customWidth="1"/>
    <col min="8713" max="8713" width="5.7109375" style="6" customWidth="1"/>
    <col min="8714" max="8714" width="17" style="6" customWidth="1"/>
    <col min="8715" max="8715" width="10.140625" style="6" customWidth="1"/>
    <col min="8716" max="8716" width="12.140625" style="6" customWidth="1"/>
    <col min="8717" max="8717" width="25.28515625" style="6" customWidth="1"/>
    <col min="8718" max="8718" width="5.85546875" style="6" customWidth="1"/>
    <col min="8719" max="8960" width="8.85546875" style="6"/>
    <col min="8961" max="8961" width="6.28515625" style="6" customWidth="1"/>
    <col min="8962" max="8962" width="16.28515625" style="6" customWidth="1"/>
    <col min="8963" max="8963" width="6.5703125" style="6" customWidth="1"/>
    <col min="8964" max="8964" width="5.7109375" style="6" customWidth="1"/>
    <col min="8965" max="8965" width="7.5703125" style="6" customWidth="1"/>
    <col min="8966" max="8966" width="9.5703125" style="6" customWidth="1"/>
    <col min="8967" max="8967" width="5.85546875" style="6" customWidth="1"/>
    <col min="8968" max="8968" width="4.85546875" style="6" customWidth="1"/>
    <col min="8969" max="8969" width="5.7109375" style="6" customWidth="1"/>
    <col min="8970" max="8970" width="17" style="6" customWidth="1"/>
    <col min="8971" max="8971" width="10.140625" style="6" customWidth="1"/>
    <col min="8972" max="8972" width="12.140625" style="6" customWidth="1"/>
    <col min="8973" max="8973" width="25.28515625" style="6" customWidth="1"/>
    <col min="8974" max="8974" width="5.85546875" style="6" customWidth="1"/>
    <col min="8975" max="9216" width="8.85546875" style="6"/>
    <col min="9217" max="9217" width="6.28515625" style="6" customWidth="1"/>
    <col min="9218" max="9218" width="16.28515625" style="6" customWidth="1"/>
    <col min="9219" max="9219" width="6.5703125" style="6" customWidth="1"/>
    <col min="9220" max="9220" width="5.7109375" style="6" customWidth="1"/>
    <col min="9221" max="9221" width="7.5703125" style="6" customWidth="1"/>
    <col min="9222" max="9222" width="9.5703125" style="6" customWidth="1"/>
    <col min="9223" max="9223" width="5.85546875" style="6" customWidth="1"/>
    <col min="9224" max="9224" width="4.85546875" style="6" customWidth="1"/>
    <col min="9225" max="9225" width="5.7109375" style="6" customWidth="1"/>
    <col min="9226" max="9226" width="17" style="6" customWidth="1"/>
    <col min="9227" max="9227" width="10.140625" style="6" customWidth="1"/>
    <col min="9228" max="9228" width="12.140625" style="6" customWidth="1"/>
    <col min="9229" max="9229" width="25.28515625" style="6" customWidth="1"/>
    <col min="9230" max="9230" width="5.85546875" style="6" customWidth="1"/>
    <col min="9231" max="9472" width="8.85546875" style="6"/>
    <col min="9473" max="9473" width="6.28515625" style="6" customWidth="1"/>
    <col min="9474" max="9474" width="16.28515625" style="6" customWidth="1"/>
    <col min="9475" max="9475" width="6.5703125" style="6" customWidth="1"/>
    <col min="9476" max="9476" width="5.7109375" style="6" customWidth="1"/>
    <col min="9477" max="9477" width="7.5703125" style="6" customWidth="1"/>
    <col min="9478" max="9478" width="9.5703125" style="6" customWidth="1"/>
    <col min="9479" max="9479" width="5.85546875" style="6" customWidth="1"/>
    <col min="9480" max="9480" width="4.85546875" style="6" customWidth="1"/>
    <col min="9481" max="9481" width="5.7109375" style="6" customWidth="1"/>
    <col min="9482" max="9482" width="17" style="6" customWidth="1"/>
    <col min="9483" max="9483" width="10.140625" style="6" customWidth="1"/>
    <col min="9484" max="9484" width="12.140625" style="6" customWidth="1"/>
    <col min="9485" max="9485" width="25.28515625" style="6" customWidth="1"/>
    <col min="9486" max="9486" width="5.85546875" style="6" customWidth="1"/>
    <col min="9487" max="9728" width="8.85546875" style="6"/>
    <col min="9729" max="9729" width="6.28515625" style="6" customWidth="1"/>
    <col min="9730" max="9730" width="16.28515625" style="6" customWidth="1"/>
    <col min="9731" max="9731" width="6.5703125" style="6" customWidth="1"/>
    <col min="9732" max="9732" width="5.7109375" style="6" customWidth="1"/>
    <col min="9733" max="9733" width="7.5703125" style="6" customWidth="1"/>
    <col min="9734" max="9734" width="9.5703125" style="6" customWidth="1"/>
    <col min="9735" max="9735" width="5.85546875" style="6" customWidth="1"/>
    <col min="9736" max="9736" width="4.85546875" style="6" customWidth="1"/>
    <col min="9737" max="9737" width="5.7109375" style="6" customWidth="1"/>
    <col min="9738" max="9738" width="17" style="6" customWidth="1"/>
    <col min="9739" max="9739" width="10.140625" style="6" customWidth="1"/>
    <col min="9740" max="9740" width="12.140625" style="6" customWidth="1"/>
    <col min="9741" max="9741" width="25.28515625" style="6" customWidth="1"/>
    <col min="9742" max="9742" width="5.85546875" style="6" customWidth="1"/>
    <col min="9743" max="9984" width="8.85546875" style="6"/>
    <col min="9985" max="9985" width="6.28515625" style="6" customWidth="1"/>
    <col min="9986" max="9986" width="16.28515625" style="6" customWidth="1"/>
    <col min="9987" max="9987" width="6.5703125" style="6" customWidth="1"/>
    <col min="9988" max="9988" width="5.7109375" style="6" customWidth="1"/>
    <col min="9989" max="9989" width="7.5703125" style="6" customWidth="1"/>
    <col min="9990" max="9990" width="9.5703125" style="6" customWidth="1"/>
    <col min="9991" max="9991" width="5.85546875" style="6" customWidth="1"/>
    <col min="9992" max="9992" width="4.85546875" style="6" customWidth="1"/>
    <col min="9993" max="9993" width="5.7109375" style="6" customWidth="1"/>
    <col min="9994" max="9994" width="17" style="6" customWidth="1"/>
    <col min="9995" max="9995" width="10.140625" style="6" customWidth="1"/>
    <col min="9996" max="9996" width="12.140625" style="6" customWidth="1"/>
    <col min="9997" max="9997" width="25.28515625" style="6" customWidth="1"/>
    <col min="9998" max="9998" width="5.85546875" style="6" customWidth="1"/>
    <col min="9999" max="10240" width="8.85546875" style="6"/>
    <col min="10241" max="10241" width="6.28515625" style="6" customWidth="1"/>
    <col min="10242" max="10242" width="16.28515625" style="6" customWidth="1"/>
    <col min="10243" max="10243" width="6.5703125" style="6" customWidth="1"/>
    <col min="10244" max="10244" width="5.7109375" style="6" customWidth="1"/>
    <col min="10245" max="10245" width="7.5703125" style="6" customWidth="1"/>
    <col min="10246" max="10246" width="9.5703125" style="6" customWidth="1"/>
    <col min="10247" max="10247" width="5.85546875" style="6" customWidth="1"/>
    <col min="10248" max="10248" width="4.85546875" style="6" customWidth="1"/>
    <col min="10249" max="10249" width="5.7109375" style="6" customWidth="1"/>
    <col min="10250" max="10250" width="17" style="6" customWidth="1"/>
    <col min="10251" max="10251" width="10.140625" style="6" customWidth="1"/>
    <col min="10252" max="10252" width="12.140625" style="6" customWidth="1"/>
    <col min="10253" max="10253" width="25.28515625" style="6" customWidth="1"/>
    <col min="10254" max="10254" width="5.85546875" style="6" customWidth="1"/>
    <col min="10255" max="10496" width="8.85546875" style="6"/>
    <col min="10497" max="10497" width="6.28515625" style="6" customWidth="1"/>
    <col min="10498" max="10498" width="16.28515625" style="6" customWidth="1"/>
    <col min="10499" max="10499" width="6.5703125" style="6" customWidth="1"/>
    <col min="10500" max="10500" width="5.7109375" style="6" customWidth="1"/>
    <col min="10501" max="10501" width="7.5703125" style="6" customWidth="1"/>
    <col min="10502" max="10502" width="9.5703125" style="6" customWidth="1"/>
    <col min="10503" max="10503" width="5.85546875" style="6" customWidth="1"/>
    <col min="10504" max="10504" width="4.85546875" style="6" customWidth="1"/>
    <col min="10505" max="10505" width="5.7109375" style="6" customWidth="1"/>
    <col min="10506" max="10506" width="17" style="6" customWidth="1"/>
    <col min="10507" max="10507" width="10.140625" style="6" customWidth="1"/>
    <col min="10508" max="10508" width="12.140625" style="6" customWidth="1"/>
    <col min="10509" max="10509" width="25.28515625" style="6" customWidth="1"/>
    <col min="10510" max="10510" width="5.85546875" style="6" customWidth="1"/>
    <col min="10511" max="10752" width="8.85546875" style="6"/>
    <col min="10753" max="10753" width="6.28515625" style="6" customWidth="1"/>
    <col min="10754" max="10754" width="16.28515625" style="6" customWidth="1"/>
    <col min="10755" max="10755" width="6.5703125" style="6" customWidth="1"/>
    <col min="10756" max="10756" width="5.7109375" style="6" customWidth="1"/>
    <col min="10757" max="10757" width="7.5703125" style="6" customWidth="1"/>
    <col min="10758" max="10758" width="9.5703125" style="6" customWidth="1"/>
    <col min="10759" max="10759" width="5.85546875" style="6" customWidth="1"/>
    <col min="10760" max="10760" width="4.85546875" style="6" customWidth="1"/>
    <col min="10761" max="10761" width="5.7109375" style="6" customWidth="1"/>
    <col min="10762" max="10762" width="17" style="6" customWidth="1"/>
    <col min="10763" max="10763" width="10.140625" style="6" customWidth="1"/>
    <col min="10764" max="10764" width="12.140625" style="6" customWidth="1"/>
    <col min="10765" max="10765" width="25.28515625" style="6" customWidth="1"/>
    <col min="10766" max="10766" width="5.85546875" style="6" customWidth="1"/>
    <col min="10767" max="11008" width="8.85546875" style="6"/>
    <col min="11009" max="11009" width="6.28515625" style="6" customWidth="1"/>
    <col min="11010" max="11010" width="16.28515625" style="6" customWidth="1"/>
    <col min="11011" max="11011" width="6.5703125" style="6" customWidth="1"/>
    <col min="11012" max="11012" width="5.7109375" style="6" customWidth="1"/>
    <col min="11013" max="11013" width="7.5703125" style="6" customWidth="1"/>
    <col min="11014" max="11014" width="9.5703125" style="6" customWidth="1"/>
    <col min="11015" max="11015" width="5.85546875" style="6" customWidth="1"/>
    <col min="11016" max="11016" width="4.85546875" style="6" customWidth="1"/>
    <col min="11017" max="11017" width="5.7109375" style="6" customWidth="1"/>
    <col min="11018" max="11018" width="17" style="6" customWidth="1"/>
    <col min="11019" max="11019" width="10.140625" style="6" customWidth="1"/>
    <col min="11020" max="11020" width="12.140625" style="6" customWidth="1"/>
    <col min="11021" max="11021" width="25.28515625" style="6" customWidth="1"/>
    <col min="11022" max="11022" width="5.85546875" style="6" customWidth="1"/>
    <col min="11023" max="11264" width="8.85546875" style="6"/>
    <col min="11265" max="11265" width="6.28515625" style="6" customWidth="1"/>
    <col min="11266" max="11266" width="16.28515625" style="6" customWidth="1"/>
    <col min="11267" max="11267" width="6.5703125" style="6" customWidth="1"/>
    <col min="11268" max="11268" width="5.7109375" style="6" customWidth="1"/>
    <col min="11269" max="11269" width="7.5703125" style="6" customWidth="1"/>
    <col min="11270" max="11270" width="9.5703125" style="6" customWidth="1"/>
    <col min="11271" max="11271" width="5.85546875" style="6" customWidth="1"/>
    <col min="11272" max="11272" width="4.85546875" style="6" customWidth="1"/>
    <col min="11273" max="11273" width="5.7109375" style="6" customWidth="1"/>
    <col min="11274" max="11274" width="17" style="6" customWidth="1"/>
    <col min="11275" max="11275" width="10.140625" style="6" customWidth="1"/>
    <col min="11276" max="11276" width="12.140625" style="6" customWidth="1"/>
    <col min="11277" max="11277" width="25.28515625" style="6" customWidth="1"/>
    <col min="11278" max="11278" width="5.85546875" style="6" customWidth="1"/>
    <col min="11279" max="11520" width="8.85546875" style="6"/>
    <col min="11521" max="11521" width="6.28515625" style="6" customWidth="1"/>
    <col min="11522" max="11522" width="16.28515625" style="6" customWidth="1"/>
    <col min="11523" max="11523" width="6.5703125" style="6" customWidth="1"/>
    <col min="11524" max="11524" width="5.7109375" style="6" customWidth="1"/>
    <col min="11525" max="11525" width="7.5703125" style="6" customWidth="1"/>
    <col min="11526" max="11526" width="9.5703125" style="6" customWidth="1"/>
    <col min="11527" max="11527" width="5.85546875" style="6" customWidth="1"/>
    <col min="11528" max="11528" width="4.85546875" style="6" customWidth="1"/>
    <col min="11529" max="11529" width="5.7109375" style="6" customWidth="1"/>
    <col min="11530" max="11530" width="17" style="6" customWidth="1"/>
    <col min="11531" max="11531" width="10.140625" style="6" customWidth="1"/>
    <col min="11532" max="11532" width="12.140625" style="6" customWidth="1"/>
    <col min="11533" max="11533" width="25.28515625" style="6" customWidth="1"/>
    <col min="11534" max="11534" width="5.85546875" style="6" customWidth="1"/>
    <col min="11535" max="11776" width="8.85546875" style="6"/>
    <col min="11777" max="11777" width="6.28515625" style="6" customWidth="1"/>
    <col min="11778" max="11778" width="16.28515625" style="6" customWidth="1"/>
    <col min="11779" max="11779" width="6.5703125" style="6" customWidth="1"/>
    <col min="11780" max="11780" width="5.7109375" style="6" customWidth="1"/>
    <col min="11781" max="11781" width="7.5703125" style="6" customWidth="1"/>
    <col min="11782" max="11782" width="9.5703125" style="6" customWidth="1"/>
    <col min="11783" max="11783" width="5.85546875" style="6" customWidth="1"/>
    <col min="11784" max="11784" width="4.85546875" style="6" customWidth="1"/>
    <col min="11785" max="11785" width="5.7109375" style="6" customWidth="1"/>
    <col min="11786" max="11786" width="17" style="6" customWidth="1"/>
    <col min="11787" max="11787" width="10.140625" style="6" customWidth="1"/>
    <col min="11788" max="11788" width="12.140625" style="6" customWidth="1"/>
    <col min="11789" max="11789" width="25.28515625" style="6" customWidth="1"/>
    <col min="11790" max="11790" width="5.85546875" style="6" customWidth="1"/>
    <col min="11791" max="12032" width="8.85546875" style="6"/>
    <col min="12033" max="12033" width="6.28515625" style="6" customWidth="1"/>
    <col min="12034" max="12034" width="16.28515625" style="6" customWidth="1"/>
    <col min="12035" max="12035" width="6.5703125" style="6" customWidth="1"/>
    <col min="12036" max="12036" width="5.7109375" style="6" customWidth="1"/>
    <col min="12037" max="12037" width="7.5703125" style="6" customWidth="1"/>
    <col min="12038" max="12038" width="9.5703125" style="6" customWidth="1"/>
    <col min="12039" max="12039" width="5.85546875" style="6" customWidth="1"/>
    <col min="12040" max="12040" width="4.85546875" style="6" customWidth="1"/>
    <col min="12041" max="12041" width="5.7109375" style="6" customWidth="1"/>
    <col min="12042" max="12042" width="17" style="6" customWidth="1"/>
    <col min="12043" max="12043" width="10.140625" style="6" customWidth="1"/>
    <col min="12044" max="12044" width="12.140625" style="6" customWidth="1"/>
    <col min="12045" max="12045" width="25.28515625" style="6" customWidth="1"/>
    <col min="12046" max="12046" width="5.85546875" style="6" customWidth="1"/>
    <col min="12047" max="12288" width="8.85546875" style="6"/>
    <col min="12289" max="12289" width="6.28515625" style="6" customWidth="1"/>
    <col min="12290" max="12290" width="16.28515625" style="6" customWidth="1"/>
    <col min="12291" max="12291" width="6.5703125" style="6" customWidth="1"/>
    <col min="12292" max="12292" width="5.7109375" style="6" customWidth="1"/>
    <col min="12293" max="12293" width="7.5703125" style="6" customWidth="1"/>
    <col min="12294" max="12294" width="9.5703125" style="6" customWidth="1"/>
    <col min="12295" max="12295" width="5.85546875" style="6" customWidth="1"/>
    <col min="12296" max="12296" width="4.85546875" style="6" customWidth="1"/>
    <col min="12297" max="12297" width="5.7109375" style="6" customWidth="1"/>
    <col min="12298" max="12298" width="17" style="6" customWidth="1"/>
    <col min="12299" max="12299" width="10.140625" style="6" customWidth="1"/>
    <col min="12300" max="12300" width="12.140625" style="6" customWidth="1"/>
    <col min="12301" max="12301" width="25.28515625" style="6" customWidth="1"/>
    <col min="12302" max="12302" width="5.85546875" style="6" customWidth="1"/>
    <col min="12303" max="12544" width="8.85546875" style="6"/>
    <col min="12545" max="12545" width="6.28515625" style="6" customWidth="1"/>
    <col min="12546" max="12546" width="16.28515625" style="6" customWidth="1"/>
    <col min="12547" max="12547" width="6.5703125" style="6" customWidth="1"/>
    <col min="12548" max="12548" width="5.7109375" style="6" customWidth="1"/>
    <col min="12549" max="12549" width="7.5703125" style="6" customWidth="1"/>
    <col min="12550" max="12550" width="9.5703125" style="6" customWidth="1"/>
    <col min="12551" max="12551" width="5.85546875" style="6" customWidth="1"/>
    <col min="12552" max="12552" width="4.85546875" style="6" customWidth="1"/>
    <col min="12553" max="12553" width="5.7109375" style="6" customWidth="1"/>
    <col min="12554" max="12554" width="17" style="6" customWidth="1"/>
    <col min="12555" max="12555" width="10.140625" style="6" customWidth="1"/>
    <col min="12556" max="12556" width="12.140625" style="6" customWidth="1"/>
    <col min="12557" max="12557" width="25.28515625" style="6" customWidth="1"/>
    <col min="12558" max="12558" width="5.85546875" style="6" customWidth="1"/>
    <col min="12559" max="12800" width="8.85546875" style="6"/>
    <col min="12801" max="12801" width="6.28515625" style="6" customWidth="1"/>
    <col min="12802" max="12802" width="16.28515625" style="6" customWidth="1"/>
    <col min="12803" max="12803" width="6.5703125" style="6" customWidth="1"/>
    <col min="12804" max="12804" width="5.7109375" style="6" customWidth="1"/>
    <col min="12805" max="12805" width="7.5703125" style="6" customWidth="1"/>
    <col min="12806" max="12806" width="9.5703125" style="6" customWidth="1"/>
    <col min="12807" max="12807" width="5.85546875" style="6" customWidth="1"/>
    <col min="12808" max="12808" width="4.85546875" style="6" customWidth="1"/>
    <col min="12809" max="12809" width="5.7109375" style="6" customWidth="1"/>
    <col min="12810" max="12810" width="17" style="6" customWidth="1"/>
    <col min="12811" max="12811" width="10.140625" style="6" customWidth="1"/>
    <col min="12812" max="12812" width="12.140625" style="6" customWidth="1"/>
    <col min="12813" max="12813" width="25.28515625" style="6" customWidth="1"/>
    <col min="12814" max="12814" width="5.85546875" style="6" customWidth="1"/>
    <col min="12815" max="13056" width="8.85546875" style="6"/>
    <col min="13057" max="13057" width="6.28515625" style="6" customWidth="1"/>
    <col min="13058" max="13058" width="16.28515625" style="6" customWidth="1"/>
    <col min="13059" max="13059" width="6.5703125" style="6" customWidth="1"/>
    <col min="13060" max="13060" width="5.7109375" style="6" customWidth="1"/>
    <col min="13061" max="13061" width="7.5703125" style="6" customWidth="1"/>
    <col min="13062" max="13062" width="9.5703125" style="6" customWidth="1"/>
    <col min="13063" max="13063" width="5.85546875" style="6" customWidth="1"/>
    <col min="13064" max="13064" width="4.85546875" style="6" customWidth="1"/>
    <col min="13065" max="13065" width="5.7109375" style="6" customWidth="1"/>
    <col min="13066" max="13066" width="17" style="6" customWidth="1"/>
    <col min="13067" max="13067" width="10.140625" style="6" customWidth="1"/>
    <col min="13068" max="13068" width="12.140625" style="6" customWidth="1"/>
    <col min="13069" max="13069" width="25.28515625" style="6" customWidth="1"/>
    <col min="13070" max="13070" width="5.85546875" style="6" customWidth="1"/>
    <col min="13071" max="13312" width="8.85546875" style="6"/>
    <col min="13313" max="13313" width="6.28515625" style="6" customWidth="1"/>
    <col min="13314" max="13314" width="16.28515625" style="6" customWidth="1"/>
    <col min="13315" max="13315" width="6.5703125" style="6" customWidth="1"/>
    <col min="13316" max="13316" width="5.7109375" style="6" customWidth="1"/>
    <col min="13317" max="13317" width="7.5703125" style="6" customWidth="1"/>
    <col min="13318" max="13318" width="9.5703125" style="6" customWidth="1"/>
    <col min="13319" max="13319" width="5.85546875" style="6" customWidth="1"/>
    <col min="13320" max="13320" width="4.85546875" style="6" customWidth="1"/>
    <col min="13321" max="13321" width="5.7109375" style="6" customWidth="1"/>
    <col min="13322" max="13322" width="17" style="6" customWidth="1"/>
    <col min="13323" max="13323" width="10.140625" style="6" customWidth="1"/>
    <col min="13324" max="13324" width="12.140625" style="6" customWidth="1"/>
    <col min="13325" max="13325" width="25.28515625" style="6" customWidth="1"/>
    <col min="13326" max="13326" width="5.85546875" style="6" customWidth="1"/>
    <col min="13327" max="13568" width="8.85546875" style="6"/>
    <col min="13569" max="13569" width="6.28515625" style="6" customWidth="1"/>
    <col min="13570" max="13570" width="16.28515625" style="6" customWidth="1"/>
    <col min="13571" max="13571" width="6.5703125" style="6" customWidth="1"/>
    <col min="13572" max="13572" width="5.7109375" style="6" customWidth="1"/>
    <col min="13573" max="13573" width="7.5703125" style="6" customWidth="1"/>
    <col min="13574" max="13574" width="9.5703125" style="6" customWidth="1"/>
    <col min="13575" max="13575" width="5.85546875" style="6" customWidth="1"/>
    <col min="13576" max="13576" width="4.85546875" style="6" customWidth="1"/>
    <col min="13577" max="13577" width="5.7109375" style="6" customWidth="1"/>
    <col min="13578" max="13578" width="17" style="6" customWidth="1"/>
    <col min="13579" max="13579" width="10.140625" style="6" customWidth="1"/>
    <col min="13580" max="13580" width="12.140625" style="6" customWidth="1"/>
    <col min="13581" max="13581" width="25.28515625" style="6" customWidth="1"/>
    <col min="13582" max="13582" width="5.85546875" style="6" customWidth="1"/>
    <col min="13583" max="13824" width="8.85546875" style="6"/>
    <col min="13825" max="13825" width="6.28515625" style="6" customWidth="1"/>
    <col min="13826" max="13826" width="16.28515625" style="6" customWidth="1"/>
    <col min="13827" max="13827" width="6.5703125" style="6" customWidth="1"/>
    <col min="13828" max="13828" width="5.7109375" style="6" customWidth="1"/>
    <col min="13829" max="13829" width="7.5703125" style="6" customWidth="1"/>
    <col min="13830" max="13830" width="9.5703125" style="6" customWidth="1"/>
    <col min="13831" max="13831" width="5.85546875" style="6" customWidth="1"/>
    <col min="13832" max="13832" width="4.85546875" style="6" customWidth="1"/>
    <col min="13833" max="13833" width="5.7109375" style="6" customWidth="1"/>
    <col min="13834" max="13834" width="17" style="6" customWidth="1"/>
    <col min="13835" max="13835" width="10.140625" style="6" customWidth="1"/>
    <col min="13836" max="13836" width="12.140625" style="6" customWidth="1"/>
    <col min="13837" max="13837" width="25.28515625" style="6" customWidth="1"/>
    <col min="13838" max="13838" width="5.85546875" style="6" customWidth="1"/>
    <col min="13839" max="14080" width="8.85546875" style="6"/>
    <col min="14081" max="14081" width="6.28515625" style="6" customWidth="1"/>
    <col min="14082" max="14082" width="16.28515625" style="6" customWidth="1"/>
    <col min="14083" max="14083" width="6.5703125" style="6" customWidth="1"/>
    <col min="14084" max="14084" width="5.7109375" style="6" customWidth="1"/>
    <col min="14085" max="14085" width="7.5703125" style="6" customWidth="1"/>
    <col min="14086" max="14086" width="9.5703125" style="6" customWidth="1"/>
    <col min="14087" max="14087" width="5.85546875" style="6" customWidth="1"/>
    <col min="14088" max="14088" width="4.85546875" style="6" customWidth="1"/>
    <col min="14089" max="14089" width="5.7109375" style="6" customWidth="1"/>
    <col min="14090" max="14090" width="17" style="6" customWidth="1"/>
    <col min="14091" max="14091" width="10.140625" style="6" customWidth="1"/>
    <col min="14092" max="14092" width="12.140625" style="6" customWidth="1"/>
    <col min="14093" max="14093" width="25.28515625" style="6" customWidth="1"/>
    <col min="14094" max="14094" width="5.85546875" style="6" customWidth="1"/>
    <col min="14095" max="14336" width="8.85546875" style="6"/>
    <col min="14337" max="14337" width="6.28515625" style="6" customWidth="1"/>
    <col min="14338" max="14338" width="16.28515625" style="6" customWidth="1"/>
    <col min="14339" max="14339" width="6.5703125" style="6" customWidth="1"/>
    <col min="14340" max="14340" width="5.7109375" style="6" customWidth="1"/>
    <col min="14341" max="14341" width="7.5703125" style="6" customWidth="1"/>
    <col min="14342" max="14342" width="9.5703125" style="6" customWidth="1"/>
    <col min="14343" max="14343" width="5.85546875" style="6" customWidth="1"/>
    <col min="14344" max="14344" width="4.85546875" style="6" customWidth="1"/>
    <col min="14345" max="14345" width="5.7109375" style="6" customWidth="1"/>
    <col min="14346" max="14346" width="17" style="6" customWidth="1"/>
    <col min="14347" max="14347" width="10.140625" style="6" customWidth="1"/>
    <col min="14348" max="14348" width="12.140625" style="6" customWidth="1"/>
    <col min="14349" max="14349" width="25.28515625" style="6" customWidth="1"/>
    <col min="14350" max="14350" width="5.85546875" style="6" customWidth="1"/>
    <col min="14351" max="14592" width="8.85546875" style="6"/>
    <col min="14593" max="14593" width="6.28515625" style="6" customWidth="1"/>
    <col min="14594" max="14594" width="16.28515625" style="6" customWidth="1"/>
    <col min="14595" max="14595" width="6.5703125" style="6" customWidth="1"/>
    <col min="14596" max="14596" width="5.7109375" style="6" customWidth="1"/>
    <col min="14597" max="14597" width="7.5703125" style="6" customWidth="1"/>
    <col min="14598" max="14598" width="9.5703125" style="6" customWidth="1"/>
    <col min="14599" max="14599" width="5.85546875" style="6" customWidth="1"/>
    <col min="14600" max="14600" width="4.85546875" style="6" customWidth="1"/>
    <col min="14601" max="14601" width="5.7109375" style="6" customWidth="1"/>
    <col min="14602" max="14602" width="17" style="6" customWidth="1"/>
    <col min="14603" max="14603" width="10.140625" style="6" customWidth="1"/>
    <col min="14604" max="14604" width="12.140625" style="6" customWidth="1"/>
    <col min="14605" max="14605" width="25.28515625" style="6" customWidth="1"/>
    <col min="14606" max="14606" width="5.85546875" style="6" customWidth="1"/>
    <col min="14607" max="14848" width="8.85546875" style="6"/>
    <col min="14849" max="14849" width="6.28515625" style="6" customWidth="1"/>
    <col min="14850" max="14850" width="16.28515625" style="6" customWidth="1"/>
    <col min="14851" max="14851" width="6.5703125" style="6" customWidth="1"/>
    <col min="14852" max="14852" width="5.7109375" style="6" customWidth="1"/>
    <col min="14853" max="14853" width="7.5703125" style="6" customWidth="1"/>
    <col min="14854" max="14854" width="9.5703125" style="6" customWidth="1"/>
    <col min="14855" max="14855" width="5.85546875" style="6" customWidth="1"/>
    <col min="14856" max="14856" width="4.85546875" style="6" customWidth="1"/>
    <col min="14857" max="14857" width="5.7109375" style="6" customWidth="1"/>
    <col min="14858" max="14858" width="17" style="6" customWidth="1"/>
    <col min="14859" max="14859" width="10.140625" style="6" customWidth="1"/>
    <col min="14860" max="14860" width="12.140625" style="6" customWidth="1"/>
    <col min="14861" max="14861" width="25.28515625" style="6" customWidth="1"/>
    <col min="14862" max="14862" width="5.85546875" style="6" customWidth="1"/>
    <col min="14863" max="15104" width="8.85546875" style="6"/>
    <col min="15105" max="15105" width="6.28515625" style="6" customWidth="1"/>
    <col min="15106" max="15106" width="16.28515625" style="6" customWidth="1"/>
    <col min="15107" max="15107" width="6.5703125" style="6" customWidth="1"/>
    <col min="15108" max="15108" width="5.7109375" style="6" customWidth="1"/>
    <col min="15109" max="15109" width="7.5703125" style="6" customWidth="1"/>
    <col min="15110" max="15110" width="9.5703125" style="6" customWidth="1"/>
    <col min="15111" max="15111" width="5.85546875" style="6" customWidth="1"/>
    <col min="15112" max="15112" width="4.85546875" style="6" customWidth="1"/>
    <col min="15113" max="15113" width="5.7109375" style="6" customWidth="1"/>
    <col min="15114" max="15114" width="17" style="6" customWidth="1"/>
    <col min="15115" max="15115" width="10.140625" style="6" customWidth="1"/>
    <col min="15116" max="15116" width="12.140625" style="6" customWidth="1"/>
    <col min="15117" max="15117" width="25.28515625" style="6" customWidth="1"/>
    <col min="15118" max="15118" width="5.85546875" style="6" customWidth="1"/>
    <col min="15119" max="15360" width="8.85546875" style="6"/>
    <col min="15361" max="15361" width="6.28515625" style="6" customWidth="1"/>
    <col min="15362" max="15362" width="16.28515625" style="6" customWidth="1"/>
    <col min="15363" max="15363" width="6.5703125" style="6" customWidth="1"/>
    <col min="15364" max="15364" width="5.7109375" style="6" customWidth="1"/>
    <col min="15365" max="15365" width="7.5703125" style="6" customWidth="1"/>
    <col min="15366" max="15366" width="9.5703125" style="6" customWidth="1"/>
    <col min="15367" max="15367" width="5.85546875" style="6" customWidth="1"/>
    <col min="15368" max="15368" width="4.85546875" style="6" customWidth="1"/>
    <col min="15369" max="15369" width="5.7109375" style="6" customWidth="1"/>
    <col min="15370" max="15370" width="17" style="6" customWidth="1"/>
    <col min="15371" max="15371" width="10.140625" style="6" customWidth="1"/>
    <col min="15372" max="15372" width="12.140625" style="6" customWidth="1"/>
    <col min="15373" max="15373" width="25.28515625" style="6" customWidth="1"/>
    <col min="15374" max="15374" width="5.85546875" style="6" customWidth="1"/>
    <col min="15375" max="15616" width="8.85546875" style="6"/>
    <col min="15617" max="15617" width="6.28515625" style="6" customWidth="1"/>
    <col min="15618" max="15618" width="16.28515625" style="6" customWidth="1"/>
    <col min="15619" max="15619" width="6.5703125" style="6" customWidth="1"/>
    <col min="15620" max="15620" width="5.7109375" style="6" customWidth="1"/>
    <col min="15621" max="15621" width="7.5703125" style="6" customWidth="1"/>
    <col min="15622" max="15622" width="9.5703125" style="6" customWidth="1"/>
    <col min="15623" max="15623" width="5.85546875" style="6" customWidth="1"/>
    <col min="15624" max="15624" width="4.85546875" style="6" customWidth="1"/>
    <col min="15625" max="15625" width="5.7109375" style="6" customWidth="1"/>
    <col min="15626" max="15626" width="17" style="6" customWidth="1"/>
    <col min="15627" max="15627" width="10.140625" style="6" customWidth="1"/>
    <col min="15628" max="15628" width="12.140625" style="6" customWidth="1"/>
    <col min="15629" max="15629" width="25.28515625" style="6" customWidth="1"/>
    <col min="15630" max="15630" width="5.85546875" style="6" customWidth="1"/>
    <col min="15631" max="15872" width="8.85546875" style="6"/>
    <col min="15873" max="15873" width="6.28515625" style="6" customWidth="1"/>
    <col min="15874" max="15874" width="16.28515625" style="6" customWidth="1"/>
    <col min="15875" max="15875" width="6.5703125" style="6" customWidth="1"/>
    <col min="15876" max="15876" width="5.7109375" style="6" customWidth="1"/>
    <col min="15877" max="15877" width="7.5703125" style="6" customWidth="1"/>
    <col min="15878" max="15878" width="9.5703125" style="6" customWidth="1"/>
    <col min="15879" max="15879" width="5.85546875" style="6" customWidth="1"/>
    <col min="15880" max="15880" width="4.85546875" style="6" customWidth="1"/>
    <col min="15881" max="15881" width="5.7109375" style="6" customWidth="1"/>
    <col min="15882" max="15882" width="17" style="6" customWidth="1"/>
    <col min="15883" max="15883" width="10.140625" style="6" customWidth="1"/>
    <col min="15884" max="15884" width="12.140625" style="6" customWidth="1"/>
    <col min="15885" max="15885" width="25.28515625" style="6" customWidth="1"/>
    <col min="15886" max="15886" width="5.85546875" style="6" customWidth="1"/>
    <col min="15887" max="16128" width="8.85546875" style="6"/>
    <col min="16129" max="16129" width="6.28515625" style="6" customWidth="1"/>
    <col min="16130" max="16130" width="16.28515625" style="6" customWidth="1"/>
    <col min="16131" max="16131" width="6.5703125" style="6" customWidth="1"/>
    <col min="16132" max="16132" width="5.7109375" style="6" customWidth="1"/>
    <col min="16133" max="16133" width="7.5703125" style="6" customWidth="1"/>
    <col min="16134" max="16134" width="9.5703125" style="6" customWidth="1"/>
    <col min="16135" max="16135" width="5.85546875" style="6" customWidth="1"/>
    <col min="16136" max="16136" width="4.85546875" style="6" customWidth="1"/>
    <col min="16137" max="16137" width="5.7109375" style="6" customWidth="1"/>
    <col min="16138" max="16138" width="17" style="6" customWidth="1"/>
    <col min="16139" max="16139" width="10.140625" style="6" customWidth="1"/>
    <col min="16140" max="16140" width="12.140625" style="6" customWidth="1"/>
    <col min="16141" max="16141" width="25.28515625" style="6" customWidth="1"/>
    <col min="16142" max="16142" width="5.85546875" style="6" customWidth="1"/>
    <col min="16143" max="16384" width="8.85546875" style="6"/>
  </cols>
  <sheetData>
    <row r="2" spans="1:14" ht="15" customHeight="1">
      <c r="G2" s="237" t="s">
        <v>6</v>
      </c>
      <c r="H2" s="237"/>
      <c r="I2" s="237"/>
      <c r="J2" s="237"/>
    </row>
    <row r="3" spans="1:14" ht="15" customHeight="1">
      <c r="B3" s="12"/>
      <c r="C3" s="12"/>
      <c r="D3" s="13"/>
      <c r="E3" s="12"/>
      <c r="F3" s="12"/>
      <c r="G3" s="237"/>
      <c r="H3" s="237"/>
      <c r="I3" s="237"/>
      <c r="J3" s="237"/>
      <c r="K3" s="12"/>
      <c r="L3" s="12"/>
      <c r="M3" s="12"/>
      <c r="N3" s="12"/>
    </row>
    <row r="4" spans="1:14" ht="15" customHeight="1">
      <c r="G4" s="237"/>
      <c r="H4" s="237"/>
      <c r="I4" s="237"/>
      <c r="J4" s="237"/>
      <c r="K4" s="14"/>
      <c r="L4" s="14"/>
    </row>
    <row r="5" spans="1:14" ht="13.9" customHeight="1">
      <c r="B5" s="15"/>
      <c r="C5" s="15"/>
      <c r="D5" s="15"/>
      <c r="E5" s="15"/>
      <c r="F5" s="15"/>
      <c r="G5" s="237"/>
      <c r="H5" s="237"/>
      <c r="I5" s="237"/>
      <c r="J5" s="237"/>
      <c r="K5" s="14"/>
      <c r="L5" s="16"/>
      <c r="M5" s="17"/>
      <c r="N5" s="17"/>
    </row>
    <row r="6" spans="1:14" ht="15" customHeight="1">
      <c r="B6" s="15"/>
      <c r="C6" s="15"/>
      <c r="D6" s="15"/>
      <c r="E6" s="15"/>
      <c r="F6" s="15"/>
      <c r="G6" s="237"/>
      <c r="H6" s="237"/>
      <c r="I6" s="237"/>
      <c r="J6" s="237"/>
      <c r="K6" s="14"/>
      <c r="L6" s="72"/>
      <c r="M6" s="37"/>
      <c r="N6" s="18"/>
    </row>
    <row r="7" spans="1:14" ht="15.6" customHeight="1">
      <c r="B7" s="238" t="s">
        <v>42</v>
      </c>
      <c r="C7" s="238"/>
      <c r="D7" s="238"/>
      <c r="E7" s="238"/>
      <c r="F7" s="238"/>
      <c r="G7" s="237"/>
      <c r="H7" s="237"/>
      <c r="I7" s="237"/>
      <c r="J7" s="237"/>
      <c r="K7" s="12"/>
      <c r="L7" s="93" t="s">
        <v>43</v>
      </c>
      <c r="M7" s="94" t="s">
        <v>149</v>
      </c>
      <c r="N7" s="17"/>
    </row>
    <row r="8" spans="1:14" ht="33" customHeight="1">
      <c r="B8" s="239" t="s">
        <v>92</v>
      </c>
      <c r="C8" s="239"/>
      <c r="D8" s="239"/>
      <c r="E8" s="239"/>
      <c r="F8" s="239"/>
      <c r="G8" s="237"/>
      <c r="H8" s="237"/>
      <c r="I8" s="237"/>
      <c r="J8" s="237"/>
      <c r="K8" s="12"/>
    </row>
    <row r="9" spans="1:14" ht="23.25" customHeight="1">
      <c r="B9" s="239"/>
      <c r="C9" s="239"/>
      <c r="D9" s="239"/>
      <c r="E9" s="239"/>
      <c r="F9" s="239"/>
      <c r="G9" s="237"/>
      <c r="H9" s="237"/>
      <c r="I9" s="237"/>
      <c r="J9" s="237"/>
      <c r="K9" s="12"/>
    </row>
    <row r="10" spans="1:14" ht="23.25" customHeight="1">
      <c r="B10" s="19"/>
      <c r="C10" s="19"/>
      <c r="D10" s="19"/>
      <c r="E10" s="19"/>
      <c r="F10" s="19"/>
      <c r="G10" s="12"/>
      <c r="H10" s="12"/>
      <c r="I10" s="12"/>
      <c r="J10" s="12"/>
      <c r="K10" s="12"/>
    </row>
    <row r="11" spans="1:14" ht="15.75" thickBot="1">
      <c r="B11" s="19"/>
      <c r="C11" s="19"/>
      <c r="D11" s="19"/>
      <c r="E11" s="19"/>
      <c r="F11" s="19"/>
      <c r="G11" s="12"/>
      <c r="H11" s="12"/>
      <c r="I11" s="12"/>
      <c r="J11" s="12"/>
      <c r="K11" s="12"/>
    </row>
    <row r="12" spans="1:14" ht="21.6" customHeight="1" thickBot="1">
      <c r="B12" s="240"/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2"/>
      <c r="N12" s="20"/>
    </row>
    <row r="13" spans="1:14" ht="22.15" customHeight="1" thickBot="1">
      <c r="A13" s="21"/>
      <c r="B13" s="102" t="s">
        <v>46</v>
      </c>
      <c r="C13" s="202"/>
      <c r="D13" s="202"/>
      <c r="E13" s="202"/>
      <c r="F13" s="202"/>
      <c r="G13" s="22"/>
      <c r="H13" s="20"/>
      <c r="I13" s="20"/>
      <c r="J13" s="102" t="s">
        <v>48</v>
      </c>
      <c r="K13" s="243" t="s">
        <v>93</v>
      </c>
      <c r="L13" s="244"/>
      <c r="M13" s="245"/>
      <c r="N13" s="20"/>
    </row>
    <row r="14" spans="1:14" ht="16.899999999999999" customHeight="1" thickBot="1">
      <c r="A14" s="22"/>
      <c r="B14" s="103" t="s">
        <v>45</v>
      </c>
      <c r="C14" s="202" t="s">
        <v>150</v>
      </c>
      <c r="D14" s="202"/>
      <c r="E14" s="202"/>
      <c r="F14" s="202"/>
      <c r="G14" s="20"/>
      <c r="H14" s="20"/>
      <c r="I14" s="20"/>
      <c r="J14" s="102" t="s">
        <v>49</v>
      </c>
      <c r="K14" s="228" t="s">
        <v>94</v>
      </c>
      <c r="L14" s="229"/>
      <c r="M14" s="230"/>
      <c r="N14" s="20"/>
    </row>
    <row r="15" spans="1:14" ht="15.6" customHeight="1" thickBot="1">
      <c r="A15" s="22"/>
      <c r="B15" s="103" t="s">
        <v>44</v>
      </c>
      <c r="C15" s="202"/>
      <c r="D15" s="202"/>
      <c r="E15" s="202"/>
      <c r="F15" s="202"/>
      <c r="G15" s="20"/>
      <c r="H15" s="20"/>
      <c r="I15" s="20"/>
      <c r="J15" s="102" t="s">
        <v>50</v>
      </c>
      <c r="K15" s="231" t="s">
        <v>95</v>
      </c>
      <c r="L15" s="202"/>
      <c r="M15" s="203"/>
      <c r="N15" s="20"/>
    </row>
    <row r="16" spans="1:14" ht="15.6" customHeight="1" thickBot="1">
      <c r="A16" s="22"/>
      <c r="B16" s="104" t="s">
        <v>47</v>
      </c>
      <c r="C16" s="232"/>
      <c r="D16" s="233"/>
      <c r="E16" s="233"/>
      <c r="F16" s="233"/>
      <c r="G16" s="56"/>
      <c r="H16" s="56"/>
      <c r="I16" s="56"/>
      <c r="J16" s="124" t="s">
        <v>7</v>
      </c>
      <c r="K16" s="234">
        <f ca="1">TODAY()</f>
        <v>45988</v>
      </c>
      <c r="L16" s="235"/>
      <c r="M16" s="236"/>
      <c r="N16" s="20"/>
    </row>
    <row r="17" spans="1:1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8">
      <c r="B18" s="23" t="s">
        <v>151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2"/>
      <c r="N18" s="12"/>
    </row>
    <row r="19" spans="1:14">
      <c r="B19" s="262" t="s">
        <v>152</v>
      </c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226"/>
      <c r="N19" s="12"/>
    </row>
    <row r="20" spans="1:14">
      <c r="B20" s="226"/>
      <c r="C20" s="226"/>
      <c r="D20" s="226"/>
      <c r="E20" s="226"/>
      <c r="F20" s="226"/>
      <c r="G20" s="226"/>
      <c r="H20" s="226"/>
      <c r="I20" s="226"/>
      <c r="J20" s="226"/>
      <c r="K20" s="226"/>
      <c r="L20" s="226"/>
      <c r="M20" s="226"/>
      <c r="N20" s="12"/>
    </row>
    <row r="21" spans="1:14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12"/>
    </row>
    <row r="22" spans="1:14" ht="15.75" thickBot="1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ht="19.149999999999999" customHeight="1" thickBot="1">
      <c r="B23" s="105" t="s">
        <v>54</v>
      </c>
      <c r="C23" s="187" t="s">
        <v>8</v>
      </c>
      <c r="D23" s="187"/>
      <c r="E23" s="187"/>
      <c r="F23" s="187"/>
      <c r="G23" s="187"/>
      <c r="H23" s="187"/>
      <c r="I23" s="187"/>
      <c r="J23" s="187"/>
      <c r="K23" s="187"/>
      <c r="L23" s="187"/>
      <c r="M23" s="106" t="s">
        <v>9</v>
      </c>
      <c r="N23" s="12"/>
    </row>
    <row r="24" spans="1:14" ht="15.6" customHeight="1">
      <c r="B24" s="107">
        <v>1</v>
      </c>
      <c r="C24" s="227" t="s">
        <v>153</v>
      </c>
      <c r="D24" s="227"/>
      <c r="E24" s="227"/>
      <c r="F24" s="227"/>
      <c r="G24" s="227"/>
      <c r="H24" s="227"/>
      <c r="I24" s="227"/>
      <c r="J24" s="227"/>
      <c r="K24" s="227"/>
      <c r="L24" s="227"/>
      <c r="M24" s="263">
        <v>93500</v>
      </c>
      <c r="N24" s="12"/>
    </row>
    <row r="25" spans="1:14" ht="16.899999999999999" customHeight="1">
      <c r="B25" s="107">
        <v>2</v>
      </c>
      <c r="C25" s="223" t="s">
        <v>154</v>
      </c>
      <c r="D25" s="224"/>
      <c r="E25" s="224"/>
      <c r="F25" s="224"/>
      <c r="G25" s="224"/>
      <c r="H25" s="224"/>
      <c r="I25" s="224"/>
      <c r="J25" s="224"/>
      <c r="K25" s="224"/>
      <c r="L25" s="225"/>
      <c r="M25" s="263">
        <v>7500</v>
      </c>
      <c r="N25" s="12"/>
    </row>
    <row r="26" spans="1:14" ht="16.899999999999999" customHeight="1">
      <c r="B26" s="107">
        <v>3</v>
      </c>
      <c r="C26" s="223"/>
      <c r="D26" s="224"/>
      <c r="E26" s="224"/>
      <c r="F26" s="224"/>
      <c r="G26" s="224"/>
      <c r="H26" s="224"/>
      <c r="I26" s="224"/>
      <c r="J26" s="224"/>
      <c r="K26" s="224"/>
      <c r="L26" s="225"/>
      <c r="M26" s="108"/>
      <c r="N26" s="12"/>
    </row>
    <row r="27" spans="1:14" ht="15.6" customHeight="1">
      <c r="B27" s="107">
        <v>4</v>
      </c>
      <c r="C27" s="223"/>
      <c r="D27" s="224"/>
      <c r="E27" s="224"/>
      <c r="F27" s="224"/>
      <c r="G27" s="224"/>
      <c r="H27" s="224"/>
      <c r="I27" s="224"/>
      <c r="J27" s="224"/>
      <c r="K27" s="224"/>
      <c r="L27" s="225"/>
      <c r="M27" s="108"/>
      <c r="N27" s="12"/>
    </row>
    <row r="28" spans="1:14" ht="15.6" customHeight="1">
      <c r="B28" s="107">
        <v>5</v>
      </c>
      <c r="C28" s="223"/>
      <c r="D28" s="224"/>
      <c r="E28" s="224"/>
      <c r="F28" s="224"/>
      <c r="G28" s="224"/>
      <c r="H28" s="224"/>
      <c r="I28" s="224"/>
      <c r="J28" s="224"/>
      <c r="K28" s="224"/>
      <c r="L28" s="225"/>
      <c r="M28" s="108"/>
      <c r="N28" s="12"/>
    </row>
    <row r="29" spans="1:14" ht="15.6" customHeight="1">
      <c r="B29" s="107">
        <v>6</v>
      </c>
      <c r="C29" s="223"/>
      <c r="D29" s="224"/>
      <c r="E29" s="224"/>
      <c r="F29" s="224"/>
      <c r="G29" s="224"/>
      <c r="H29" s="224"/>
      <c r="I29" s="224"/>
      <c r="J29" s="224"/>
      <c r="K29" s="224"/>
      <c r="L29" s="225"/>
      <c r="M29" s="108"/>
      <c r="N29" s="12"/>
    </row>
    <row r="30" spans="1:14" ht="15.6" customHeight="1" thickBot="1">
      <c r="B30" s="107">
        <v>7</v>
      </c>
      <c r="C30" s="222"/>
      <c r="D30" s="222"/>
      <c r="E30" s="222"/>
      <c r="F30" s="222"/>
      <c r="G30" s="222"/>
      <c r="H30" s="222"/>
      <c r="I30" s="222"/>
      <c r="J30" s="222"/>
      <c r="K30" s="222"/>
      <c r="L30" s="222"/>
      <c r="M30" s="109"/>
      <c r="N30" s="12"/>
    </row>
    <row r="31" spans="1:14" ht="16.5" thickBot="1">
      <c r="B31" s="26"/>
      <c r="C31" s="27"/>
      <c r="D31" s="27"/>
      <c r="E31" s="27"/>
      <c r="F31" s="27"/>
      <c r="G31" s="27"/>
      <c r="H31" s="27"/>
      <c r="I31" s="27"/>
      <c r="J31" s="27"/>
      <c r="K31" s="176" t="s">
        <v>146</v>
      </c>
      <c r="L31" s="177"/>
      <c r="M31" s="110">
        <f>SUM(M24)</f>
        <v>93500</v>
      </c>
      <c r="N31" s="12"/>
    </row>
    <row r="32" spans="1:14" ht="16.5" thickBot="1">
      <c r="B32" s="26"/>
      <c r="C32" s="27"/>
      <c r="D32" s="27"/>
      <c r="E32" s="27"/>
      <c r="F32" s="27"/>
      <c r="G32" s="27"/>
      <c r="H32" s="27"/>
      <c r="I32" s="27"/>
      <c r="J32" s="27"/>
      <c r="K32" s="176" t="s">
        <v>155</v>
      </c>
      <c r="L32" s="177"/>
      <c r="M32" s="110">
        <f>M31*0.2</f>
        <v>18700</v>
      </c>
      <c r="N32" s="12"/>
    </row>
    <row r="33" spans="2:14" ht="16.5" thickBot="1">
      <c r="B33" s="26"/>
      <c r="C33" s="27"/>
      <c r="D33" s="27"/>
      <c r="E33" s="27"/>
      <c r="F33" s="27"/>
      <c r="G33" s="27"/>
      <c r="H33" s="27"/>
      <c r="I33" s="27"/>
      <c r="J33" s="27"/>
      <c r="K33" s="176" t="s">
        <v>10</v>
      </c>
      <c r="L33" s="177"/>
      <c r="M33" s="110">
        <f>SUM(M31:M32)</f>
        <v>112200</v>
      </c>
      <c r="N33" s="12"/>
    </row>
    <row r="34" spans="2:14"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12"/>
    </row>
    <row r="35" spans="2:14" ht="15.75" thickBot="1">
      <c r="B35" s="26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9"/>
      <c r="N35" s="12"/>
    </row>
    <row r="36" spans="2:14" ht="22.15" customHeight="1" thickBot="1">
      <c r="B36" s="186" t="s">
        <v>11</v>
      </c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8"/>
      <c r="N36" s="12"/>
    </row>
    <row r="37" spans="2:14" ht="15.75">
      <c r="B37" s="111" t="s">
        <v>12</v>
      </c>
      <c r="C37" s="114" t="s">
        <v>51</v>
      </c>
      <c r="D37" s="115"/>
      <c r="E37" s="116"/>
      <c r="F37" s="116"/>
      <c r="G37" s="116"/>
      <c r="H37" s="116"/>
      <c r="I37" s="116"/>
      <c r="J37" s="116"/>
      <c r="K37" s="116"/>
      <c r="L37" s="116"/>
      <c r="M37" s="117"/>
      <c r="N37" s="30"/>
    </row>
    <row r="38" spans="2:14" ht="15.75">
      <c r="B38" s="112" t="s">
        <v>13</v>
      </c>
      <c r="C38" s="118" t="s">
        <v>52</v>
      </c>
      <c r="D38" s="119"/>
      <c r="E38" s="120"/>
      <c r="F38" s="120"/>
      <c r="G38" s="120"/>
      <c r="H38" s="120"/>
      <c r="I38" s="120"/>
      <c r="J38" s="120"/>
      <c r="K38" s="120"/>
      <c r="L38" s="120"/>
      <c r="M38" s="121"/>
      <c r="N38" s="30"/>
    </row>
    <row r="39" spans="2:14" ht="15.75">
      <c r="B39" s="112" t="s">
        <v>14</v>
      </c>
      <c r="C39" s="118" t="s">
        <v>84</v>
      </c>
      <c r="D39" s="119"/>
      <c r="E39" s="120"/>
      <c r="F39" s="120"/>
      <c r="G39" s="120"/>
      <c r="H39" s="120"/>
      <c r="I39" s="120"/>
      <c r="J39" s="120"/>
      <c r="K39" s="120"/>
      <c r="L39" s="120"/>
      <c r="M39" s="121"/>
      <c r="N39" s="30"/>
    </row>
    <row r="40" spans="2:14" ht="15.75">
      <c r="B40" s="112" t="s">
        <v>15</v>
      </c>
      <c r="C40" s="118" t="s">
        <v>56</v>
      </c>
      <c r="D40" s="122"/>
      <c r="E40" s="122"/>
      <c r="F40" s="120"/>
      <c r="G40" s="120"/>
      <c r="H40" s="120"/>
      <c r="I40" s="120"/>
      <c r="J40" s="120"/>
      <c r="K40" s="120"/>
      <c r="L40" s="120"/>
      <c r="M40" s="121"/>
      <c r="N40" s="30"/>
    </row>
    <row r="41" spans="2:14" ht="9" customHeight="1">
      <c r="B41" s="201" t="s">
        <v>53</v>
      </c>
      <c r="C41" s="202" t="s">
        <v>85</v>
      </c>
      <c r="D41" s="202"/>
      <c r="E41" s="202"/>
      <c r="F41" s="202"/>
      <c r="G41" s="202"/>
      <c r="H41" s="202"/>
      <c r="I41" s="202"/>
      <c r="J41" s="202"/>
      <c r="K41" s="202"/>
      <c r="L41" s="202"/>
      <c r="M41" s="203"/>
      <c r="N41" s="31"/>
    </row>
    <row r="42" spans="2:14" ht="9" customHeight="1">
      <c r="B42" s="201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3"/>
      <c r="N42" s="31"/>
    </row>
    <row r="43" spans="2:14" ht="15.75">
      <c r="B43" s="112" t="s">
        <v>16</v>
      </c>
      <c r="C43" s="118" t="s">
        <v>55</v>
      </c>
      <c r="D43" s="119"/>
      <c r="E43" s="120"/>
      <c r="F43" s="120"/>
      <c r="G43" s="120"/>
      <c r="H43" s="120"/>
      <c r="I43" s="120"/>
      <c r="J43" s="120"/>
      <c r="K43" s="120"/>
      <c r="L43" s="120"/>
      <c r="M43" s="123"/>
      <c r="N43" s="30"/>
    </row>
    <row r="44" spans="2:14">
      <c r="B44" s="112" t="s">
        <v>17</v>
      </c>
      <c r="C44" s="30"/>
      <c r="D44" s="32"/>
      <c r="E44" s="32"/>
      <c r="F44" s="32"/>
      <c r="G44" s="32"/>
      <c r="H44" s="32"/>
      <c r="I44" s="32"/>
      <c r="J44" s="32"/>
      <c r="K44" s="32"/>
      <c r="L44" s="32"/>
      <c r="M44" s="57"/>
      <c r="N44" s="32"/>
    </row>
    <row r="45" spans="2:14">
      <c r="B45" s="112" t="s">
        <v>18</v>
      </c>
      <c r="C45" s="30"/>
      <c r="D45" s="33"/>
      <c r="E45" s="33"/>
      <c r="F45" s="33"/>
      <c r="G45" s="33"/>
      <c r="H45" s="33"/>
      <c r="I45" s="33"/>
      <c r="J45" s="33"/>
      <c r="K45" s="33"/>
      <c r="L45" s="33"/>
      <c r="M45" s="58"/>
      <c r="N45" s="33"/>
    </row>
    <row r="46" spans="2:14" ht="15.75" thickBot="1">
      <c r="B46" s="113" t="s">
        <v>19</v>
      </c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1"/>
      <c r="N46" s="33"/>
    </row>
    <row r="47" spans="2:14">
      <c r="B47" s="34"/>
      <c r="C47" s="30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</row>
    <row r="48" spans="2:14" ht="12" customHeight="1" thickBot="1">
      <c r="B48" s="34"/>
      <c r="C48" s="30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</row>
    <row r="49" spans="1:14" ht="19.149999999999999" customHeight="1">
      <c r="A49" s="20"/>
      <c r="B49" s="204" t="s">
        <v>96</v>
      </c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6"/>
      <c r="N49" s="33"/>
    </row>
    <row r="50" spans="1:14" ht="17.45" customHeight="1">
      <c r="A50" s="20"/>
      <c r="B50" s="178" t="s">
        <v>97</v>
      </c>
      <c r="C50" s="179"/>
      <c r="D50" s="179"/>
      <c r="E50" s="180"/>
      <c r="F50" s="181"/>
      <c r="G50" s="182"/>
      <c r="H50" s="182"/>
      <c r="I50" s="182"/>
      <c r="J50" s="182"/>
      <c r="K50" s="183"/>
      <c r="L50" s="184" t="s">
        <v>150</v>
      </c>
      <c r="M50" s="185"/>
      <c r="N50" s="33"/>
    </row>
    <row r="51" spans="1:14">
      <c r="B51" s="189"/>
      <c r="C51" s="190"/>
      <c r="D51" s="190"/>
      <c r="E51" s="191"/>
      <c r="F51" s="195"/>
      <c r="G51" s="190"/>
      <c r="H51" s="190"/>
      <c r="I51" s="190"/>
      <c r="J51" s="190"/>
      <c r="K51" s="191"/>
      <c r="L51" s="197"/>
      <c r="M51" s="198"/>
      <c r="N51" s="33"/>
    </row>
    <row r="52" spans="1:14">
      <c r="B52" s="189"/>
      <c r="C52" s="190"/>
      <c r="D52" s="190"/>
      <c r="E52" s="191"/>
      <c r="F52" s="195"/>
      <c r="G52" s="190"/>
      <c r="H52" s="190"/>
      <c r="I52" s="190"/>
      <c r="J52" s="190"/>
      <c r="K52" s="191"/>
      <c r="L52" s="197"/>
      <c r="M52" s="198"/>
      <c r="N52" s="33"/>
    </row>
    <row r="53" spans="1:14" ht="15.75" thickBot="1">
      <c r="B53" s="192"/>
      <c r="C53" s="193"/>
      <c r="D53" s="193"/>
      <c r="E53" s="194"/>
      <c r="F53" s="196"/>
      <c r="G53" s="193"/>
      <c r="H53" s="193"/>
      <c r="I53" s="193"/>
      <c r="J53" s="193"/>
      <c r="K53" s="194"/>
      <c r="L53" s="199"/>
      <c r="M53" s="200"/>
      <c r="N53" s="33"/>
    </row>
    <row r="54" spans="1:14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3"/>
    </row>
    <row r="55" spans="1:14" ht="15.75" thickBot="1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33"/>
    </row>
    <row r="56" spans="1:14" ht="21" customHeight="1">
      <c r="B56" s="204" t="s">
        <v>20</v>
      </c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6"/>
      <c r="N56" s="33"/>
    </row>
    <row r="57" spans="1:14" ht="18" customHeight="1">
      <c r="B57" s="208" t="s">
        <v>21</v>
      </c>
      <c r="C57" s="209"/>
      <c r="D57" s="209"/>
      <c r="E57" s="210"/>
      <c r="F57" s="211" t="s">
        <v>22</v>
      </c>
      <c r="G57" s="212"/>
      <c r="H57" s="212"/>
      <c r="I57" s="212"/>
      <c r="J57" s="212"/>
      <c r="K57" s="213"/>
      <c r="L57" s="214" t="s">
        <v>23</v>
      </c>
      <c r="M57" s="215"/>
      <c r="N57" s="33"/>
    </row>
    <row r="58" spans="1:14">
      <c r="B58" s="189"/>
      <c r="C58" s="190"/>
      <c r="D58" s="190"/>
      <c r="E58" s="191"/>
      <c r="F58" s="216"/>
      <c r="G58" s="217"/>
      <c r="H58" s="217"/>
      <c r="I58" s="217"/>
      <c r="J58" s="217"/>
      <c r="K58" s="218"/>
      <c r="L58" s="197"/>
      <c r="M58" s="198"/>
      <c r="N58" s="33"/>
    </row>
    <row r="59" spans="1:14">
      <c r="B59" s="189"/>
      <c r="C59" s="190"/>
      <c r="D59" s="190"/>
      <c r="E59" s="191"/>
      <c r="F59" s="216"/>
      <c r="G59" s="217"/>
      <c r="H59" s="217"/>
      <c r="I59" s="217"/>
      <c r="J59" s="217"/>
      <c r="K59" s="218"/>
      <c r="L59" s="197"/>
      <c r="M59" s="198"/>
      <c r="N59" s="33"/>
    </row>
    <row r="60" spans="1:14" ht="15.75" thickBot="1">
      <c r="A60" s="20"/>
      <c r="B60" s="192"/>
      <c r="C60" s="193"/>
      <c r="D60" s="193"/>
      <c r="E60" s="194"/>
      <c r="F60" s="219"/>
      <c r="G60" s="220"/>
      <c r="H60" s="220"/>
      <c r="I60" s="220"/>
      <c r="J60" s="220"/>
      <c r="K60" s="221"/>
      <c r="L60" s="199"/>
      <c r="M60" s="200"/>
      <c r="N60" s="33"/>
    </row>
    <row r="61" spans="1:14">
      <c r="A61" s="207"/>
      <c r="B61" s="207"/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</row>
    <row r="62" spans="1:14">
      <c r="A62" s="20"/>
      <c r="B62" s="36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37"/>
      <c r="N62" s="35"/>
    </row>
    <row r="63" spans="1:14">
      <c r="A63" s="20"/>
      <c r="B63" s="36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37"/>
      <c r="N63" s="35"/>
    </row>
  </sheetData>
  <mergeCells count="44">
    <mergeCell ref="G2:J9"/>
    <mergeCell ref="B7:F7"/>
    <mergeCell ref="B8:F9"/>
    <mergeCell ref="B12:M12"/>
    <mergeCell ref="C13:F13"/>
    <mergeCell ref="K13:M13"/>
    <mergeCell ref="C14:F14"/>
    <mergeCell ref="K14:M14"/>
    <mergeCell ref="C15:F15"/>
    <mergeCell ref="K15:M15"/>
    <mergeCell ref="C16:F16"/>
    <mergeCell ref="K16:M16"/>
    <mergeCell ref="B19:M20"/>
    <mergeCell ref="C23:L23"/>
    <mergeCell ref="C24:L24"/>
    <mergeCell ref="C25:L25"/>
    <mergeCell ref="C27:L27"/>
    <mergeCell ref="C30:L30"/>
    <mergeCell ref="K31:L31"/>
    <mergeCell ref="C26:L26"/>
    <mergeCell ref="C28:L28"/>
    <mergeCell ref="C29:L29"/>
    <mergeCell ref="A61:N61"/>
    <mergeCell ref="B56:M56"/>
    <mergeCell ref="B57:E57"/>
    <mergeCell ref="F57:K57"/>
    <mergeCell ref="L57:M57"/>
    <mergeCell ref="B58:E60"/>
    <mergeCell ref="F58:K60"/>
    <mergeCell ref="L58:M60"/>
    <mergeCell ref="B51:E53"/>
    <mergeCell ref="F51:K53"/>
    <mergeCell ref="L51:M53"/>
    <mergeCell ref="B41:B42"/>
    <mergeCell ref="C41:M42"/>
    <mergeCell ref="B49:E49"/>
    <mergeCell ref="F49:K49"/>
    <mergeCell ref="L49:M49"/>
    <mergeCell ref="K32:L32"/>
    <mergeCell ref="K33:L33"/>
    <mergeCell ref="B50:E50"/>
    <mergeCell ref="F50:K50"/>
    <mergeCell ref="L50:M50"/>
    <mergeCell ref="B36:M36"/>
  </mergeCells>
  <hyperlinks>
    <hyperlink ref="B16" r:id="rId1" xr:uid="{4B7ADD7E-94BD-4CF9-BCEA-76E4763EFF5B}"/>
    <hyperlink ref="J14" r:id="rId2" xr:uid="{EC27F01A-8961-40C9-BC35-830A3F52C3C1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3"/>
  <headerFooter>
    <oddHeader>&amp;R&amp;P/&amp;N</oddHeader>
    <oddFooter xml:space="preserve">&amp;L&amp;12LINTU MÜHENDİSLİK
Lintu Engineering
</oddFooter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46"/>
  <sheetViews>
    <sheetView view="pageBreakPreview" zoomScale="85" zoomScaleNormal="100" zoomScaleSheetLayoutView="85" workbookViewId="0">
      <pane ySplit="12" topLeftCell="A48" activePane="bottomLeft" state="frozen"/>
      <selection pane="bottomLeft" activeCell="H62" sqref="H62"/>
    </sheetView>
  </sheetViews>
  <sheetFormatPr defaultRowHeight="15"/>
  <cols>
    <col min="1" max="1" width="5.140625" style="88" customWidth="1"/>
    <col min="2" max="2" width="8.7109375" style="88" customWidth="1"/>
    <col min="3" max="3" width="11.5703125" style="53" customWidth="1"/>
    <col min="4" max="4" width="58.7109375" customWidth="1"/>
    <col min="5" max="5" width="9.7109375" customWidth="1"/>
    <col min="6" max="6" width="7.140625" customWidth="1"/>
    <col min="7" max="7" width="13.85546875" style="78" customWidth="1"/>
    <col min="8" max="8" width="17.5703125" style="78" customWidth="1"/>
    <col min="9" max="9" width="20.28515625" style="78" customWidth="1"/>
    <col min="10" max="10" width="18.42578125" style="78" customWidth="1"/>
    <col min="11" max="11" width="2.5703125" style="78" customWidth="1"/>
    <col min="12" max="12" width="8.85546875" style="47"/>
    <col min="13" max="13" width="13.85546875" style="78" customWidth="1"/>
    <col min="14" max="14" width="11.5703125" style="47" customWidth="1"/>
    <col min="15" max="15" width="11.140625" style="73" customWidth="1"/>
    <col min="16" max="16" width="16.140625" style="47" customWidth="1"/>
    <col min="17" max="17" width="14.7109375" style="78" customWidth="1"/>
    <col min="18" max="18" width="11.42578125" style="47" customWidth="1"/>
  </cols>
  <sheetData>
    <row r="1" spans="1:18" ht="15" customHeight="1"/>
    <row r="2" spans="1:18" ht="15.75">
      <c r="M2" s="141" t="s">
        <v>102</v>
      </c>
      <c r="N2" s="134">
        <v>33.58</v>
      </c>
    </row>
    <row r="3" spans="1:18" ht="15.75">
      <c r="M3" s="141" t="s">
        <v>103</v>
      </c>
      <c r="N3" s="134">
        <v>36.74</v>
      </c>
    </row>
    <row r="4" spans="1:18" ht="15.75">
      <c r="M4" s="141" t="s">
        <v>104</v>
      </c>
      <c r="N4" s="134">
        <v>1.3</v>
      </c>
    </row>
    <row r="5" spans="1:18" ht="15.75">
      <c r="M5" s="141" t="s">
        <v>112</v>
      </c>
      <c r="N5" s="134">
        <v>1</v>
      </c>
    </row>
    <row r="6" spans="1:18" ht="15.75">
      <c r="M6" s="141" t="s">
        <v>105</v>
      </c>
      <c r="N6" s="134">
        <v>1</v>
      </c>
    </row>
    <row r="7" spans="1:18" ht="15.75">
      <c r="M7" s="141" t="s">
        <v>106</v>
      </c>
      <c r="N7" s="134">
        <v>1</v>
      </c>
    </row>
    <row r="8" spans="1:18" s="2" customFormat="1" ht="15.75">
      <c r="A8" s="88"/>
      <c r="B8" s="88"/>
      <c r="C8" s="52"/>
      <c r="D8" s="95"/>
      <c r="E8" s="95"/>
      <c r="F8" s="95"/>
      <c r="G8" s="95"/>
      <c r="H8" s="95"/>
      <c r="I8" s="83"/>
      <c r="J8" s="83"/>
      <c r="K8" s="83"/>
      <c r="L8" s="66"/>
      <c r="M8" s="79"/>
      <c r="N8" s="65"/>
      <c r="O8" s="74"/>
      <c r="P8" s="65"/>
      <c r="Q8" s="79"/>
      <c r="R8" s="65"/>
    </row>
    <row r="9" spans="1:18" s="2" customFormat="1" ht="15.75">
      <c r="A9" s="88"/>
      <c r="B9" s="88"/>
      <c r="C9" s="52"/>
      <c r="D9" s="95"/>
      <c r="E9" s="95"/>
      <c r="F9" s="95"/>
      <c r="G9" s="95"/>
      <c r="H9" s="95"/>
      <c r="I9" s="83"/>
      <c r="J9" s="83"/>
      <c r="K9" s="83"/>
      <c r="L9" s="66"/>
      <c r="M9" s="79"/>
      <c r="N9" s="65"/>
      <c r="O9" s="74"/>
      <c r="P9" s="65"/>
      <c r="Q9" s="79"/>
      <c r="R9" s="65"/>
    </row>
    <row r="10" spans="1:18" s="2" customFormat="1" ht="35.25" customHeight="1">
      <c r="A10" s="256"/>
      <c r="B10" s="256"/>
      <c r="C10" s="256"/>
      <c r="D10" s="3"/>
      <c r="E10" s="3"/>
      <c r="G10" s="79"/>
      <c r="H10" s="79"/>
      <c r="I10" s="84"/>
      <c r="J10" s="85"/>
      <c r="K10" s="85"/>
      <c r="L10" s="67"/>
      <c r="M10" s="255" t="s">
        <v>4</v>
      </c>
      <c r="N10" s="255"/>
      <c r="O10" s="75"/>
      <c r="P10" s="68"/>
      <c r="Q10" s="96" t="s">
        <v>5</v>
      </c>
      <c r="R10" s="69"/>
    </row>
    <row r="11" spans="1:18" ht="8.1" customHeight="1" thickBot="1"/>
    <row r="12" spans="1:18" s="51" customFormat="1" ht="49.5" customHeight="1" thickBot="1">
      <c r="A12" s="125" t="s">
        <v>107</v>
      </c>
      <c r="B12" s="126" t="s">
        <v>86</v>
      </c>
      <c r="C12" s="126" t="s">
        <v>3</v>
      </c>
      <c r="D12" s="126" t="s">
        <v>0</v>
      </c>
      <c r="E12" s="126" t="s">
        <v>1</v>
      </c>
      <c r="F12" s="126" t="s">
        <v>2</v>
      </c>
      <c r="G12" s="127" t="s">
        <v>98</v>
      </c>
      <c r="H12" s="127" t="s">
        <v>99</v>
      </c>
      <c r="I12" s="127" t="s">
        <v>100</v>
      </c>
      <c r="J12" s="128" t="s">
        <v>101</v>
      </c>
      <c r="K12" s="140"/>
      <c r="L12" s="258" t="s">
        <v>108</v>
      </c>
      <c r="M12" s="252"/>
      <c r="N12" s="252" t="s">
        <v>109</v>
      </c>
      <c r="O12" s="252"/>
      <c r="P12" s="135" t="s">
        <v>110</v>
      </c>
      <c r="Q12" s="252" t="s">
        <v>111</v>
      </c>
      <c r="R12" s="253"/>
    </row>
    <row r="13" spans="1:18" ht="8.1" customHeight="1">
      <c r="A13" s="89"/>
      <c r="B13" s="89"/>
      <c r="C13" s="54"/>
      <c r="D13" s="50"/>
      <c r="E13" s="1"/>
      <c r="F13" s="1"/>
      <c r="G13" s="86"/>
      <c r="H13" s="86"/>
      <c r="I13" s="86"/>
      <c r="J13" s="86"/>
      <c r="K13" s="86"/>
      <c r="O13" s="76"/>
    </row>
    <row r="14" spans="1:18" ht="16.899999999999999" customHeight="1">
      <c r="A14" s="89"/>
      <c r="B14" s="89"/>
      <c r="C14" s="54"/>
      <c r="D14" s="70" t="s">
        <v>118</v>
      </c>
      <c r="E14" s="1"/>
      <c r="F14" s="1"/>
      <c r="G14" s="86"/>
      <c r="H14" s="86"/>
      <c r="I14" s="86"/>
      <c r="J14" s="86"/>
      <c r="K14" s="86"/>
      <c r="O14" s="76"/>
    </row>
    <row r="15" spans="1:18" ht="16.899999999999999" customHeight="1">
      <c r="A15" s="89"/>
      <c r="B15" s="89"/>
      <c r="C15" s="54"/>
      <c r="D15" s="71" t="s">
        <v>126</v>
      </c>
      <c r="E15" s="1"/>
      <c r="F15" s="1"/>
      <c r="G15" s="86"/>
      <c r="H15" s="86"/>
      <c r="I15" s="86"/>
      <c r="J15" s="86"/>
      <c r="K15" s="86"/>
      <c r="O15" s="76"/>
    </row>
    <row r="16" spans="1:18" ht="10.15" customHeight="1">
      <c r="C16" s="55"/>
      <c r="D16" s="71"/>
      <c r="E16" s="49"/>
      <c r="F16" s="49"/>
      <c r="G16" s="87"/>
      <c r="H16" s="87"/>
      <c r="I16" s="87"/>
      <c r="J16" s="87"/>
      <c r="K16" s="87"/>
      <c r="O16" s="76"/>
    </row>
    <row r="17" spans="1:18" ht="18.75">
      <c r="B17" s="136"/>
      <c r="C17" s="136"/>
      <c r="D17" s="149" t="s">
        <v>119</v>
      </c>
      <c r="E17" s="138"/>
      <c r="F17" s="138"/>
      <c r="G17" s="139"/>
      <c r="H17" s="139"/>
      <c r="I17" s="143"/>
      <c r="J17" s="143"/>
      <c r="K17" s="129"/>
      <c r="L17" s="249"/>
      <c r="M17" s="249"/>
      <c r="N17" s="249"/>
      <c r="O17" s="249"/>
      <c r="P17" s="142"/>
      <c r="Q17" s="250"/>
      <c r="R17" s="250"/>
    </row>
    <row r="18" spans="1:18" ht="15.75">
      <c r="A18" s="88">
        <v>1</v>
      </c>
      <c r="B18" s="136"/>
      <c r="C18" s="136"/>
      <c r="D18" s="166" t="s">
        <v>120</v>
      </c>
      <c r="E18" s="138"/>
      <c r="F18" s="138"/>
      <c r="G18" s="148"/>
      <c r="H18" s="148"/>
      <c r="I18" s="148"/>
      <c r="J18" s="148"/>
      <c r="K18" s="129"/>
      <c r="L18" s="249"/>
      <c r="M18" s="249"/>
      <c r="N18" s="249"/>
      <c r="O18" s="249"/>
      <c r="P18" s="142"/>
      <c r="Q18" s="250"/>
      <c r="R18" s="250"/>
    </row>
    <row r="19" spans="1:18" ht="15.75">
      <c r="B19" s="136"/>
      <c r="C19" s="136"/>
      <c r="D19" s="137" t="s">
        <v>121</v>
      </c>
      <c r="E19" s="138">
        <v>2</v>
      </c>
      <c r="F19" s="138" t="s">
        <v>41</v>
      </c>
      <c r="G19" s="148">
        <f t="shared" ref="G19:G22" si="0">L19*$N$6</f>
        <v>0</v>
      </c>
      <c r="H19" s="148">
        <f t="shared" ref="H19:H22" si="1">E19*G19</f>
        <v>0</v>
      </c>
      <c r="I19" s="148">
        <f>P19/$N$2*$N$5</f>
        <v>0</v>
      </c>
      <c r="J19" s="148">
        <f t="shared" ref="J19:J22" si="2">E19*I19</f>
        <v>0</v>
      </c>
      <c r="K19" s="129"/>
      <c r="L19" s="249">
        <v>0</v>
      </c>
      <c r="M19" s="249"/>
      <c r="N19" s="249">
        <f t="shared" ref="N19:N22" si="3">L19*E19</f>
        <v>0</v>
      </c>
      <c r="O19" s="249"/>
      <c r="P19" s="142">
        <v>0</v>
      </c>
      <c r="Q19" s="250">
        <f t="shared" ref="Q19:Q22" si="4">+P19*E19</f>
        <v>0</v>
      </c>
      <c r="R19" s="250"/>
    </row>
    <row r="20" spans="1:18" ht="15.75">
      <c r="B20" s="136"/>
      <c r="C20" s="136"/>
      <c r="D20" s="137" t="s">
        <v>122</v>
      </c>
      <c r="E20" s="138">
        <v>6</v>
      </c>
      <c r="F20" s="138" t="s">
        <v>113</v>
      </c>
      <c r="G20" s="148">
        <f t="shared" si="0"/>
        <v>0</v>
      </c>
      <c r="H20" s="148">
        <f t="shared" si="1"/>
        <v>0</v>
      </c>
      <c r="I20" s="148">
        <f>P20/$N$2*N9</f>
        <v>0</v>
      </c>
      <c r="J20" s="148">
        <f t="shared" si="2"/>
        <v>0</v>
      </c>
      <c r="K20" s="129"/>
      <c r="L20" s="249">
        <v>0</v>
      </c>
      <c r="M20" s="249"/>
      <c r="N20" s="249">
        <f t="shared" si="3"/>
        <v>0</v>
      </c>
      <c r="O20" s="249"/>
      <c r="P20" s="142">
        <v>0</v>
      </c>
      <c r="Q20" s="250">
        <f t="shared" si="4"/>
        <v>0</v>
      </c>
      <c r="R20" s="250"/>
    </row>
    <row r="21" spans="1:18" ht="15.75">
      <c r="B21" s="136"/>
      <c r="C21" s="136"/>
      <c r="D21" s="137" t="s">
        <v>124</v>
      </c>
      <c r="E21" s="138">
        <v>2</v>
      </c>
      <c r="F21" s="138" t="s">
        <v>41</v>
      </c>
      <c r="G21" s="148">
        <f t="shared" si="0"/>
        <v>0</v>
      </c>
      <c r="H21" s="148">
        <f t="shared" si="1"/>
        <v>0</v>
      </c>
      <c r="I21" s="148">
        <f>P21/$N$2*N10</f>
        <v>0</v>
      </c>
      <c r="J21" s="148">
        <f t="shared" si="2"/>
        <v>0</v>
      </c>
      <c r="K21" s="129"/>
      <c r="L21" s="249">
        <v>0</v>
      </c>
      <c r="M21" s="249"/>
      <c r="N21" s="249">
        <f t="shared" si="3"/>
        <v>0</v>
      </c>
      <c r="O21" s="249"/>
      <c r="P21" s="142">
        <v>0</v>
      </c>
      <c r="Q21" s="250">
        <f t="shared" si="4"/>
        <v>0</v>
      </c>
      <c r="R21" s="250"/>
    </row>
    <row r="22" spans="1:18" ht="15.75">
      <c r="B22" s="136"/>
      <c r="C22" s="136"/>
      <c r="D22" s="137" t="s">
        <v>125</v>
      </c>
      <c r="E22" s="138">
        <v>8</v>
      </c>
      <c r="F22" s="138" t="s">
        <v>41</v>
      </c>
      <c r="G22" s="148">
        <f t="shared" si="0"/>
        <v>0</v>
      </c>
      <c r="H22" s="148">
        <f t="shared" si="1"/>
        <v>0</v>
      </c>
      <c r="I22" s="148">
        <f>P22/$N$2*N11</f>
        <v>0</v>
      </c>
      <c r="J22" s="148">
        <f t="shared" si="2"/>
        <v>0</v>
      </c>
      <c r="K22" s="129"/>
      <c r="L22" s="249">
        <v>0</v>
      </c>
      <c r="M22" s="249"/>
      <c r="N22" s="249">
        <f t="shared" si="3"/>
        <v>0</v>
      </c>
      <c r="O22" s="249"/>
      <c r="P22" s="142">
        <v>0</v>
      </c>
      <c r="Q22" s="250">
        <f t="shared" si="4"/>
        <v>0</v>
      </c>
      <c r="R22" s="250"/>
    </row>
    <row r="23" spans="1:18" ht="15.75">
      <c r="B23" s="136"/>
      <c r="C23" s="136"/>
      <c r="D23" s="137" t="s">
        <v>140</v>
      </c>
      <c r="E23" s="138">
        <v>10</v>
      </c>
      <c r="F23" s="138" t="s">
        <v>141</v>
      </c>
      <c r="G23" s="148">
        <f t="shared" ref="G23:G24" si="5">L23*$N$6</f>
        <v>0</v>
      </c>
      <c r="H23" s="148">
        <f t="shared" ref="H23:H24" si="6">E23*G23</f>
        <v>0</v>
      </c>
      <c r="I23" s="148">
        <f>P23/$N$2*$N$5</f>
        <v>0</v>
      </c>
      <c r="J23" s="148">
        <f t="shared" ref="J23:J24" si="7">E23*I23</f>
        <v>0</v>
      </c>
      <c r="K23" s="129"/>
      <c r="L23" s="249">
        <v>0</v>
      </c>
      <c r="M23" s="249"/>
      <c r="N23" s="249">
        <f t="shared" ref="N23:N24" si="8">L23*E23</f>
        <v>0</v>
      </c>
      <c r="O23" s="249"/>
      <c r="P23" s="142">
        <v>0</v>
      </c>
      <c r="Q23" s="250">
        <f t="shared" ref="Q23:Q24" si="9">+P23*E23</f>
        <v>0</v>
      </c>
      <c r="R23" s="250"/>
    </row>
    <row r="24" spans="1:18" ht="15.75">
      <c r="B24" s="136"/>
      <c r="C24" s="136"/>
      <c r="D24" s="137" t="s">
        <v>142</v>
      </c>
      <c r="E24" s="138">
        <v>5</v>
      </c>
      <c r="F24" s="138" t="s">
        <v>141</v>
      </c>
      <c r="G24" s="148">
        <f t="shared" si="5"/>
        <v>0</v>
      </c>
      <c r="H24" s="148">
        <f t="shared" si="6"/>
        <v>0</v>
      </c>
      <c r="I24" s="148">
        <f>P24/$N$2*N13</f>
        <v>0</v>
      </c>
      <c r="J24" s="148">
        <f t="shared" si="7"/>
        <v>0</v>
      </c>
      <c r="K24" s="129"/>
      <c r="L24" s="249">
        <v>0</v>
      </c>
      <c r="M24" s="249"/>
      <c r="N24" s="249">
        <f t="shared" si="8"/>
        <v>0</v>
      </c>
      <c r="O24" s="249"/>
      <c r="P24" s="142">
        <v>0</v>
      </c>
      <c r="Q24" s="250">
        <f t="shared" si="9"/>
        <v>0</v>
      </c>
      <c r="R24" s="250"/>
    </row>
    <row r="25" spans="1:18" ht="15.75">
      <c r="B25" s="136"/>
      <c r="C25" s="136"/>
      <c r="D25" s="137"/>
      <c r="E25" s="138"/>
      <c r="F25" s="138"/>
      <c r="G25" s="148"/>
      <c r="H25" s="148"/>
      <c r="I25" s="148"/>
      <c r="J25" s="148"/>
      <c r="K25" s="129"/>
      <c r="L25" s="165"/>
      <c r="M25" s="165"/>
      <c r="N25" s="165"/>
      <c r="O25" s="165"/>
      <c r="P25" s="142"/>
      <c r="Q25" s="142"/>
      <c r="R25" s="142"/>
    </row>
    <row r="26" spans="1:18" ht="17.25">
      <c r="A26" s="88">
        <v>2</v>
      </c>
      <c r="B26" s="136"/>
      <c r="C26" s="136"/>
      <c r="D26" s="166" t="s">
        <v>123</v>
      </c>
      <c r="E26" s="138"/>
      <c r="F26" s="138"/>
      <c r="G26" s="139"/>
      <c r="H26" s="139"/>
      <c r="I26" s="143"/>
      <c r="J26" s="143"/>
      <c r="K26" s="129"/>
      <c r="L26" s="249"/>
      <c r="M26" s="249"/>
      <c r="N26" s="249"/>
      <c r="O26" s="249"/>
      <c r="P26" s="142"/>
      <c r="Q26" s="250"/>
      <c r="R26" s="250"/>
    </row>
    <row r="27" spans="1:18" ht="15.75">
      <c r="B27" s="136"/>
      <c r="C27" s="136"/>
      <c r="D27" s="137" t="s">
        <v>121</v>
      </c>
      <c r="E27" s="138">
        <v>12</v>
      </c>
      <c r="F27" s="138" t="s">
        <v>41</v>
      </c>
      <c r="G27" s="148">
        <f t="shared" ref="G27:G30" si="10">L27*$N$6</f>
        <v>0</v>
      </c>
      <c r="H27" s="148">
        <f t="shared" ref="H27:H30" si="11">E27*G27</f>
        <v>0</v>
      </c>
      <c r="I27" s="148">
        <f>P27/$N$2*$N$5</f>
        <v>0</v>
      </c>
      <c r="J27" s="148">
        <f t="shared" ref="J27:J30" si="12">E27*I27</f>
        <v>0</v>
      </c>
      <c r="K27" s="129"/>
      <c r="L27" s="249">
        <v>0</v>
      </c>
      <c r="M27" s="249"/>
      <c r="N27" s="249">
        <f t="shared" ref="N27:N30" si="13">L27*E27</f>
        <v>0</v>
      </c>
      <c r="O27" s="249"/>
      <c r="P27" s="142">
        <v>0</v>
      </c>
      <c r="Q27" s="250">
        <f t="shared" ref="Q27:Q30" si="14">+P27*E27</f>
        <v>0</v>
      </c>
      <c r="R27" s="250"/>
    </row>
    <row r="28" spans="1:18" ht="15.75">
      <c r="B28" s="136"/>
      <c r="C28" s="136"/>
      <c r="D28" s="137" t="s">
        <v>122</v>
      </c>
      <c r="E28" s="138">
        <v>6</v>
      </c>
      <c r="F28" s="138" t="s">
        <v>113</v>
      </c>
      <c r="G28" s="148">
        <f t="shared" si="10"/>
        <v>0</v>
      </c>
      <c r="H28" s="148">
        <f t="shared" si="11"/>
        <v>0</v>
      </c>
      <c r="I28" s="148">
        <f>P28/$N$2*N17</f>
        <v>0</v>
      </c>
      <c r="J28" s="148">
        <f t="shared" si="12"/>
        <v>0</v>
      </c>
      <c r="K28" s="129"/>
      <c r="L28" s="249">
        <v>0</v>
      </c>
      <c r="M28" s="249"/>
      <c r="N28" s="249">
        <f t="shared" si="13"/>
        <v>0</v>
      </c>
      <c r="O28" s="249"/>
      <c r="P28" s="142">
        <v>0</v>
      </c>
      <c r="Q28" s="250">
        <f t="shared" si="14"/>
        <v>0</v>
      </c>
      <c r="R28" s="250"/>
    </row>
    <row r="29" spans="1:18" ht="15.75">
      <c r="B29" s="136"/>
      <c r="C29" s="136"/>
      <c r="D29" s="137" t="s">
        <v>127</v>
      </c>
      <c r="E29" s="138">
        <v>12</v>
      </c>
      <c r="F29" s="138" t="s">
        <v>41</v>
      </c>
      <c r="G29" s="148">
        <f t="shared" si="10"/>
        <v>0</v>
      </c>
      <c r="H29" s="148">
        <f t="shared" si="11"/>
        <v>0</v>
      </c>
      <c r="I29" s="148">
        <f>P29/$N$2*N18</f>
        <v>0</v>
      </c>
      <c r="J29" s="148">
        <f t="shared" si="12"/>
        <v>0</v>
      </c>
      <c r="K29" s="129"/>
      <c r="L29" s="249">
        <v>0</v>
      </c>
      <c r="M29" s="249"/>
      <c r="N29" s="249">
        <f t="shared" si="13"/>
        <v>0</v>
      </c>
      <c r="O29" s="249"/>
      <c r="P29" s="142">
        <v>0</v>
      </c>
      <c r="Q29" s="250">
        <f t="shared" si="14"/>
        <v>0</v>
      </c>
      <c r="R29" s="250"/>
    </row>
    <row r="30" spans="1:18" ht="15.75">
      <c r="B30" s="136"/>
      <c r="C30" s="136"/>
      <c r="D30" s="137" t="s">
        <v>125</v>
      </c>
      <c r="E30" s="138">
        <v>48</v>
      </c>
      <c r="F30" s="138" t="s">
        <v>41</v>
      </c>
      <c r="G30" s="148">
        <f t="shared" si="10"/>
        <v>0</v>
      </c>
      <c r="H30" s="148">
        <f t="shared" si="11"/>
        <v>0</v>
      </c>
      <c r="I30" s="148">
        <f>P30/$N$2*N19</f>
        <v>0</v>
      </c>
      <c r="J30" s="148">
        <f t="shared" si="12"/>
        <v>0</v>
      </c>
      <c r="K30" s="129"/>
      <c r="L30" s="249">
        <v>0</v>
      </c>
      <c r="M30" s="249"/>
      <c r="N30" s="249">
        <f t="shared" si="13"/>
        <v>0</v>
      </c>
      <c r="O30" s="249"/>
      <c r="P30" s="142">
        <v>0</v>
      </c>
      <c r="Q30" s="250">
        <f t="shared" si="14"/>
        <v>0</v>
      </c>
      <c r="R30" s="250"/>
    </row>
    <row r="31" spans="1:18" ht="17.25">
      <c r="B31" s="136"/>
      <c r="C31" s="136"/>
      <c r="D31" s="137"/>
      <c r="E31" s="138"/>
      <c r="F31" s="138"/>
      <c r="G31" s="139"/>
      <c r="H31" s="139"/>
      <c r="I31" s="143"/>
      <c r="J31" s="143"/>
      <c r="K31" s="129"/>
      <c r="L31" s="249"/>
      <c r="M31" s="249"/>
      <c r="N31" s="249"/>
      <c r="O31" s="249"/>
      <c r="P31" s="142"/>
      <c r="Q31" s="250"/>
      <c r="R31" s="250"/>
    </row>
    <row r="32" spans="1:18" ht="17.25">
      <c r="A32" s="88">
        <v>3</v>
      </c>
      <c r="B32" s="136"/>
      <c r="C32" s="136"/>
      <c r="D32" s="166" t="s">
        <v>128</v>
      </c>
      <c r="E32" s="138"/>
      <c r="F32" s="138"/>
      <c r="G32" s="139"/>
      <c r="H32" s="139"/>
      <c r="I32" s="143"/>
      <c r="J32" s="143"/>
      <c r="K32" s="129"/>
      <c r="L32" s="249"/>
      <c r="M32" s="249"/>
      <c r="N32" s="249"/>
      <c r="O32" s="249"/>
      <c r="P32" s="142"/>
      <c r="Q32" s="250"/>
      <c r="R32" s="250"/>
    </row>
    <row r="33" spans="1:18" ht="15.75">
      <c r="B33" s="136"/>
      <c r="C33" s="136"/>
      <c r="D33" s="137" t="s">
        <v>129</v>
      </c>
      <c r="E33" s="138">
        <v>4</v>
      </c>
      <c r="F33" s="138" t="s">
        <v>41</v>
      </c>
      <c r="G33" s="148">
        <f t="shared" ref="G33:G35" si="15">L33*$N$6</f>
        <v>0</v>
      </c>
      <c r="H33" s="148">
        <f t="shared" ref="H33:H35" si="16">E33*G33</f>
        <v>0</v>
      </c>
      <c r="I33" s="148">
        <f>P33/$N$2*$N$5</f>
        <v>0</v>
      </c>
      <c r="J33" s="148">
        <f t="shared" ref="J33:J35" si="17">E33*I33</f>
        <v>0</v>
      </c>
      <c r="K33" s="129"/>
      <c r="L33" s="249">
        <v>0</v>
      </c>
      <c r="M33" s="249"/>
      <c r="N33" s="249">
        <f t="shared" ref="N33:N35" si="18">L33*E33</f>
        <v>0</v>
      </c>
      <c r="O33" s="249"/>
      <c r="P33" s="142">
        <v>0</v>
      </c>
      <c r="Q33" s="250">
        <f t="shared" ref="Q33:Q35" si="19">+P33*E33</f>
        <v>0</v>
      </c>
      <c r="R33" s="250"/>
    </row>
    <row r="34" spans="1:18" ht="15.75">
      <c r="B34" s="136"/>
      <c r="C34" s="136"/>
      <c r="D34" s="137" t="s">
        <v>130</v>
      </c>
      <c r="E34" s="138">
        <v>4</v>
      </c>
      <c r="F34" s="138" t="s">
        <v>41</v>
      </c>
      <c r="G34" s="148">
        <f t="shared" si="15"/>
        <v>0</v>
      </c>
      <c r="H34" s="148">
        <f t="shared" si="16"/>
        <v>0</v>
      </c>
      <c r="I34" s="148">
        <f>P34/$N$2*N23</f>
        <v>0</v>
      </c>
      <c r="J34" s="148">
        <f t="shared" si="17"/>
        <v>0</v>
      </c>
      <c r="K34" s="129"/>
      <c r="L34" s="249">
        <v>0</v>
      </c>
      <c r="M34" s="249"/>
      <c r="N34" s="249">
        <f t="shared" si="18"/>
        <v>0</v>
      </c>
      <c r="O34" s="249"/>
      <c r="P34" s="142">
        <v>0</v>
      </c>
      <c r="Q34" s="250">
        <f t="shared" si="19"/>
        <v>0</v>
      </c>
      <c r="R34" s="250"/>
    </row>
    <row r="35" spans="1:18" ht="15.75">
      <c r="B35" s="136"/>
      <c r="C35" s="136"/>
      <c r="D35" s="137" t="s">
        <v>131</v>
      </c>
      <c r="E35" s="138">
        <v>4</v>
      </c>
      <c r="F35" s="138" t="s">
        <v>41</v>
      </c>
      <c r="G35" s="148">
        <f t="shared" si="15"/>
        <v>0</v>
      </c>
      <c r="H35" s="148">
        <f t="shared" si="16"/>
        <v>0</v>
      </c>
      <c r="I35" s="148">
        <f>P35/$N$2*N24</f>
        <v>0</v>
      </c>
      <c r="J35" s="148">
        <f t="shared" si="17"/>
        <v>0</v>
      </c>
      <c r="K35" s="129"/>
      <c r="L35" s="249">
        <v>0</v>
      </c>
      <c r="M35" s="249"/>
      <c r="N35" s="249">
        <f t="shared" si="18"/>
        <v>0</v>
      </c>
      <c r="O35" s="249"/>
      <c r="P35" s="142">
        <v>0</v>
      </c>
      <c r="Q35" s="250">
        <f t="shared" si="19"/>
        <v>0</v>
      </c>
      <c r="R35" s="250"/>
    </row>
    <row r="36" spans="1:18" ht="17.25">
      <c r="B36" s="136"/>
      <c r="C36" s="136"/>
      <c r="D36" s="137"/>
      <c r="E36" s="138"/>
      <c r="F36" s="138"/>
      <c r="G36" s="139"/>
      <c r="H36" s="139"/>
      <c r="I36" s="143"/>
      <c r="J36" s="143"/>
      <c r="K36" s="129"/>
      <c r="L36" s="249"/>
      <c r="M36" s="249"/>
      <c r="N36" s="249"/>
      <c r="O36" s="249"/>
      <c r="P36" s="142"/>
      <c r="Q36" s="250"/>
      <c r="R36" s="250"/>
    </row>
    <row r="37" spans="1:18" ht="30">
      <c r="A37" s="88">
        <v>4</v>
      </c>
      <c r="B37" s="136"/>
      <c r="C37" s="136"/>
      <c r="D37" s="166" t="s">
        <v>132</v>
      </c>
      <c r="E37" s="138"/>
      <c r="F37" s="138"/>
      <c r="G37" s="139"/>
      <c r="H37" s="139"/>
      <c r="I37" s="143">
        <f t="shared" ref="I37" si="20">Q37*(1-R37)*(1+P37)</f>
        <v>0</v>
      </c>
      <c r="J37" s="143">
        <f t="shared" ref="J37:J41" si="21">E37*I37</f>
        <v>0</v>
      </c>
      <c r="K37" s="129"/>
      <c r="L37" s="249"/>
      <c r="M37" s="249"/>
      <c r="N37" s="249"/>
      <c r="O37" s="249"/>
      <c r="P37" s="142"/>
      <c r="Q37" s="250"/>
      <c r="R37" s="250"/>
    </row>
    <row r="38" spans="1:18" ht="15.75">
      <c r="B38" s="136"/>
      <c r="C38" s="136"/>
      <c r="D38" s="137" t="s">
        <v>121</v>
      </c>
      <c r="E38" s="138">
        <v>6</v>
      </c>
      <c r="F38" s="138" t="s">
        <v>41</v>
      </c>
      <c r="G38" s="148">
        <f t="shared" ref="G38:G41" si="22">L38*$N$6</f>
        <v>0</v>
      </c>
      <c r="H38" s="148">
        <f t="shared" ref="H38:H41" si="23">E38*G38</f>
        <v>0</v>
      </c>
      <c r="I38" s="148">
        <f>P38/$N$2*$N$5</f>
        <v>0</v>
      </c>
      <c r="J38" s="148">
        <f t="shared" si="21"/>
        <v>0</v>
      </c>
      <c r="K38" s="129"/>
      <c r="L38" s="249">
        <v>0</v>
      </c>
      <c r="M38" s="249"/>
      <c r="N38" s="249">
        <f t="shared" ref="N38:N41" si="24">L38*E38</f>
        <v>0</v>
      </c>
      <c r="O38" s="249"/>
      <c r="P38" s="142">
        <v>0</v>
      </c>
      <c r="Q38" s="250">
        <f t="shared" ref="Q38:Q41" si="25">+P38*E38</f>
        <v>0</v>
      </c>
      <c r="R38" s="250"/>
    </row>
    <row r="39" spans="1:18" ht="15.75">
      <c r="B39" s="136"/>
      <c r="C39" s="136"/>
      <c r="D39" s="137" t="s">
        <v>122</v>
      </c>
      <c r="E39" s="138">
        <v>0</v>
      </c>
      <c r="F39" s="138" t="s">
        <v>113</v>
      </c>
      <c r="G39" s="148">
        <f t="shared" si="22"/>
        <v>0</v>
      </c>
      <c r="H39" s="148">
        <f t="shared" si="23"/>
        <v>0</v>
      </c>
      <c r="I39" s="148">
        <f>P39/$N$2*N28</f>
        <v>0</v>
      </c>
      <c r="J39" s="148">
        <f t="shared" si="21"/>
        <v>0</v>
      </c>
      <c r="K39" s="129"/>
      <c r="L39" s="249">
        <v>0</v>
      </c>
      <c r="M39" s="249"/>
      <c r="N39" s="249">
        <f t="shared" si="24"/>
        <v>0</v>
      </c>
      <c r="O39" s="249"/>
      <c r="P39" s="142">
        <v>0</v>
      </c>
      <c r="Q39" s="250">
        <f t="shared" si="25"/>
        <v>0</v>
      </c>
      <c r="R39" s="250"/>
    </row>
    <row r="40" spans="1:18" ht="15.75">
      <c r="B40" s="136"/>
      <c r="C40" s="136"/>
      <c r="D40" s="137" t="s">
        <v>127</v>
      </c>
      <c r="E40" s="138">
        <v>6</v>
      </c>
      <c r="F40" s="138" t="s">
        <v>41</v>
      </c>
      <c r="G40" s="148">
        <f t="shared" si="22"/>
        <v>0</v>
      </c>
      <c r="H40" s="148">
        <f t="shared" si="23"/>
        <v>0</v>
      </c>
      <c r="I40" s="148">
        <f>P40/$N$2*N29</f>
        <v>0</v>
      </c>
      <c r="J40" s="148">
        <f t="shared" si="21"/>
        <v>0</v>
      </c>
      <c r="K40" s="129"/>
      <c r="L40" s="249">
        <v>0</v>
      </c>
      <c r="M40" s="249"/>
      <c r="N40" s="249">
        <f t="shared" si="24"/>
        <v>0</v>
      </c>
      <c r="O40" s="249"/>
      <c r="P40" s="142">
        <v>0</v>
      </c>
      <c r="Q40" s="250">
        <f t="shared" si="25"/>
        <v>0</v>
      </c>
      <c r="R40" s="250"/>
    </row>
    <row r="41" spans="1:18" ht="15.75">
      <c r="B41" s="136"/>
      <c r="C41" s="136"/>
      <c r="D41" s="137" t="s">
        <v>125</v>
      </c>
      <c r="E41" s="138">
        <v>24</v>
      </c>
      <c r="F41" s="138" t="s">
        <v>41</v>
      </c>
      <c r="G41" s="148">
        <f t="shared" si="22"/>
        <v>0</v>
      </c>
      <c r="H41" s="148">
        <f t="shared" si="23"/>
        <v>0</v>
      </c>
      <c r="I41" s="148">
        <f>P41/$N$2*N30</f>
        <v>0</v>
      </c>
      <c r="J41" s="148">
        <f t="shared" si="21"/>
        <v>0</v>
      </c>
      <c r="K41" s="129"/>
      <c r="L41" s="249">
        <v>0</v>
      </c>
      <c r="M41" s="249"/>
      <c r="N41" s="249">
        <f t="shared" si="24"/>
        <v>0</v>
      </c>
      <c r="O41" s="249"/>
      <c r="P41" s="142">
        <v>0</v>
      </c>
      <c r="Q41" s="250">
        <f t="shared" si="25"/>
        <v>0</v>
      </c>
      <c r="R41" s="250"/>
    </row>
    <row r="42" spans="1:18" ht="17.25">
      <c r="B42" s="136"/>
      <c r="C42" s="136"/>
      <c r="D42" s="137"/>
      <c r="E42" s="138"/>
      <c r="F42" s="138"/>
      <c r="G42" s="139"/>
      <c r="H42" s="139"/>
      <c r="I42" s="143"/>
      <c r="J42" s="143"/>
      <c r="K42" s="129"/>
      <c r="L42" s="249"/>
      <c r="M42" s="249"/>
      <c r="N42" s="249"/>
      <c r="O42" s="249"/>
      <c r="P42" s="142"/>
      <c r="Q42" s="250"/>
      <c r="R42" s="250"/>
    </row>
    <row r="43" spans="1:18" ht="18.75">
      <c r="B43" s="136"/>
      <c r="C43" s="136"/>
      <c r="D43" s="149" t="s">
        <v>133</v>
      </c>
      <c r="E43" s="138"/>
      <c r="F43" s="138"/>
      <c r="G43" s="139"/>
      <c r="H43" s="139"/>
      <c r="I43" s="143">
        <f t="shared" ref="I43" si="26">Q43*(1-R43)*(1+P43)</f>
        <v>0</v>
      </c>
      <c r="J43" s="143">
        <f t="shared" ref="J43:J45" si="27">E43*I43</f>
        <v>0</v>
      </c>
      <c r="K43" s="129"/>
      <c r="L43" s="249"/>
      <c r="M43" s="249"/>
      <c r="N43" s="249"/>
      <c r="O43" s="249"/>
      <c r="P43" s="142"/>
      <c r="Q43" s="250"/>
      <c r="R43" s="250"/>
    </row>
    <row r="44" spans="1:18" ht="15.75">
      <c r="B44" s="136"/>
      <c r="C44" s="136"/>
      <c r="D44" s="137" t="s">
        <v>122</v>
      </c>
      <c r="E44" s="138">
        <v>6</v>
      </c>
      <c r="F44" s="138" t="s">
        <v>113</v>
      </c>
      <c r="G44" s="148">
        <f t="shared" ref="G44:G45" si="28">L44*$N$6</f>
        <v>0</v>
      </c>
      <c r="H44" s="148">
        <f t="shared" ref="H44:H45" si="29">E44*G44</f>
        <v>0</v>
      </c>
      <c r="I44" s="148">
        <f>P44/$N$2*$N$5</f>
        <v>0</v>
      </c>
      <c r="J44" s="148">
        <f t="shared" si="27"/>
        <v>0</v>
      </c>
      <c r="K44" s="129"/>
      <c r="L44" s="249">
        <v>0</v>
      </c>
      <c r="M44" s="249"/>
      <c r="N44" s="249">
        <f t="shared" ref="N44:N45" si="30">L44*E44</f>
        <v>0</v>
      </c>
      <c r="O44" s="249"/>
      <c r="P44" s="142">
        <v>0</v>
      </c>
      <c r="Q44" s="250">
        <f t="shared" ref="Q44:Q45" si="31">+P44*E44</f>
        <v>0</v>
      </c>
      <c r="R44" s="250"/>
    </row>
    <row r="45" spans="1:18" ht="15.75">
      <c r="B45" s="136"/>
      <c r="C45" s="136"/>
      <c r="D45" s="137" t="s">
        <v>134</v>
      </c>
      <c r="E45" s="138">
        <v>12</v>
      </c>
      <c r="F45" s="138" t="s">
        <v>41</v>
      </c>
      <c r="G45" s="148">
        <f t="shared" si="28"/>
        <v>0</v>
      </c>
      <c r="H45" s="148">
        <f t="shared" si="29"/>
        <v>0</v>
      </c>
      <c r="I45" s="148">
        <f>P45/$N$2*N34</f>
        <v>0</v>
      </c>
      <c r="J45" s="148">
        <f t="shared" si="27"/>
        <v>0</v>
      </c>
      <c r="K45" s="129"/>
      <c r="L45" s="249">
        <v>0</v>
      </c>
      <c r="M45" s="249"/>
      <c r="N45" s="249">
        <f t="shared" si="30"/>
        <v>0</v>
      </c>
      <c r="O45" s="249"/>
      <c r="P45" s="142">
        <v>0</v>
      </c>
      <c r="Q45" s="250">
        <f t="shared" si="31"/>
        <v>0</v>
      </c>
      <c r="R45" s="250"/>
    </row>
    <row r="46" spans="1:18" ht="17.25">
      <c r="B46" s="136"/>
      <c r="C46" s="136"/>
      <c r="D46" s="137"/>
      <c r="E46" s="138"/>
      <c r="F46" s="138"/>
      <c r="G46" s="139"/>
      <c r="H46" s="139"/>
      <c r="I46" s="143">
        <f t="shared" ref="I46" si="32">Q46*(1-R46)*(1+P46)</f>
        <v>0</v>
      </c>
      <c r="J46" s="143">
        <f t="shared" ref="J46" si="33">E46*I46</f>
        <v>0</v>
      </c>
      <c r="K46" s="129"/>
      <c r="L46" s="249"/>
      <c r="M46" s="249"/>
      <c r="N46" s="249"/>
      <c r="O46" s="249"/>
      <c r="P46" s="142"/>
      <c r="Q46" s="250"/>
      <c r="R46" s="250"/>
    </row>
    <row r="47" spans="1:18" ht="18.75">
      <c r="B47" s="136"/>
      <c r="C47" s="136"/>
      <c r="D47" s="149" t="s">
        <v>135</v>
      </c>
      <c r="E47" s="138"/>
      <c r="F47" s="138"/>
      <c r="G47" s="139"/>
      <c r="H47" s="139"/>
      <c r="I47" s="143"/>
      <c r="J47" s="143"/>
      <c r="K47" s="129"/>
      <c r="L47" s="249"/>
      <c r="M47" s="249"/>
      <c r="N47" s="249"/>
      <c r="O47" s="249"/>
      <c r="P47" s="142"/>
      <c r="Q47" s="250"/>
      <c r="R47" s="250"/>
    </row>
    <row r="48" spans="1:18" ht="15.75">
      <c r="B48" s="136"/>
      <c r="C48" s="136"/>
      <c r="D48" s="137" t="s">
        <v>136</v>
      </c>
      <c r="E48" s="138">
        <v>800</v>
      </c>
      <c r="F48" s="138" t="s">
        <v>113</v>
      </c>
      <c r="G48" s="148">
        <f t="shared" ref="G48:G51" si="34">L48*$N$6</f>
        <v>0</v>
      </c>
      <c r="H48" s="148">
        <f t="shared" ref="H48:H51" si="35">E48*G48</f>
        <v>0</v>
      </c>
      <c r="I48" s="148">
        <f>P48/$N$2*$N$5</f>
        <v>0</v>
      </c>
      <c r="J48" s="148">
        <f t="shared" ref="J48:J51" si="36">E48*I48</f>
        <v>0</v>
      </c>
      <c r="K48" s="129"/>
      <c r="L48" s="249">
        <v>0</v>
      </c>
      <c r="M48" s="249"/>
      <c r="N48" s="249">
        <f t="shared" ref="N48:N51" si="37">L48*E48</f>
        <v>0</v>
      </c>
      <c r="O48" s="249"/>
      <c r="P48" s="142">
        <v>0</v>
      </c>
      <c r="Q48" s="250">
        <f t="shared" ref="Q48:Q51" si="38">+P48*E48</f>
        <v>0</v>
      </c>
      <c r="R48" s="250"/>
    </row>
    <row r="49" spans="2:18" ht="15.75">
      <c r="B49" s="136"/>
      <c r="C49" s="136"/>
      <c r="D49" s="137" t="s">
        <v>137</v>
      </c>
      <c r="E49" s="138">
        <v>600</v>
      </c>
      <c r="F49" s="138" t="s">
        <v>41</v>
      </c>
      <c r="G49" s="148">
        <f t="shared" si="34"/>
        <v>0</v>
      </c>
      <c r="H49" s="148">
        <f t="shared" si="35"/>
        <v>0</v>
      </c>
      <c r="I49" s="148">
        <f>P49/$N$2*N38</f>
        <v>0</v>
      </c>
      <c r="J49" s="148">
        <f t="shared" si="36"/>
        <v>0</v>
      </c>
      <c r="K49" s="129"/>
      <c r="L49" s="249">
        <v>0</v>
      </c>
      <c r="M49" s="249"/>
      <c r="N49" s="249">
        <f t="shared" si="37"/>
        <v>0</v>
      </c>
      <c r="O49" s="249"/>
      <c r="P49" s="142">
        <v>0</v>
      </c>
      <c r="Q49" s="250">
        <f t="shared" si="38"/>
        <v>0</v>
      </c>
      <c r="R49" s="250"/>
    </row>
    <row r="50" spans="2:18" ht="15.75">
      <c r="B50" s="136"/>
      <c r="C50" s="136"/>
      <c r="D50" s="137" t="s">
        <v>140</v>
      </c>
      <c r="E50" s="138">
        <v>20</v>
      </c>
      <c r="F50" s="138" t="s">
        <v>141</v>
      </c>
      <c r="G50" s="148">
        <f t="shared" si="34"/>
        <v>0</v>
      </c>
      <c r="H50" s="148">
        <f t="shared" si="35"/>
        <v>0</v>
      </c>
      <c r="I50" s="148">
        <f>P50/$N$2*N39</f>
        <v>0</v>
      </c>
      <c r="J50" s="148">
        <f t="shared" si="36"/>
        <v>0</v>
      </c>
      <c r="K50" s="129"/>
      <c r="L50" s="249">
        <v>0</v>
      </c>
      <c r="M50" s="249"/>
      <c r="N50" s="249">
        <f t="shared" si="37"/>
        <v>0</v>
      </c>
      <c r="O50" s="249"/>
      <c r="P50" s="142">
        <v>0</v>
      </c>
      <c r="Q50" s="250">
        <f t="shared" si="38"/>
        <v>0</v>
      </c>
      <c r="R50" s="250"/>
    </row>
    <row r="51" spans="2:18" ht="15.75">
      <c r="B51" s="136"/>
      <c r="C51" s="136"/>
      <c r="D51" s="137" t="s">
        <v>142</v>
      </c>
      <c r="E51" s="138">
        <v>10</v>
      </c>
      <c r="F51" s="138" t="s">
        <v>141</v>
      </c>
      <c r="G51" s="148">
        <f t="shared" si="34"/>
        <v>0</v>
      </c>
      <c r="H51" s="148">
        <f t="shared" si="35"/>
        <v>0</v>
      </c>
      <c r="I51" s="148">
        <f>P51/$N$2*N40</f>
        <v>0</v>
      </c>
      <c r="J51" s="148">
        <f t="shared" si="36"/>
        <v>0</v>
      </c>
      <c r="K51" s="129"/>
      <c r="L51" s="249">
        <v>0</v>
      </c>
      <c r="M51" s="249"/>
      <c r="N51" s="249">
        <f t="shared" si="37"/>
        <v>0</v>
      </c>
      <c r="O51" s="249"/>
      <c r="P51" s="142">
        <v>0</v>
      </c>
      <c r="Q51" s="250">
        <f t="shared" si="38"/>
        <v>0</v>
      </c>
      <c r="R51" s="250"/>
    </row>
    <row r="52" spans="2:18" ht="17.25">
      <c r="B52" s="136"/>
      <c r="C52" s="136"/>
      <c r="D52" s="137"/>
      <c r="E52" s="138"/>
      <c r="F52" s="138"/>
      <c r="G52" s="139"/>
      <c r="H52" s="139"/>
      <c r="I52" s="143">
        <f t="shared" ref="I52" si="39">Q52*(1-R52)*(1+P52)</f>
        <v>0</v>
      </c>
      <c r="J52" s="143">
        <f t="shared" ref="J52" si="40">E52*I52</f>
        <v>0</v>
      </c>
      <c r="K52" s="129"/>
      <c r="L52" s="249"/>
      <c r="M52" s="249"/>
      <c r="N52" s="249"/>
      <c r="O52" s="249"/>
      <c r="P52" s="142"/>
      <c r="Q52" s="250"/>
      <c r="R52" s="250"/>
    </row>
    <row r="53" spans="2:18" ht="17.25">
      <c r="B53" s="136"/>
      <c r="C53" s="136"/>
      <c r="D53" s="166" t="s">
        <v>138</v>
      </c>
      <c r="E53" s="138"/>
      <c r="F53" s="138"/>
      <c r="G53" s="139"/>
      <c r="H53" s="139"/>
      <c r="I53" s="143"/>
      <c r="J53" s="143"/>
      <c r="K53" s="129"/>
      <c r="L53" s="249"/>
      <c r="M53" s="249"/>
      <c r="N53" s="249"/>
      <c r="O53" s="249"/>
      <c r="P53" s="142"/>
      <c r="Q53" s="250"/>
      <c r="R53" s="250"/>
    </row>
    <row r="54" spans="2:18" ht="30">
      <c r="B54" s="136"/>
      <c r="C54" s="136"/>
      <c r="D54" s="137" t="s">
        <v>145</v>
      </c>
      <c r="E54" s="138">
        <v>80</v>
      </c>
      <c r="F54" s="138" t="s">
        <v>41</v>
      </c>
      <c r="G54" s="148">
        <f t="shared" ref="G54" si="41">L54*$N$6</f>
        <v>0</v>
      </c>
      <c r="H54" s="148">
        <f t="shared" ref="H54" si="42">E54*G54</f>
        <v>0</v>
      </c>
      <c r="I54" s="148">
        <f>P54/$N$2*N43</f>
        <v>0</v>
      </c>
      <c r="J54" s="148">
        <f t="shared" ref="J54" si="43">E54*I54</f>
        <v>0</v>
      </c>
      <c r="K54" s="129"/>
      <c r="L54" s="249">
        <v>0</v>
      </c>
      <c r="M54" s="249"/>
      <c r="N54" s="249">
        <f t="shared" ref="N54" si="44">L54*E54</f>
        <v>0</v>
      </c>
      <c r="O54" s="249"/>
      <c r="P54" s="142">
        <v>0</v>
      </c>
      <c r="Q54" s="250">
        <f t="shared" ref="Q54" si="45">+P54*E54</f>
        <v>0</v>
      </c>
      <c r="R54" s="250"/>
    </row>
    <row r="55" spans="2:18" ht="17.25">
      <c r="B55" s="136"/>
      <c r="C55" s="136"/>
      <c r="D55" s="137"/>
      <c r="E55" s="138"/>
      <c r="F55" s="138"/>
      <c r="G55" s="139"/>
      <c r="H55" s="139"/>
      <c r="I55" s="143"/>
      <c r="J55" s="143"/>
      <c r="K55" s="129"/>
      <c r="L55" s="249"/>
      <c r="M55" s="249"/>
      <c r="N55" s="249"/>
      <c r="O55" s="249"/>
      <c r="P55" s="142"/>
      <c r="Q55" s="250"/>
      <c r="R55" s="250"/>
    </row>
    <row r="56" spans="2:18" ht="17.25">
      <c r="B56" s="136"/>
      <c r="C56" s="136"/>
      <c r="D56" s="166" t="s">
        <v>139</v>
      </c>
      <c r="E56" s="138"/>
      <c r="F56" s="138"/>
      <c r="G56" s="139"/>
      <c r="H56" s="139"/>
      <c r="I56" s="143">
        <f t="shared" ref="I56" si="46">Q56*(1-R56)*(1+P56)</f>
        <v>0</v>
      </c>
      <c r="J56" s="143">
        <f t="shared" ref="J56:J58" si="47">E56*I56</f>
        <v>0</v>
      </c>
      <c r="K56" s="129"/>
      <c r="L56" s="249"/>
      <c r="M56" s="249"/>
      <c r="N56" s="249"/>
      <c r="O56" s="249"/>
      <c r="P56" s="142"/>
      <c r="Q56" s="250"/>
      <c r="R56" s="250"/>
    </row>
    <row r="57" spans="2:18" ht="15.75">
      <c r="B57" s="136"/>
      <c r="C57" s="136"/>
      <c r="D57" s="137" t="s">
        <v>143</v>
      </c>
      <c r="E57" s="138">
        <v>6</v>
      </c>
      <c r="F57" s="138" t="s">
        <v>113</v>
      </c>
      <c r="G57" s="148">
        <f t="shared" ref="G57:G58" si="48">L57*$N$6</f>
        <v>0</v>
      </c>
      <c r="H57" s="148">
        <f t="shared" ref="H57:H58" si="49">E57*G57</f>
        <v>0</v>
      </c>
      <c r="I57" s="148">
        <f>P57/$N$2*N46</f>
        <v>0</v>
      </c>
      <c r="J57" s="148">
        <f t="shared" si="47"/>
        <v>0</v>
      </c>
      <c r="K57" s="129"/>
      <c r="L57" s="249">
        <v>0</v>
      </c>
      <c r="M57" s="249"/>
      <c r="N57" s="249">
        <f t="shared" ref="N57:N58" si="50">L57*E57</f>
        <v>0</v>
      </c>
      <c r="O57" s="249"/>
      <c r="P57" s="142">
        <v>0</v>
      </c>
      <c r="Q57" s="250">
        <f t="shared" ref="Q57:Q58" si="51">+P57*E57</f>
        <v>0</v>
      </c>
      <c r="R57" s="250"/>
    </row>
    <row r="58" spans="2:18" ht="15.75">
      <c r="B58" s="136"/>
      <c r="C58" s="136"/>
      <c r="D58" s="137" t="s">
        <v>144</v>
      </c>
      <c r="E58" s="138">
        <v>2</v>
      </c>
      <c r="F58" s="138" t="s">
        <v>41</v>
      </c>
      <c r="G58" s="148">
        <f t="shared" si="48"/>
        <v>0</v>
      </c>
      <c r="H58" s="148">
        <f t="shared" si="49"/>
        <v>0</v>
      </c>
      <c r="I58" s="148">
        <f>P58/$N$2*N47</f>
        <v>0</v>
      </c>
      <c r="J58" s="148">
        <f t="shared" si="47"/>
        <v>0</v>
      </c>
      <c r="K58" s="129"/>
      <c r="L58" s="249">
        <v>0</v>
      </c>
      <c r="M58" s="249"/>
      <c r="N58" s="249">
        <f t="shared" si="50"/>
        <v>0</v>
      </c>
      <c r="O58" s="249"/>
      <c r="P58" s="142">
        <v>0</v>
      </c>
      <c r="Q58" s="250">
        <f t="shared" si="51"/>
        <v>0</v>
      </c>
      <c r="R58" s="250"/>
    </row>
    <row r="59" spans="2:18" ht="17.25">
      <c r="B59" s="136"/>
      <c r="C59" s="136"/>
      <c r="D59" s="137"/>
      <c r="E59" s="138"/>
      <c r="F59" s="138"/>
      <c r="G59" s="139"/>
      <c r="H59" s="139"/>
      <c r="I59" s="143"/>
      <c r="J59" s="143"/>
      <c r="K59" s="129"/>
      <c r="L59" s="249"/>
      <c r="M59" s="249"/>
      <c r="N59" s="249"/>
      <c r="O59" s="249"/>
      <c r="P59" s="142"/>
      <c r="Q59" s="250"/>
      <c r="R59" s="250"/>
    </row>
    <row r="60" spans="2:18" ht="17.25">
      <c r="B60" s="136"/>
      <c r="C60" s="136"/>
      <c r="D60" s="137"/>
      <c r="E60" s="138"/>
      <c r="F60" s="138"/>
      <c r="G60" s="139"/>
      <c r="H60" s="139"/>
      <c r="I60" s="143">
        <f t="shared" ref="I60" si="52">Q60*(1-R60)*(1+P60)</f>
        <v>0</v>
      </c>
      <c r="J60" s="143">
        <f t="shared" ref="J60" si="53">E60*I60</f>
        <v>0</v>
      </c>
      <c r="K60" s="129"/>
      <c r="L60" s="249"/>
      <c r="M60" s="249"/>
      <c r="N60" s="249"/>
      <c r="O60" s="249"/>
      <c r="P60" s="142"/>
      <c r="Q60" s="250"/>
      <c r="R60" s="250"/>
    </row>
    <row r="61" spans="2:18" ht="18.75">
      <c r="B61" s="136"/>
      <c r="C61" s="136"/>
      <c r="D61" s="137"/>
      <c r="E61" s="138"/>
      <c r="F61" s="257"/>
      <c r="G61" s="257"/>
      <c r="H61" s="139"/>
      <c r="I61" s="143"/>
      <c r="J61" s="143"/>
      <c r="K61" s="129"/>
      <c r="L61" s="249"/>
      <c r="M61" s="249"/>
      <c r="N61" s="249"/>
      <c r="O61" s="249"/>
      <c r="P61" s="142"/>
      <c r="Q61" s="250"/>
      <c r="R61" s="250"/>
    </row>
    <row r="62" spans="2:18" ht="17.25">
      <c r="B62" s="136"/>
      <c r="C62" s="136"/>
      <c r="D62" s="137"/>
      <c r="E62" s="247" t="s">
        <v>146</v>
      </c>
      <c r="F62" s="247"/>
      <c r="G62" s="169" t="s">
        <v>147</v>
      </c>
      <c r="H62" s="167"/>
      <c r="I62" s="168" t="s">
        <v>5</v>
      </c>
      <c r="J62" s="143"/>
      <c r="K62" s="129"/>
      <c r="L62" s="249"/>
      <c r="M62" s="249"/>
      <c r="N62" s="249"/>
      <c r="O62" s="249"/>
      <c r="P62" s="142"/>
      <c r="Q62" s="250"/>
      <c r="R62" s="250"/>
    </row>
    <row r="63" spans="2:18" ht="18.75">
      <c r="B63" s="136"/>
      <c r="C63" s="136"/>
      <c r="D63" s="137"/>
      <c r="E63" s="138"/>
      <c r="F63" s="138"/>
      <c r="G63" s="139"/>
      <c r="J63" s="147"/>
      <c r="K63" s="129"/>
      <c r="L63" s="249"/>
      <c r="M63" s="249"/>
      <c r="N63" s="249"/>
      <c r="O63" s="249"/>
      <c r="P63" s="142"/>
      <c r="Q63" s="250"/>
      <c r="R63" s="250"/>
    </row>
    <row r="64" spans="2:18" ht="17.25">
      <c r="B64" s="136"/>
      <c r="C64" s="136"/>
      <c r="D64" s="137"/>
      <c r="E64" s="246" t="s">
        <v>148</v>
      </c>
      <c r="F64" s="246"/>
      <c r="G64" s="248">
        <f>Q64*(1-R64)*(1+P64)</f>
        <v>0</v>
      </c>
      <c r="H64" s="248"/>
      <c r="I64" s="248"/>
      <c r="J64" s="248"/>
      <c r="K64" s="129"/>
      <c r="L64" s="249"/>
      <c r="M64" s="249"/>
      <c r="N64" s="249"/>
      <c r="O64" s="249"/>
      <c r="P64" s="142"/>
      <c r="Q64" s="250"/>
      <c r="R64" s="250"/>
    </row>
    <row r="65" spans="2:18" ht="17.25">
      <c r="B65" s="136"/>
      <c r="C65" s="136"/>
      <c r="D65" s="137"/>
      <c r="E65" s="138"/>
      <c r="F65" s="138"/>
      <c r="G65" s="139"/>
      <c r="H65" s="139"/>
      <c r="I65" s="143"/>
      <c r="J65" s="143"/>
      <c r="K65" s="129"/>
      <c r="L65" s="249"/>
      <c r="M65" s="249"/>
      <c r="N65" s="249"/>
      <c r="O65" s="249"/>
      <c r="P65" s="142"/>
      <c r="Q65" s="250"/>
      <c r="R65" s="250"/>
    </row>
    <row r="66" spans="2:18" ht="17.25">
      <c r="B66" s="136"/>
      <c r="C66" s="136"/>
      <c r="D66" s="137"/>
      <c r="E66" s="138"/>
      <c r="F66" s="138"/>
      <c r="G66" s="139"/>
      <c r="H66" s="139"/>
      <c r="I66" s="143">
        <f t="shared" ref="I66" si="54">Q66*(1-R66)*(1+P66)</f>
        <v>0</v>
      </c>
      <c r="J66" s="143">
        <f t="shared" ref="J66" si="55">E66*I66</f>
        <v>0</v>
      </c>
      <c r="K66" s="129"/>
      <c r="L66" s="249"/>
      <c r="M66" s="249"/>
      <c r="N66" s="249"/>
      <c r="O66" s="249"/>
      <c r="P66" s="142"/>
      <c r="Q66" s="250"/>
      <c r="R66" s="250"/>
    </row>
    <row r="67" spans="2:18" ht="17.25">
      <c r="B67" s="136"/>
      <c r="C67" s="136"/>
      <c r="D67" s="137"/>
      <c r="E67" s="138"/>
      <c r="F67" s="138"/>
      <c r="G67" s="139"/>
      <c r="H67" s="139"/>
      <c r="I67" s="143"/>
      <c r="J67" s="143"/>
      <c r="K67" s="129"/>
      <c r="L67" s="249"/>
      <c r="M67" s="249"/>
      <c r="N67" s="249"/>
      <c r="O67" s="249"/>
      <c r="P67" s="142"/>
      <c r="Q67" s="250"/>
      <c r="R67" s="250"/>
    </row>
    <row r="68" spans="2:18" ht="17.25">
      <c r="B68" s="136"/>
      <c r="C68" s="136"/>
      <c r="D68" s="137"/>
      <c r="E68" s="138"/>
      <c r="F68" s="138"/>
      <c r="G68" s="139"/>
      <c r="H68" s="139"/>
      <c r="I68" s="143">
        <f t="shared" ref="I68" si="56">Q68*(1-R68)*(1+P68)</f>
        <v>0</v>
      </c>
      <c r="J68" s="143">
        <f t="shared" ref="J68" si="57">E68*I68</f>
        <v>0</v>
      </c>
      <c r="K68" s="129"/>
      <c r="L68" s="249"/>
      <c r="M68" s="249"/>
      <c r="N68" s="249"/>
      <c r="O68" s="249"/>
      <c r="P68" s="142"/>
      <c r="Q68" s="250"/>
      <c r="R68" s="250"/>
    </row>
    <row r="69" spans="2:18" ht="17.25">
      <c r="B69" s="136"/>
      <c r="C69" s="136"/>
      <c r="D69" s="137"/>
      <c r="E69" s="138"/>
      <c r="F69" s="138"/>
      <c r="G69" s="139"/>
      <c r="H69" s="139"/>
      <c r="I69" s="143"/>
      <c r="J69" s="143"/>
      <c r="K69" s="129"/>
      <c r="L69" s="249"/>
      <c r="M69" s="249"/>
      <c r="N69" s="249"/>
      <c r="O69" s="249"/>
      <c r="P69" s="142"/>
      <c r="Q69" s="250"/>
      <c r="R69" s="250"/>
    </row>
    <row r="70" spans="2:18" ht="17.25">
      <c r="B70" s="136"/>
      <c r="C70" s="136"/>
      <c r="D70" s="137"/>
      <c r="E70" s="138"/>
      <c r="F70" s="138"/>
      <c r="G70" s="139"/>
      <c r="H70" s="139"/>
      <c r="I70" s="143">
        <f t="shared" ref="I70" si="58">Q70*(1-R70)*(1+P70)</f>
        <v>0</v>
      </c>
      <c r="J70" s="143">
        <f t="shared" ref="J70" si="59">E70*I70</f>
        <v>0</v>
      </c>
      <c r="K70" s="129"/>
      <c r="L70" s="249"/>
      <c r="M70" s="249"/>
      <c r="N70" s="249"/>
      <c r="O70" s="249"/>
      <c r="P70" s="142"/>
      <c r="Q70" s="250"/>
      <c r="R70" s="250"/>
    </row>
    <row r="71" spans="2:18" ht="17.25">
      <c r="B71" s="136"/>
      <c r="C71" s="136"/>
      <c r="D71" s="137"/>
      <c r="E71" s="138"/>
      <c r="F71" s="138"/>
      <c r="G71" s="139"/>
      <c r="H71" s="139"/>
      <c r="I71" s="143"/>
      <c r="J71" s="143"/>
      <c r="K71" s="129"/>
      <c r="L71" s="249"/>
      <c r="M71" s="249"/>
      <c r="N71" s="249"/>
      <c r="O71" s="249"/>
      <c r="P71" s="142"/>
      <c r="Q71" s="250"/>
      <c r="R71" s="250"/>
    </row>
    <row r="72" spans="2:18" ht="17.25">
      <c r="B72" s="136"/>
      <c r="C72" s="136"/>
      <c r="D72" s="137"/>
      <c r="E72" s="138"/>
      <c r="F72" s="138"/>
      <c r="G72" s="139"/>
      <c r="H72" s="139"/>
      <c r="I72" s="143">
        <f t="shared" ref="I72" si="60">Q72*(1-R72)*(1+P72)</f>
        <v>0</v>
      </c>
      <c r="J72" s="143">
        <f t="shared" ref="J72" si="61">E72*I72</f>
        <v>0</v>
      </c>
      <c r="K72" s="129"/>
      <c r="L72" s="249"/>
      <c r="M72" s="249"/>
      <c r="N72" s="249"/>
      <c r="O72" s="249"/>
      <c r="P72" s="142"/>
      <c r="Q72" s="250"/>
      <c r="R72" s="250"/>
    </row>
    <row r="73" spans="2:18" ht="17.25">
      <c r="B73" s="136"/>
      <c r="C73" s="136"/>
      <c r="D73" s="137"/>
      <c r="E73" s="138"/>
      <c r="F73" s="138"/>
      <c r="G73" s="139"/>
      <c r="H73" s="139"/>
      <c r="I73" s="143"/>
      <c r="J73" s="143"/>
      <c r="K73" s="129"/>
      <c r="L73" s="249"/>
      <c r="M73" s="249"/>
      <c r="N73" s="249"/>
      <c r="O73" s="249"/>
      <c r="P73" s="142"/>
      <c r="Q73" s="250"/>
      <c r="R73" s="250"/>
    </row>
    <row r="74" spans="2:18" ht="17.25">
      <c r="B74" s="136"/>
      <c r="C74" s="136"/>
      <c r="D74" s="137"/>
      <c r="E74" s="138"/>
      <c r="F74" s="138"/>
      <c r="G74" s="139"/>
      <c r="H74" s="139"/>
      <c r="I74" s="143"/>
      <c r="J74" s="143"/>
      <c r="K74" s="129"/>
      <c r="L74" s="249"/>
      <c r="M74" s="249"/>
      <c r="N74" s="249"/>
      <c r="O74" s="249"/>
      <c r="P74" s="142"/>
      <c r="Q74" s="250"/>
      <c r="R74" s="250"/>
    </row>
    <row r="75" spans="2:18" ht="17.25">
      <c r="B75" s="136"/>
      <c r="C75" s="136"/>
      <c r="D75" s="137"/>
      <c r="E75" s="138"/>
      <c r="F75" s="138"/>
      <c r="G75" s="139"/>
      <c r="H75" s="139"/>
      <c r="I75" s="143"/>
      <c r="J75" s="143"/>
      <c r="K75" s="129"/>
      <c r="L75" s="249"/>
      <c r="M75" s="249"/>
      <c r="N75" s="249"/>
      <c r="O75" s="249"/>
      <c r="P75" s="142"/>
      <c r="Q75" s="250"/>
      <c r="R75" s="250"/>
    </row>
    <row r="76" spans="2:18" ht="17.25">
      <c r="B76" s="136"/>
      <c r="C76" s="136"/>
      <c r="D76" s="137"/>
      <c r="E76" s="138"/>
      <c r="F76" s="138"/>
      <c r="G76" s="139"/>
      <c r="H76" s="139"/>
      <c r="I76" s="143"/>
      <c r="J76" s="143"/>
      <c r="K76" s="129"/>
      <c r="L76" s="249"/>
      <c r="M76" s="249"/>
      <c r="N76" s="249"/>
      <c r="O76" s="249"/>
      <c r="P76" s="142"/>
      <c r="Q76" s="250"/>
      <c r="R76" s="250"/>
    </row>
    <row r="77" spans="2:18" ht="17.25">
      <c r="B77" s="136"/>
      <c r="C77" s="136"/>
      <c r="D77" s="137"/>
      <c r="E77" s="138"/>
      <c r="F77" s="138"/>
      <c r="G77" s="139"/>
      <c r="H77" s="139"/>
      <c r="I77" s="143"/>
      <c r="J77" s="143"/>
      <c r="K77" s="129"/>
      <c r="L77" s="249"/>
      <c r="M77" s="249"/>
      <c r="N77" s="249"/>
      <c r="O77" s="249"/>
      <c r="P77" s="142"/>
      <c r="Q77" s="250"/>
      <c r="R77" s="250"/>
    </row>
    <row r="78" spans="2:18" ht="17.25">
      <c r="B78" s="136"/>
      <c r="C78" s="136"/>
      <c r="D78" s="137"/>
      <c r="E78" s="138"/>
      <c r="F78" s="138"/>
      <c r="G78" s="139"/>
      <c r="H78" s="139"/>
      <c r="I78" s="143"/>
      <c r="J78" s="143"/>
      <c r="K78" s="129"/>
      <c r="L78" s="249"/>
      <c r="M78" s="249"/>
      <c r="N78" s="249"/>
      <c r="O78" s="249"/>
      <c r="P78" s="142"/>
      <c r="Q78" s="250"/>
      <c r="R78" s="250"/>
    </row>
    <row r="79" spans="2:18" ht="17.25">
      <c r="B79" s="136"/>
      <c r="C79" s="136"/>
      <c r="D79" s="137"/>
      <c r="E79" s="138"/>
      <c r="F79" s="138"/>
      <c r="G79" s="139"/>
      <c r="H79" s="139"/>
      <c r="I79" s="143">
        <f t="shared" ref="I79" si="62">Q79*(1-R79)*(1+P79)</f>
        <v>0</v>
      </c>
      <c r="J79" s="143">
        <f t="shared" ref="J79" si="63">E79*I79</f>
        <v>0</v>
      </c>
      <c r="K79" s="129"/>
      <c r="L79" s="249"/>
      <c r="M79" s="249"/>
      <c r="N79" s="249"/>
      <c r="O79" s="249"/>
      <c r="P79" s="142"/>
      <c r="Q79" s="250"/>
      <c r="R79" s="250"/>
    </row>
    <row r="80" spans="2:18" ht="17.25">
      <c r="B80" s="136"/>
      <c r="C80" s="136"/>
      <c r="D80" s="137"/>
      <c r="E80" s="138"/>
      <c r="F80" s="138"/>
      <c r="G80" s="139"/>
      <c r="H80" s="139"/>
      <c r="I80" s="143"/>
      <c r="J80" s="143"/>
      <c r="K80" s="129"/>
      <c r="L80" s="249"/>
      <c r="M80" s="249"/>
      <c r="N80" s="249"/>
      <c r="O80" s="249"/>
      <c r="P80" s="142"/>
      <c r="Q80" s="250"/>
      <c r="R80" s="250"/>
    </row>
    <row r="81" spans="2:18" ht="17.25">
      <c r="B81" s="136"/>
      <c r="C81" s="136"/>
      <c r="D81" s="137"/>
      <c r="E81" s="138"/>
      <c r="F81" s="138"/>
      <c r="G81" s="139"/>
      <c r="H81" s="139"/>
      <c r="I81" s="143">
        <f t="shared" ref="I81" si="64">Q81*(1-R81)*(1+P81)</f>
        <v>0</v>
      </c>
      <c r="J81" s="143">
        <f t="shared" ref="J81" si="65">E81*I81</f>
        <v>0</v>
      </c>
      <c r="K81" s="129"/>
      <c r="L81" s="249"/>
      <c r="M81" s="249"/>
      <c r="N81" s="249"/>
      <c r="O81" s="249"/>
      <c r="P81" s="142"/>
      <c r="Q81" s="250"/>
      <c r="R81" s="250"/>
    </row>
    <row r="82" spans="2:18" ht="17.25">
      <c r="B82" s="136"/>
      <c r="C82" s="136"/>
      <c r="D82" s="137"/>
      <c r="E82" s="138"/>
      <c r="F82" s="138"/>
      <c r="G82" s="139"/>
      <c r="H82" s="139"/>
      <c r="I82" s="143"/>
      <c r="J82" s="143"/>
      <c r="K82" s="129"/>
      <c r="L82" s="249"/>
      <c r="M82" s="249"/>
      <c r="N82" s="249"/>
      <c r="O82" s="249"/>
      <c r="P82" s="142"/>
      <c r="Q82" s="250"/>
      <c r="R82" s="250"/>
    </row>
    <row r="83" spans="2:18" ht="17.25">
      <c r="B83" s="136"/>
      <c r="C83" s="136"/>
      <c r="D83" s="137"/>
      <c r="E83" s="138"/>
      <c r="F83" s="138"/>
      <c r="G83" s="139"/>
      <c r="H83" s="139"/>
      <c r="I83" s="143">
        <f t="shared" ref="I83" si="66">Q83*(1-R83)*(1+P83)</f>
        <v>0</v>
      </c>
      <c r="J83" s="143">
        <f t="shared" ref="J83" si="67">E83*I83</f>
        <v>0</v>
      </c>
      <c r="K83" s="129"/>
      <c r="L83" s="249"/>
      <c r="M83" s="249"/>
      <c r="N83" s="249"/>
      <c r="O83" s="249"/>
      <c r="P83" s="142"/>
      <c r="Q83" s="250"/>
      <c r="R83" s="250"/>
    </row>
    <row r="84" spans="2:18" ht="17.25">
      <c r="B84" s="136"/>
      <c r="C84" s="136"/>
      <c r="D84" s="137"/>
      <c r="E84" s="138"/>
      <c r="F84" s="138"/>
      <c r="G84" s="139"/>
      <c r="H84" s="139"/>
      <c r="I84" s="143"/>
      <c r="J84" s="143"/>
      <c r="K84" s="129"/>
      <c r="L84" s="249"/>
      <c r="M84" s="249"/>
      <c r="N84" s="249"/>
      <c r="O84" s="249"/>
      <c r="P84" s="142"/>
      <c r="Q84" s="250"/>
      <c r="R84" s="250"/>
    </row>
    <row r="85" spans="2:18" ht="17.25">
      <c r="B85" s="136"/>
      <c r="C85" s="136"/>
      <c r="D85" s="137"/>
      <c r="E85" s="138"/>
      <c r="F85" s="138"/>
      <c r="G85" s="139"/>
      <c r="H85" s="139"/>
      <c r="I85" s="143">
        <f t="shared" ref="I85" si="68">Q85*(1-R85)*(1+P85)</f>
        <v>0</v>
      </c>
      <c r="J85" s="143">
        <f t="shared" ref="J85" si="69">E85*I85</f>
        <v>0</v>
      </c>
      <c r="K85" s="129"/>
      <c r="L85" s="249"/>
      <c r="M85" s="249"/>
      <c r="N85" s="249"/>
      <c r="O85" s="249"/>
      <c r="P85" s="142"/>
      <c r="Q85" s="250"/>
      <c r="R85" s="250"/>
    </row>
    <row r="86" spans="2:18" ht="17.25">
      <c r="B86" s="136"/>
      <c r="C86" s="136"/>
      <c r="D86" s="137"/>
      <c r="E86" s="138"/>
      <c r="F86" s="138"/>
      <c r="G86" s="139"/>
      <c r="H86" s="139"/>
      <c r="I86" s="143"/>
      <c r="J86" s="143"/>
      <c r="K86" s="129"/>
      <c r="L86" s="249"/>
      <c r="M86" s="249"/>
      <c r="N86" s="249"/>
      <c r="O86" s="249"/>
      <c r="P86" s="142"/>
      <c r="Q86" s="250"/>
      <c r="R86" s="250"/>
    </row>
    <row r="87" spans="2:18" ht="17.25">
      <c r="B87" s="136"/>
      <c r="C87" s="136"/>
      <c r="D87" s="137"/>
      <c r="E87" s="138"/>
      <c r="F87" s="138"/>
      <c r="G87" s="139"/>
      <c r="H87" s="139"/>
      <c r="I87" s="143">
        <f t="shared" ref="I87" si="70">Q87*(1-R87)*(1+P87)</f>
        <v>0</v>
      </c>
      <c r="J87" s="143">
        <f t="shared" ref="J87" si="71">E87*I87</f>
        <v>0</v>
      </c>
      <c r="K87" s="129"/>
      <c r="L87" s="249"/>
      <c r="M87" s="249"/>
      <c r="N87" s="249"/>
      <c r="O87" s="249"/>
      <c r="P87" s="142"/>
      <c r="Q87" s="250"/>
      <c r="R87" s="250"/>
    </row>
    <row r="88" spans="2:18" ht="17.25">
      <c r="B88" s="136"/>
      <c r="C88" s="136"/>
      <c r="D88" s="137"/>
      <c r="E88" s="138"/>
      <c r="F88" s="138"/>
      <c r="G88" s="139"/>
      <c r="H88" s="139"/>
      <c r="I88" s="143"/>
      <c r="J88" s="143"/>
      <c r="K88" s="129"/>
      <c r="L88" s="249"/>
      <c r="M88" s="249"/>
      <c r="N88" s="249"/>
      <c r="O88" s="249"/>
      <c r="P88" s="142"/>
      <c r="Q88" s="250"/>
      <c r="R88" s="250"/>
    </row>
    <row r="89" spans="2:18" ht="17.25">
      <c r="B89" s="136"/>
      <c r="C89" s="136"/>
      <c r="D89" s="137"/>
      <c r="E89" s="138"/>
      <c r="F89" s="138"/>
      <c r="G89" s="139"/>
      <c r="H89" s="139"/>
      <c r="I89" s="143">
        <f t="shared" ref="I89" si="72">Q89*(1-R89)*(1+P89)</f>
        <v>0</v>
      </c>
      <c r="J89" s="143">
        <f t="shared" ref="J89" si="73">E89*I89</f>
        <v>0</v>
      </c>
      <c r="K89" s="129"/>
      <c r="L89" s="249"/>
      <c r="M89" s="249"/>
      <c r="N89" s="249"/>
      <c r="O89" s="249"/>
      <c r="P89" s="142"/>
      <c r="Q89" s="250"/>
      <c r="R89" s="250"/>
    </row>
    <row r="90" spans="2:18" ht="17.25">
      <c r="B90" s="136"/>
      <c r="C90" s="136"/>
      <c r="D90" s="137"/>
      <c r="E90" s="138"/>
      <c r="F90" s="138"/>
      <c r="G90" s="139"/>
      <c r="H90" s="139"/>
      <c r="I90" s="143"/>
      <c r="J90" s="143"/>
      <c r="K90" s="129"/>
      <c r="L90" s="249"/>
      <c r="M90" s="249"/>
      <c r="N90" s="249"/>
      <c r="O90" s="249"/>
      <c r="P90" s="142"/>
      <c r="Q90" s="250"/>
      <c r="R90" s="250"/>
    </row>
    <row r="91" spans="2:18" ht="17.25">
      <c r="B91" s="136"/>
      <c r="C91" s="136"/>
      <c r="D91" s="137"/>
      <c r="E91" s="138"/>
      <c r="F91" s="138"/>
      <c r="G91" s="139"/>
      <c r="H91" s="139"/>
      <c r="I91" s="143">
        <f t="shared" ref="I91" si="74">Q91*(1-R91)*(1+P91)</f>
        <v>0</v>
      </c>
      <c r="J91" s="143">
        <f t="shared" ref="J91" si="75">E91*I91</f>
        <v>0</v>
      </c>
      <c r="K91" s="129"/>
      <c r="L91" s="249"/>
      <c r="M91" s="249"/>
      <c r="N91" s="249"/>
      <c r="O91" s="249"/>
      <c r="P91" s="142"/>
      <c r="Q91" s="250"/>
      <c r="R91" s="250"/>
    </row>
    <row r="92" spans="2:18" ht="17.25">
      <c r="B92" s="136"/>
      <c r="C92" s="136"/>
      <c r="D92" s="137"/>
      <c r="E92" s="138"/>
      <c r="F92" s="138"/>
      <c r="G92" s="139"/>
      <c r="H92" s="139"/>
      <c r="I92" s="143"/>
      <c r="J92" s="143"/>
      <c r="K92" s="129"/>
      <c r="L92" s="249"/>
      <c r="M92" s="249"/>
      <c r="N92" s="249"/>
      <c r="O92" s="249"/>
      <c r="P92" s="142"/>
      <c r="Q92" s="250"/>
      <c r="R92" s="250"/>
    </row>
    <row r="93" spans="2:18" ht="17.25">
      <c r="B93" s="136"/>
      <c r="C93" s="136"/>
      <c r="D93" s="137"/>
      <c r="E93" s="138"/>
      <c r="F93" s="138"/>
      <c r="G93" s="139"/>
      <c r="H93" s="139"/>
      <c r="I93" s="143">
        <f t="shared" ref="I93" si="76">Q93*(1-R93)*(1+P93)</f>
        <v>0</v>
      </c>
      <c r="J93" s="143">
        <f t="shared" ref="J93" si="77">E93*I93</f>
        <v>0</v>
      </c>
      <c r="K93" s="129"/>
      <c r="L93" s="249"/>
      <c r="M93" s="249"/>
      <c r="N93" s="249"/>
      <c r="O93" s="249"/>
      <c r="P93" s="142"/>
      <c r="Q93" s="250"/>
      <c r="R93" s="250"/>
    </row>
    <row r="94" spans="2:18" ht="17.25">
      <c r="B94" s="136"/>
      <c r="C94" s="136"/>
      <c r="D94" s="137"/>
      <c r="E94" s="138"/>
      <c r="F94" s="138"/>
      <c r="G94" s="139"/>
      <c r="H94" s="139"/>
      <c r="I94" s="143"/>
      <c r="J94" s="143"/>
      <c r="K94" s="129"/>
      <c r="L94" s="249"/>
      <c r="M94" s="249"/>
      <c r="N94" s="249"/>
      <c r="O94" s="249"/>
      <c r="P94" s="142"/>
      <c r="Q94" s="250"/>
      <c r="R94" s="250"/>
    </row>
    <row r="95" spans="2:18" ht="17.25">
      <c r="B95" s="136"/>
      <c r="C95" s="136"/>
      <c r="D95" s="137"/>
      <c r="E95" s="138"/>
      <c r="F95" s="138"/>
      <c r="G95" s="139"/>
      <c r="H95" s="139"/>
      <c r="I95" s="143">
        <f t="shared" ref="I95" si="78">Q95*(1-R95)*(1+P95)</f>
        <v>0</v>
      </c>
      <c r="J95" s="143">
        <f t="shared" ref="J95" si="79">E95*I95</f>
        <v>0</v>
      </c>
      <c r="K95" s="129"/>
      <c r="L95" s="249"/>
      <c r="M95" s="249"/>
      <c r="N95" s="249"/>
      <c r="O95" s="249"/>
      <c r="P95" s="142"/>
      <c r="Q95" s="250"/>
      <c r="R95" s="250"/>
    </row>
    <row r="96" spans="2:18" ht="17.25">
      <c r="B96" s="136"/>
      <c r="C96" s="136"/>
      <c r="D96" s="137"/>
      <c r="E96" s="138"/>
      <c r="F96" s="138"/>
      <c r="G96" s="139"/>
      <c r="H96" s="139"/>
      <c r="I96" s="143"/>
      <c r="J96" s="143"/>
      <c r="K96" s="129"/>
      <c r="L96" s="249"/>
      <c r="M96" s="249"/>
      <c r="N96" s="249"/>
      <c r="O96" s="249"/>
      <c r="P96" s="142"/>
      <c r="Q96" s="250"/>
      <c r="R96" s="250"/>
    </row>
    <row r="97" spans="2:18" ht="17.25">
      <c r="B97" s="136"/>
      <c r="C97" s="136"/>
      <c r="D97" s="137"/>
      <c r="E97" s="138"/>
      <c r="F97" s="138"/>
      <c r="G97" s="139"/>
      <c r="H97" s="139"/>
      <c r="I97" s="143">
        <f t="shared" ref="I97" si="80">Q97*(1-R97)*(1+P97)</f>
        <v>0</v>
      </c>
      <c r="J97" s="143">
        <f t="shared" ref="J97" si="81">E97*I97</f>
        <v>0</v>
      </c>
      <c r="K97" s="129"/>
      <c r="L97" s="249"/>
      <c r="M97" s="249"/>
      <c r="N97" s="249"/>
      <c r="O97" s="249"/>
      <c r="P97" s="142"/>
      <c r="Q97" s="250"/>
      <c r="R97" s="250"/>
    </row>
    <row r="98" spans="2:18" ht="17.25">
      <c r="B98" s="136"/>
      <c r="C98" s="136"/>
      <c r="D98" s="137"/>
      <c r="E98" s="138"/>
      <c r="F98" s="138"/>
      <c r="G98" s="139"/>
      <c r="H98" s="139"/>
      <c r="I98" s="143"/>
      <c r="J98" s="143"/>
      <c r="K98" s="129"/>
      <c r="L98" s="249"/>
      <c r="M98" s="249"/>
      <c r="N98" s="249"/>
      <c r="O98" s="249"/>
      <c r="P98" s="142"/>
      <c r="Q98" s="250"/>
      <c r="R98" s="250"/>
    </row>
    <row r="99" spans="2:18" ht="17.25">
      <c r="B99" s="136"/>
      <c r="C99" s="136"/>
      <c r="D99" s="137"/>
      <c r="E99" s="138"/>
      <c r="F99" s="138"/>
      <c r="G99" s="139"/>
      <c r="H99" s="139"/>
      <c r="I99" s="143">
        <f t="shared" ref="I99" si="82">Q99*(1-R99)*(1+P99)</f>
        <v>0</v>
      </c>
      <c r="J99" s="143">
        <f t="shared" ref="J99" si="83">E99*I99</f>
        <v>0</v>
      </c>
      <c r="K99" s="129"/>
      <c r="L99" s="249"/>
      <c r="M99" s="249"/>
      <c r="N99" s="249"/>
      <c r="O99" s="249"/>
      <c r="P99" s="142"/>
      <c r="Q99" s="250"/>
      <c r="R99" s="250"/>
    </row>
    <row r="100" spans="2:18" ht="17.25">
      <c r="B100" s="136"/>
      <c r="C100" s="136"/>
      <c r="D100" s="137"/>
      <c r="E100" s="138"/>
      <c r="F100" s="138"/>
      <c r="G100" s="139"/>
      <c r="H100" s="139"/>
      <c r="I100" s="143"/>
      <c r="J100" s="143"/>
      <c r="K100" s="129"/>
      <c r="L100" s="249"/>
      <c r="M100" s="249"/>
      <c r="N100" s="249"/>
      <c r="O100" s="249"/>
      <c r="P100" s="142"/>
      <c r="Q100" s="250"/>
      <c r="R100" s="250"/>
    </row>
    <row r="101" spans="2:18" ht="17.25">
      <c r="B101" s="136"/>
      <c r="C101" s="136"/>
      <c r="D101" s="137"/>
      <c r="E101" s="138"/>
      <c r="F101" s="138"/>
      <c r="G101" s="139"/>
      <c r="H101" s="139"/>
      <c r="I101" s="143">
        <f t="shared" ref="I101" si="84">Q101*(1-R101)*(1+P101)</f>
        <v>0</v>
      </c>
      <c r="J101" s="143">
        <f t="shared" ref="J101" si="85">E101*I101</f>
        <v>0</v>
      </c>
      <c r="K101" s="129"/>
      <c r="L101" s="249"/>
      <c r="M101" s="249"/>
      <c r="N101" s="249"/>
      <c r="O101" s="249"/>
      <c r="P101" s="142"/>
      <c r="Q101" s="250"/>
      <c r="R101" s="250"/>
    </row>
    <row r="102" spans="2:18" ht="17.25">
      <c r="B102" s="136"/>
      <c r="C102" s="136"/>
      <c r="D102" s="137"/>
      <c r="E102" s="138"/>
      <c r="F102" s="138"/>
      <c r="G102" s="139"/>
      <c r="H102" s="139"/>
      <c r="I102" s="143"/>
      <c r="J102" s="143"/>
      <c r="K102" s="129"/>
      <c r="L102" s="249"/>
      <c r="M102" s="249"/>
      <c r="N102" s="249"/>
      <c r="O102" s="249"/>
      <c r="P102" s="142"/>
      <c r="Q102" s="250"/>
      <c r="R102" s="250"/>
    </row>
    <row r="103" spans="2:18" ht="17.25">
      <c r="B103" s="136"/>
      <c r="C103" s="136"/>
      <c r="D103" s="137"/>
      <c r="E103" s="138"/>
      <c r="F103" s="138"/>
      <c r="G103" s="139"/>
      <c r="H103" s="139"/>
      <c r="I103" s="143">
        <f t="shared" ref="I103" si="86">Q103*(1-R103)*(1+P103)</f>
        <v>0</v>
      </c>
      <c r="J103" s="143">
        <f t="shared" ref="J103" si="87">E103*I103</f>
        <v>0</v>
      </c>
      <c r="K103" s="129"/>
      <c r="L103" s="249"/>
      <c r="M103" s="249"/>
      <c r="N103" s="249"/>
      <c r="O103" s="249"/>
      <c r="P103" s="142"/>
      <c r="Q103" s="250"/>
      <c r="R103" s="250"/>
    </row>
    <row r="104" spans="2:18" ht="17.25">
      <c r="B104" s="136"/>
      <c r="C104" s="136"/>
      <c r="D104" s="137"/>
      <c r="E104" s="138"/>
      <c r="F104" s="138"/>
      <c r="G104" s="139"/>
      <c r="H104" s="139"/>
      <c r="I104" s="143"/>
      <c r="J104" s="143"/>
      <c r="K104" s="129"/>
      <c r="L104" s="249"/>
      <c r="M104" s="249"/>
      <c r="N104" s="249"/>
      <c r="O104" s="249"/>
      <c r="P104" s="142"/>
      <c r="Q104" s="250"/>
      <c r="R104" s="250"/>
    </row>
    <row r="105" spans="2:18" ht="17.25">
      <c r="B105" s="136"/>
      <c r="C105" s="136"/>
      <c r="D105" s="137"/>
      <c r="E105" s="138"/>
      <c r="F105" s="138"/>
      <c r="G105" s="139"/>
      <c r="H105" s="139"/>
      <c r="I105" s="143">
        <f t="shared" ref="I105" si="88">Q105*(1-R105)*(1+P105)</f>
        <v>0</v>
      </c>
      <c r="J105" s="143">
        <f t="shared" ref="J105" si="89">E105*I105</f>
        <v>0</v>
      </c>
      <c r="K105" s="129"/>
      <c r="L105" s="249"/>
      <c r="M105" s="249"/>
      <c r="N105" s="249"/>
      <c r="O105" s="249"/>
      <c r="P105" s="142"/>
      <c r="Q105" s="250"/>
      <c r="R105" s="250"/>
    </row>
    <row r="106" spans="2:18" ht="17.25">
      <c r="B106" s="136"/>
      <c r="C106" s="136"/>
      <c r="D106" s="137"/>
      <c r="E106" s="138"/>
      <c r="F106" s="138"/>
      <c r="G106" s="139"/>
      <c r="H106" s="139"/>
      <c r="I106" s="143"/>
      <c r="J106" s="143"/>
      <c r="K106" s="129"/>
      <c r="L106" s="249"/>
      <c r="M106" s="249"/>
      <c r="N106" s="249"/>
      <c r="O106" s="249"/>
      <c r="P106" s="142"/>
      <c r="Q106" s="250"/>
      <c r="R106" s="250"/>
    </row>
    <row r="107" spans="2:18" ht="17.25">
      <c r="B107" s="136"/>
      <c r="C107" s="136"/>
      <c r="D107" s="137"/>
      <c r="E107" s="138"/>
      <c r="F107" s="138"/>
      <c r="G107" s="139"/>
      <c r="H107" s="139"/>
      <c r="I107" s="143">
        <f t="shared" ref="I107" si="90">Q107*(1-R107)*(1+P107)</f>
        <v>0</v>
      </c>
      <c r="J107" s="143">
        <f t="shared" ref="J107" si="91">E107*I107</f>
        <v>0</v>
      </c>
      <c r="K107" s="129"/>
      <c r="L107" s="249"/>
      <c r="M107" s="249"/>
      <c r="N107" s="249"/>
      <c r="O107" s="249"/>
      <c r="P107" s="142"/>
      <c r="Q107" s="250"/>
      <c r="R107" s="250"/>
    </row>
    <row r="108" spans="2:18" ht="17.25">
      <c r="B108" s="136"/>
      <c r="C108" s="136"/>
      <c r="D108" s="137"/>
      <c r="E108" s="138"/>
      <c r="F108" s="138"/>
      <c r="G108" s="139"/>
      <c r="H108" s="139"/>
      <c r="I108" s="143"/>
      <c r="J108" s="143"/>
      <c r="K108" s="129"/>
      <c r="L108" s="249"/>
      <c r="M108" s="249"/>
      <c r="N108" s="249"/>
      <c r="O108" s="249"/>
      <c r="P108" s="142"/>
      <c r="Q108" s="250"/>
      <c r="R108" s="250"/>
    </row>
    <row r="109" spans="2:18" ht="17.25">
      <c r="B109" s="136"/>
      <c r="C109" s="136"/>
      <c r="D109" s="137"/>
      <c r="E109" s="138"/>
      <c r="F109" s="138"/>
      <c r="G109" s="139"/>
      <c r="H109" s="139"/>
      <c r="I109" s="143">
        <f t="shared" ref="I109" si="92">Q109*(1-R109)*(1+P109)</f>
        <v>0</v>
      </c>
      <c r="J109" s="143">
        <f t="shared" ref="J109" si="93">E109*I109</f>
        <v>0</v>
      </c>
      <c r="K109" s="129"/>
      <c r="L109" s="249"/>
      <c r="M109" s="249"/>
      <c r="N109" s="249"/>
      <c r="O109" s="249"/>
      <c r="P109" s="142"/>
      <c r="Q109" s="250"/>
      <c r="R109" s="250"/>
    </row>
    <row r="110" spans="2:18" ht="17.25">
      <c r="B110" s="136"/>
      <c r="C110" s="136"/>
      <c r="D110" s="137"/>
      <c r="E110" s="138"/>
      <c r="F110" s="138"/>
      <c r="G110" s="139"/>
      <c r="H110" s="139"/>
      <c r="I110" s="143"/>
      <c r="J110" s="143"/>
      <c r="K110" s="129"/>
      <c r="L110" s="249"/>
      <c r="M110" s="249"/>
      <c r="N110" s="249"/>
      <c r="O110" s="249"/>
      <c r="P110" s="142"/>
      <c r="Q110" s="250"/>
      <c r="R110" s="250"/>
    </row>
    <row r="111" spans="2:18" ht="17.25">
      <c r="B111" s="136"/>
      <c r="C111" s="136"/>
      <c r="D111" s="137"/>
      <c r="E111" s="138"/>
      <c r="F111" s="138"/>
      <c r="G111" s="139"/>
      <c r="H111" s="139"/>
      <c r="I111" s="143">
        <f t="shared" ref="I111" si="94">Q111*(1-R111)*(1+P111)</f>
        <v>0</v>
      </c>
      <c r="J111" s="143">
        <f t="shared" ref="J111" si="95">E111*I111</f>
        <v>0</v>
      </c>
      <c r="K111" s="129"/>
      <c r="L111" s="249"/>
      <c r="M111" s="249"/>
      <c r="N111" s="249"/>
      <c r="O111" s="249"/>
      <c r="P111" s="142"/>
      <c r="Q111" s="250"/>
      <c r="R111" s="250"/>
    </row>
    <row r="112" spans="2:18" ht="17.25">
      <c r="B112" s="136"/>
      <c r="C112" s="136"/>
      <c r="D112" s="137"/>
      <c r="E112" s="138"/>
      <c r="F112" s="138"/>
      <c r="G112" s="139"/>
      <c r="H112" s="139"/>
      <c r="I112" s="143"/>
      <c r="J112" s="143"/>
      <c r="K112" s="129"/>
      <c r="L112" s="249"/>
      <c r="M112" s="249"/>
      <c r="N112" s="249"/>
      <c r="O112" s="249"/>
      <c r="P112" s="142"/>
      <c r="Q112" s="250"/>
      <c r="R112" s="250"/>
    </row>
    <row r="113" spans="2:18" ht="17.25">
      <c r="B113" s="136"/>
      <c r="C113" s="136"/>
      <c r="D113" s="137"/>
      <c r="E113" s="138"/>
      <c r="F113" s="138"/>
      <c r="G113" s="139"/>
      <c r="H113" s="139"/>
      <c r="I113" s="143">
        <f t="shared" ref="I113" si="96">Q113*(1-R113)*(1+P113)</f>
        <v>0</v>
      </c>
      <c r="J113" s="143">
        <f t="shared" ref="J113" si="97">E113*I113</f>
        <v>0</v>
      </c>
      <c r="K113" s="129"/>
      <c r="L113" s="249"/>
      <c r="M113" s="249"/>
      <c r="N113" s="249"/>
      <c r="O113" s="249"/>
      <c r="P113" s="142"/>
      <c r="Q113" s="250"/>
      <c r="R113" s="250"/>
    </row>
    <row r="114" spans="2:18" ht="17.25">
      <c r="B114" s="136"/>
      <c r="C114" s="136"/>
      <c r="D114" s="137"/>
      <c r="E114" s="138"/>
      <c r="F114" s="138"/>
      <c r="G114" s="139"/>
      <c r="H114" s="139"/>
      <c r="I114" s="143"/>
      <c r="J114" s="143"/>
      <c r="K114" s="129"/>
      <c r="L114" s="249"/>
      <c r="M114" s="249"/>
      <c r="N114" s="249"/>
      <c r="O114" s="249"/>
      <c r="P114" s="142"/>
      <c r="Q114" s="250"/>
      <c r="R114" s="250"/>
    </row>
    <row r="115" spans="2:18" ht="17.25">
      <c r="B115" s="136"/>
      <c r="C115" s="136"/>
      <c r="D115" s="137"/>
      <c r="E115" s="138"/>
      <c r="F115" s="138"/>
      <c r="G115" s="139"/>
      <c r="H115" s="139"/>
      <c r="I115" s="143">
        <f t="shared" ref="I115" si="98">Q115*(1-R115)*(1+P115)</f>
        <v>0</v>
      </c>
      <c r="J115" s="143">
        <f t="shared" ref="J115" si="99">E115*I115</f>
        <v>0</v>
      </c>
      <c r="K115" s="129"/>
      <c r="L115" s="249"/>
      <c r="M115" s="249"/>
      <c r="N115" s="249"/>
      <c r="O115" s="249"/>
      <c r="P115" s="142"/>
      <c r="Q115" s="250"/>
      <c r="R115" s="250"/>
    </row>
    <row r="116" spans="2:18" ht="17.25">
      <c r="B116" s="136"/>
      <c r="C116" s="136"/>
      <c r="D116" s="137"/>
      <c r="E116" s="138"/>
      <c r="F116" s="138"/>
      <c r="G116" s="139"/>
      <c r="H116" s="139"/>
      <c r="I116" s="143"/>
      <c r="J116" s="143"/>
      <c r="K116" s="129"/>
      <c r="L116" s="249"/>
      <c r="M116" s="249"/>
      <c r="N116" s="249"/>
      <c r="O116" s="249"/>
      <c r="P116" s="142"/>
      <c r="Q116" s="250"/>
      <c r="R116" s="250"/>
    </row>
    <row r="117" spans="2:18" ht="17.25">
      <c r="B117" s="136"/>
      <c r="C117" s="136"/>
      <c r="D117" s="137"/>
      <c r="E117" s="138"/>
      <c r="F117" s="138"/>
      <c r="G117" s="139"/>
      <c r="H117" s="139"/>
      <c r="I117" s="143">
        <f t="shared" ref="I117" si="100">Q117*(1-R117)*(1+P117)</f>
        <v>0</v>
      </c>
      <c r="J117" s="143">
        <f t="shared" ref="J117" si="101">E117*I117</f>
        <v>0</v>
      </c>
      <c r="K117" s="129"/>
      <c r="L117" s="249"/>
      <c r="M117" s="249"/>
      <c r="N117" s="249"/>
      <c r="O117" s="249"/>
      <c r="P117" s="142"/>
      <c r="Q117" s="250"/>
      <c r="R117" s="250"/>
    </row>
    <row r="118" spans="2:18" ht="17.25">
      <c r="B118" s="136"/>
      <c r="C118" s="136"/>
      <c r="D118" s="137"/>
      <c r="E118" s="138"/>
      <c r="F118" s="138"/>
      <c r="G118" s="139"/>
      <c r="H118" s="139"/>
      <c r="I118" s="143"/>
      <c r="J118" s="143"/>
      <c r="K118" s="129"/>
      <c r="L118" s="249"/>
      <c r="M118" s="249"/>
      <c r="N118" s="249"/>
      <c r="O118" s="249"/>
      <c r="P118" s="142"/>
      <c r="Q118" s="250"/>
      <c r="R118" s="250"/>
    </row>
    <row r="119" spans="2:18" ht="17.25">
      <c r="B119" s="136"/>
      <c r="C119" s="136"/>
      <c r="D119" s="137"/>
      <c r="E119" s="138"/>
      <c r="F119" s="138"/>
      <c r="G119" s="139"/>
      <c r="H119" s="139"/>
      <c r="I119" s="143">
        <f t="shared" ref="I119" si="102">Q119*(1-R119)*(1+P119)</f>
        <v>0</v>
      </c>
      <c r="J119" s="143">
        <f t="shared" ref="J119" si="103">E119*I119</f>
        <v>0</v>
      </c>
      <c r="K119" s="129"/>
      <c r="L119" s="249"/>
      <c r="M119" s="249"/>
      <c r="N119" s="249"/>
      <c r="O119" s="249"/>
      <c r="P119" s="142"/>
      <c r="Q119" s="250"/>
      <c r="R119" s="250"/>
    </row>
    <row r="120" spans="2:18" ht="17.25">
      <c r="B120" s="136"/>
      <c r="C120" s="136"/>
      <c r="D120" s="137"/>
      <c r="E120" s="138"/>
      <c r="F120" s="138"/>
      <c r="G120" s="139"/>
      <c r="H120" s="139"/>
      <c r="I120" s="143"/>
      <c r="J120" s="143"/>
      <c r="K120" s="129"/>
      <c r="L120" s="249"/>
      <c r="M120" s="249"/>
      <c r="N120" s="249"/>
      <c r="O120" s="249"/>
      <c r="P120" s="142"/>
      <c r="Q120" s="250"/>
      <c r="R120" s="250"/>
    </row>
    <row r="121" spans="2:18" ht="17.25">
      <c r="B121" s="136"/>
      <c r="C121" s="136"/>
      <c r="D121" s="137"/>
      <c r="E121" s="138"/>
      <c r="F121" s="138"/>
      <c r="G121" s="139"/>
      <c r="H121" s="139"/>
      <c r="I121" s="143">
        <f t="shared" ref="I121" si="104">Q121*(1-R121)*(1+P121)</f>
        <v>0</v>
      </c>
      <c r="J121" s="143">
        <f t="shared" ref="J121" si="105">E121*I121</f>
        <v>0</v>
      </c>
      <c r="K121" s="129"/>
      <c r="L121" s="249"/>
      <c r="M121" s="249"/>
      <c r="N121" s="249"/>
      <c r="O121" s="249"/>
      <c r="P121" s="142"/>
      <c r="Q121" s="250"/>
      <c r="R121" s="250"/>
    </row>
    <row r="122" spans="2:18" ht="17.25">
      <c r="B122" s="136"/>
      <c r="C122" s="136"/>
      <c r="D122" s="137"/>
      <c r="E122" s="138"/>
      <c r="F122" s="138"/>
      <c r="G122" s="139"/>
      <c r="H122" s="139"/>
      <c r="I122" s="143"/>
      <c r="J122" s="143"/>
      <c r="K122" s="129"/>
      <c r="L122" s="249"/>
      <c r="M122" s="249"/>
      <c r="N122" s="249"/>
      <c r="O122" s="249"/>
      <c r="P122" s="142"/>
      <c r="Q122" s="250"/>
      <c r="R122" s="250"/>
    </row>
    <row r="123" spans="2:18" ht="17.25">
      <c r="B123" s="136"/>
      <c r="C123" s="136"/>
      <c r="D123" s="137"/>
      <c r="E123" s="138"/>
      <c r="F123" s="138"/>
      <c r="G123" s="139"/>
      <c r="H123" s="139"/>
      <c r="I123" s="143"/>
      <c r="J123" s="143"/>
      <c r="K123" s="129"/>
      <c r="L123" s="249"/>
      <c r="M123" s="249"/>
      <c r="N123" s="249"/>
      <c r="O123" s="249"/>
      <c r="P123" s="142"/>
      <c r="Q123" s="250"/>
      <c r="R123" s="250"/>
    </row>
    <row r="124" spans="2:18" ht="17.25">
      <c r="B124" s="136"/>
      <c r="C124" s="136"/>
      <c r="D124" s="137"/>
      <c r="E124" s="138"/>
      <c r="F124" s="138"/>
      <c r="G124" s="139"/>
      <c r="H124" s="139"/>
      <c r="I124" s="143">
        <f t="shared" ref="I124" si="106">Q124*(1-R124)*(1+P124)</f>
        <v>0</v>
      </c>
      <c r="J124" s="143">
        <f t="shared" ref="J124" si="107">E124*I124</f>
        <v>0</v>
      </c>
      <c r="K124" s="129"/>
      <c r="L124" s="249"/>
      <c r="M124" s="249"/>
      <c r="N124" s="249"/>
      <c r="O124" s="249"/>
      <c r="P124" s="142"/>
      <c r="Q124" s="250"/>
      <c r="R124" s="250"/>
    </row>
    <row r="125" spans="2:18" ht="17.25">
      <c r="B125" s="136"/>
      <c r="C125" s="136"/>
      <c r="D125" s="137"/>
      <c r="E125" s="138"/>
      <c r="F125" s="138"/>
      <c r="G125" s="139"/>
      <c r="H125" s="139"/>
      <c r="I125" s="143"/>
      <c r="J125" s="143"/>
      <c r="K125" s="129"/>
      <c r="L125" s="249"/>
      <c r="M125" s="249"/>
      <c r="N125" s="249"/>
      <c r="O125" s="249"/>
      <c r="P125" s="142"/>
      <c r="Q125" s="250"/>
      <c r="R125" s="250"/>
    </row>
    <row r="126" spans="2:18" ht="17.25">
      <c r="B126" s="136"/>
      <c r="C126" s="136"/>
      <c r="D126" s="137"/>
      <c r="E126" s="138"/>
      <c r="F126" s="138"/>
      <c r="G126" s="139"/>
      <c r="H126" s="139"/>
      <c r="I126" s="143">
        <f t="shared" ref="I126" si="108">Q126*(1-R126)*(1+P126)</f>
        <v>0</v>
      </c>
      <c r="J126" s="143">
        <f t="shared" ref="J126" si="109">E126*I126</f>
        <v>0</v>
      </c>
      <c r="K126" s="129"/>
      <c r="L126" s="249"/>
      <c r="M126" s="249"/>
      <c r="N126" s="249"/>
      <c r="O126" s="249"/>
      <c r="P126" s="142"/>
      <c r="Q126" s="250"/>
      <c r="R126" s="250"/>
    </row>
    <row r="127" spans="2:18" ht="17.25">
      <c r="B127" s="136"/>
      <c r="C127" s="136"/>
      <c r="D127" s="137"/>
      <c r="E127" s="138"/>
      <c r="F127" s="138"/>
      <c r="G127" s="139"/>
      <c r="H127" s="139"/>
      <c r="I127" s="143"/>
      <c r="J127" s="143"/>
      <c r="K127" s="129"/>
      <c r="L127" s="249"/>
      <c r="M127" s="249"/>
      <c r="N127" s="249"/>
      <c r="O127" s="249"/>
      <c r="P127" s="142"/>
      <c r="Q127" s="250"/>
      <c r="R127" s="250"/>
    </row>
    <row r="128" spans="2:18" ht="17.25">
      <c r="B128" s="136"/>
      <c r="C128" s="136"/>
      <c r="D128" s="137"/>
      <c r="E128" s="138"/>
      <c r="F128" s="138"/>
      <c r="G128" s="139"/>
      <c r="H128" s="139"/>
      <c r="I128" s="143">
        <f t="shared" ref="I128" si="110">Q128*(1-R128)*(1+P128)</f>
        <v>0</v>
      </c>
      <c r="J128" s="143">
        <f t="shared" ref="J128" si="111">E128*I128</f>
        <v>0</v>
      </c>
      <c r="K128" s="129"/>
      <c r="L128" s="249"/>
      <c r="M128" s="249"/>
      <c r="N128" s="249"/>
      <c r="O128" s="249"/>
      <c r="P128" s="142"/>
      <c r="Q128" s="250"/>
      <c r="R128" s="250"/>
    </row>
    <row r="129" spans="2:18" ht="17.25">
      <c r="B129" s="136"/>
      <c r="C129" s="136"/>
      <c r="D129" s="137"/>
      <c r="E129" s="138"/>
      <c r="F129" s="138"/>
      <c r="G129" s="139"/>
      <c r="H129" s="139"/>
      <c r="I129" s="143"/>
      <c r="J129" s="143"/>
      <c r="K129" s="129"/>
      <c r="L129" s="249"/>
      <c r="M129" s="249"/>
      <c r="N129" s="249"/>
      <c r="O129" s="249"/>
      <c r="P129" s="142"/>
      <c r="Q129" s="250"/>
      <c r="R129" s="250"/>
    </row>
    <row r="130" spans="2:18" ht="17.25">
      <c r="B130" s="136"/>
      <c r="C130" s="136"/>
      <c r="D130" s="137"/>
      <c r="E130" s="138"/>
      <c r="F130" s="138"/>
      <c r="G130" s="139"/>
      <c r="H130" s="139"/>
      <c r="I130" s="143">
        <f t="shared" ref="I130" si="112">Q130*(1-R130)*(1+P130)</f>
        <v>0</v>
      </c>
      <c r="J130" s="143">
        <f t="shared" ref="J130" si="113">E130*I130</f>
        <v>0</v>
      </c>
      <c r="K130" s="129"/>
      <c r="L130" s="249"/>
      <c r="M130" s="249"/>
      <c r="N130" s="249"/>
      <c r="O130" s="249"/>
      <c r="P130" s="142"/>
      <c r="Q130" s="250"/>
      <c r="R130" s="250"/>
    </row>
    <row r="131" spans="2:18" ht="17.25">
      <c r="B131" s="136"/>
      <c r="C131" s="136"/>
      <c r="D131" s="137"/>
      <c r="E131" s="138"/>
      <c r="F131" s="138"/>
      <c r="G131" s="139"/>
      <c r="H131" s="139"/>
      <c r="I131" s="143"/>
      <c r="J131" s="143"/>
      <c r="K131" s="129"/>
      <c r="L131" s="249"/>
      <c r="M131" s="249"/>
      <c r="N131" s="249"/>
      <c r="O131" s="249"/>
      <c r="P131" s="142"/>
      <c r="Q131" s="250"/>
      <c r="R131" s="250"/>
    </row>
    <row r="132" spans="2:18" ht="17.25">
      <c r="B132" s="136"/>
      <c r="C132" s="136"/>
      <c r="D132" s="137"/>
      <c r="E132" s="138"/>
      <c r="F132" s="138"/>
      <c r="G132" s="139"/>
      <c r="H132" s="139"/>
      <c r="I132" s="143">
        <f t="shared" ref="I132" si="114">Q132*(1-R132)*(1+P132)</f>
        <v>0</v>
      </c>
      <c r="J132" s="143">
        <f t="shared" ref="J132" si="115">E132*I132</f>
        <v>0</v>
      </c>
      <c r="K132" s="129"/>
      <c r="L132" s="249"/>
      <c r="M132" s="249"/>
      <c r="N132" s="249"/>
      <c r="O132" s="249"/>
      <c r="P132" s="142"/>
      <c r="Q132" s="250"/>
      <c r="R132" s="250"/>
    </row>
    <row r="133" spans="2:18" ht="17.25">
      <c r="B133" s="136"/>
      <c r="C133" s="136"/>
      <c r="D133" s="137"/>
      <c r="E133" s="138"/>
      <c r="F133" s="138"/>
      <c r="G133" s="139"/>
      <c r="H133" s="139"/>
      <c r="I133" s="143"/>
      <c r="J133" s="143"/>
      <c r="K133" s="129"/>
      <c r="L133" s="249"/>
      <c r="M133" s="249"/>
      <c r="N133" s="249"/>
      <c r="O133" s="249"/>
      <c r="P133" s="142"/>
      <c r="Q133" s="250"/>
      <c r="R133" s="250"/>
    </row>
    <row r="134" spans="2:18" ht="17.25">
      <c r="B134" s="136"/>
      <c r="C134" s="136"/>
      <c r="D134" s="137"/>
      <c r="E134" s="138"/>
      <c r="F134" s="138"/>
      <c r="G134" s="139"/>
      <c r="H134" s="139"/>
      <c r="I134" s="143">
        <f t="shared" ref="I134" si="116">Q134*(1-R134)*(1+P134)</f>
        <v>0</v>
      </c>
      <c r="J134" s="143">
        <f t="shared" ref="J134" si="117">E134*I134</f>
        <v>0</v>
      </c>
      <c r="K134" s="129"/>
      <c r="L134" s="249"/>
      <c r="M134" s="249"/>
      <c r="N134" s="249"/>
      <c r="O134" s="249"/>
      <c r="P134" s="142"/>
      <c r="Q134" s="250"/>
      <c r="R134" s="250"/>
    </row>
    <row r="135" spans="2:18" ht="17.25">
      <c r="B135" s="136"/>
      <c r="C135" s="136"/>
      <c r="D135" s="137"/>
      <c r="E135" s="138"/>
      <c r="F135" s="138"/>
      <c r="G135" s="139"/>
      <c r="H135" s="139"/>
      <c r="I135" s="143"/>
      <c r="J135" s="143"/>
      <c r="K135" s="129"/>
      <c r="L135" s="249"/>
      <c r="M135" s="249"/>
      <c r="N135" s="249"/>
      <c r="O135" s="249"/>
      <c r="P135" s="142"/>
      <c r="Q135" s="250"/>
      <c r="R135" s="250"/>
    </row>
    <row r="136" spans="2:18" ht="17.25">
      <c r="B136" s="136"/>
      <c r="C136" s="136"/>
      <c r="D136" s="137"/>
      <c r="E136" s="138"/>
      <c r="F136" s="138"/>
      <c r="G136" s="139"/>
      <c r="H136" s="139"/>
      <c r="I136" s="143">
        <f t="shared" ref="I136" si="118">Q136*(1-R136)*(1+P136)</f>
        <v>0</v>
      </c>
      <c r="J136" s="143">
        <f t="shared" ref="J136" si="119">E136*I136</f>
        <v>0</v>
      </c>
      <c r="K136" s="129"/>
      <c r="L136" s="249"/>
      <c r="M136" s="249"/>
      <c r="N136" s="249"/>
      <c r="O136" s="249"/>
      <c r="P136" s="142"/>
      <c r="Q136" s="250"/>
      <c r="R136" s="250"/>
    </row>
    <row r="137" spans="2:18" ht="17.25">
      <c r="B137" s="136"/>
      <c r="C137" s="136"/>
      <c r="D137" s="137"/>
      <c r="E137" s="138"/>
      <c r="F137" s="138"/>
      <c r="G137" s="139"/>
      <c r="H137" s="139"/>
      <c r="I137" s="143"/>
      <c r="J137" s="143"/>
      <c r="K137" s="129"/>
      <c r="L137" s="249"/>
      <c r="M137" s="249"/>
      <c r="N137" s="249"/>
      <c r="O137" s="249"/>
      <c r="P137" s="142"/>
      <c r="Q137" s="250"/>
      <c r="R137" s="250"/>
    </row>
    <row r="138" spans="2:18" ht="17.25">
      <c r="B138" s="136"/>
      <c r="C138" s="136"/>
      <c r="D138" s="137"/>
      <c r="E138" s="138"/>
      <c r="F138" s="138"/>
      <c r="G138" s="139"/>
      <c r="H138" s="139"/>
      <c r="I138" s="143">
        <f t="shared" ref="I138" si="120">Q138*(1-R138)*(1+P138)</f>
        <v>0</v>
      </c>
      <c r="J138" s="143">
        <f t="shared" ref="J138" si="121">E138*I138</f>
        <v>0</v>
      </c>
      <c r="K138" s="129"/>
      <c r="L138" s="249"/>
      <c r="M138" s="249"/>
      <c r="N138" s="249"/>
      <c r="O138" s="249"/>
      <c r="P138" s="142"/>
      <c r="Q138" s="250"/>
      <c r="R138" s="250"/>
    </row>
    <row r="139" spans="2:18" ht="17.25">
      <c r="B139" s="136"/>
      <c r="C139" s="136"/>
      <c r="D139" s="137"/>
      <c r="E139" s="138"/>
      <c r="F139" s="138"/>
      <c r="G139" s="139"/>
      <c r="H139" s="139"/>
      <c r="I139" s="143"/>
      <c r="J139" s="143"/>
      <c r="K139" s="129"/>
      <c r="L139" s="249"/>
      <c r="M139" s="249"/>
      <c r="N139" s="249"/>
      <c r="O139" s="249"/>
      <c r="P139" s="142"/>
      <c r="Q139" s="250"/>
      <c r="R139" s="250"/>
    </row>
    <row r="140" spans="2:18" ht="17.25">
      <c r="B140" s="136"/>
      <c r="C140" s="136"/>
      <c r="D140" s="137"/>
      <c r="E140" s="138"/>
      <c r="F140" s="138"/>
      <c r="G140" s="139"/>
      <c r="H140" s="139"/>
      <c r="I140" s="143"/>
      <c r="J140" s="143"/>
      <c r="K140" s="129"/>
      <c r="L140" s="249"/>
      <c r="M140" s="249"/>
      <c r="N140" s="249"/>
      <c r="O140" s="249"/>
      <c r="P140" s="142"/>
      <c r="Q140" s="250"/>
      <c r="R140" s="250"/>
    </row>
    <row r="141" spans="2:18" ht="17.25">
      <c r="B141" s="136"/>
      <c r="C141" s="136"/>
      <c r="D141" s="137"/>
      <c r="E141" s="138"/>
      <c r="F141" s="138"/>
      <c r="G141" s="139"/>
      <c r="H141" s="139"/>
      <c r="I141" s="143"/>
      <c r="J141" s="143"/>
      <c r="K141" s="129"/>
      <c r="L141" s="249"/>
      <c r="M141" s="249"/>
      <c r="N141" s="249"/>
      <c r="O141" s="249"/>
      <c r="P141" s="142"/>
      <c r="Q141" s="250"/>
      <c r="R141" s="250"/>
    </row>
    <row r="142" spans="2:18" ht="17.25">
      <c r="B142" s="136"/>
      <c r="C142" s="136"/>
      <c r="D142" s="137"/>
      <c r="E142" s="138"/>
      <c r="F142" s="138"/>
      <c r="G142" s="139"/>
      <c r="H142" s="139"/>
      <c r="I142" s="143"/>
      <c r="J142" s="143"/>
      <c r="K142" s="129"/>
      <c r="L142" s="249"/>
      <c r="M142" s="249"/>
      <c r="N142" s="249"/>
      <c r="O142" s="249"/>
      <c r="P142" s="142"/>
      <c r="Q142" s="250"/>
      <c r="R142" s="250"/>
    </row>
    <row r="143" spans="2:18" ht="17.25">
      <c r="C143" s="63"/>
      <c r="D143" s="64"/>
      <c r="E143" s="145"/>
      <c r="F143" s="145"/>
      <c r="G143" s="146"/>
      <c r="H143" s="146"/>
      <c r="I143" s="144"/>
      <c r="J143" s="144"/>
      <c r="K143" s="132"/>
      <c r="L143" s="5"/>
      <c r="M143" s="80"/>
      <c r="N143" s="5"/>
      <c r="O143" s="77"/>
      <c r="P143" s="5"/>
      <c r="Q143" s="251"/>
      <c r="R143" s="251"/>
    </row>
    <row r="144" spans="2:18">
      <c r="C144" s="63"/>
      <c r="D144" s="64"/>
      <c r="E144" s="4"/>
      <c r="F144" s="4"/>
      <c r="G144" s="131"/>
      <c r="H144" s="131"/>
      <c r="I144" s="132"/>
      <c r="J144" s="132"/>
      <c r="K144" s="132"/>
      <c r="L144" s="5"/>
      <c r="M144" s="80"/>
      <c r="N144" s="5"/>
      <c r="O144" s="77"/>
      <c r="P144" s="5"/>
      <c r="Q144" s="251"/>
      <c r="R144" s="251"/>
    </row>
    <row r="145" spans="3:18" ht="15" customHeight="1">
      <c r="C145" s="55"/>
      <c r="D145" s="62"/>
      <c r="E145" s="49"/>
      <c r="F145" s="49"/>
      <c r="J145" s="130"/>
      <c r="K145" s="130"/>
      <c r="O145" s="76"/>
      <c r="Q145" s="82"/>
    </row>
    <row r="146" spans="3:18">
      <c r="C146" s="63"/>
      <c r="D146" s="64"/>
      <c r="E146" s="4"/>
      <c r="F146" s="4"/>
      <c r="G146" s="254"/>
      <c r="H146" s="254"/>
      <c r="I146" s="133"/>
      <c r="J146" s="132"/>
      <c r="K146" s="132"/>
      <c r="L146" s="5"/>
      <c r="M146" s="80"/>
      <c r="N146" s="5"/>
      <c r="O146" s="77"/>
      <c r="P146" s="5"/>
      <c r="Q146" s="81"/>
      <c r="R146" s="5"/>
    </row>
  </sheetData>
  <mergeCells count="387">
    <mergeCell ref="Q12:R12"/>
    <mergeCell ref="Q17:R17"/>
    <mergeCell ref="G146:H146"/>
    <mergeCell ref="M10:N10"/>
    <mergeCell ref="A10:C10"/>
    <mergeCell ref="F61:G61"/>
    <mergeCell ref="N12:O12"/>
    <mergeCell ref="L12:M12"/>
    <mergeCell ref="L26:M26"/>
    <mergeCell ref="N26:O26"/>
    <mergeCell ref="L27:M27"/>
    <mergeCell ref="N27:O27"/>
    <mergeCell ref="L28:M28"/>
    <mergeCell ref="N28:O28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44:R44"/>
    <mergeCell ref="Q45:R45"/>
    <mergeCell ref="Q46:R46"/>
    <mergeCell ref="Q18:R18"/>
    <mergeCell ref="Q19:R19"/>
    <mergeCell ref="Q20:R20"/>
    <mergeCell ref="Q21:R21"/>
    <mergeCell ref="Q22:R22"/>
    <mergeCell ref="Q35:R35"/>
    <mergeCell ref="Q36:R36"/>
    <mergeCell ref="Q37:R37"/>
    <mergeCell ref="Q38:R38"/>
    <mergeCell ref="Q47:R47"/>
    <mergeCell ref="Q48:R48"/>
    <mergeCell ref="Q40:R40"/>
    <mergeCell ref="Q41:R41"/>
    <mergeCell ref="Q42:R42"/>
    <mergeCell ref="Q43:R43"/>
    <mergeCell ref="Q56:R56"/>
    <mergeCell ref="Q57:R57"/>
    <mergeCell ref="Q39:R39"/>
    <mergeCell ref="Q58:R58"/>
    <mergeCell ref="Q59:R59"/>
    <mergeCell ref="Q60:R60"/>
    <mergeCell ref="Q49:R49"/>
    <mergeCell ref="Q52:R52"/>
    <mergeCell ref="Q53:R53"/>
    <mergeCell ref="Q54:R54"/>
    <mergeCell ref="Q55:R55"/>
    <mergeCell ref="Q66:R66"/>
    <mergeCell ref="Q51:R51"/>
    <mergeCell ref="Q67:R67"/>
    <mergeCell ref="Q68:R68"/>
    <mergeCell ref="Q69:R69"/>
    <mergeCell ref="Q70:R70"/>
    <mergeCell ref="Q61:R61"/>
    <mergeCell ref="Q62:R62"/>
    <mergeCell ref="Q63:R63"/>
    <mergeCell ref="Q64:R64"/>
    <mergeCell ref="Q65:R65"/>
    <mergeCell ref="Q76:R76"/>
    <mergeCell ref="Q77:R77"/>
    <mergeCell ref="Q78:R78"/>
    <mergeCell ref="Q79:R79"/>
    <mergeCell ref="Q80:R80"/>
    <mergeCell ref="Q71:R71"/>
    <mergeCell ref="Q72:R72"/>
    <mergeCell ref="Q73:R73"/>
    <mergeCell ref="Q74:R74"/>
    <mergeCell ref="Q75:R75"/>
    <mergeCell ref="Q86:R86"/>
    <mergeCell ref="Q87:R87"/>
    <mergeCell ref="Q88:R88"/>
    <mergeCell ref="Q89:R89"/>
    <mergeCell ref="Q90:R90"/>
    <mergeCell ref="Q81:R81"/>
    <mergeCell ref="Q82:R82"/>
    <mergeCell ref="Q83:R83"/>
    <mergeCell ref="Q84:R84"/>
    <mergeCell ref="Q85:R85"/>
    <mergeCell ref="Q96:R96"/>
    <mergeCell ref="Q97:R97"/>
    <mergeCell ref="Q98:R98"/>
    <mergeCell ref="Q99:R99"/>
    <mergeCell ref="Q100:R100"/>
    <mergeCell ref="Q91:R91"/>
    <mergeCell ref="Q92:R92"/>
    <mergeCell ref="Q93:R93"/>
    <mergeCell ref="Q94:R94"/>
    <mergeCell ref="Q95:R95"/>
    <mergeCell ref="Q106:R106"/>
    <mergeCell ref="Q107:R107"/>
    <mergeCell ref="Q108:R108"/>
    <mergeCell ref="Q109:R109"/>
    <mergeCell ref="Q110:R110"/>
    <mergeCell ref="Q101:R101"/>
    <mergeCell ref="Q102:R102"/>
    <mergeCell ref="Q103:R103"/>
    <mergeCell ref="Q104:R104"/>
    <mergeCell ref="Q105:R105"/>
    <mergeCell ref="Q116:R116"/>
    <mergeCell ref="Q117:R117"/>
    <mergeCell ref="Q118:R118"/>
    <mergeCell ref="Q119:R119"/>
    <mergeCell ref="Q120:R120"/>
    <mergeCell ref="Q111:R111"/>
    <mergeCell ref="Q112:R112"/>
    <mergeCell ref="Q113:R113"/>
    <mergeCell ref="Q114:R114"/>
    <mergeCell ref="Q115:R115"/>
    <mergeCell ref="Q134:R134"/>
    <mergeCell ref="Q135:R135"/>
    <mergeCell ref="Q126:R126"/>
    <mergeCell ref="Q127:R127"/>
    <mergeCell ref="Q128:R128"/>
    <mergeCell ref="Q129:R129"/>
    <mergeCell ref="Q130:R130"/>
    <mergeCell ref="Q121:R121"/>
    <mergeCell ref="Q122:R122"/>
    <mergeCell ref="Q123:R123"/>
    <mergeCell ref="Q124:R124"/>
    <mergeCell ref="Q125:R125"/>
    <mergeCell ref="Q141:R141"/>
    <mergeCell ref="Q142:R142"/>
    <mergeCell ref="Q143:R143"/>
    <mergeCell ref="Q144:R144"/>
    <mergeCell ref="L17:M17"/>
    <mergeCell ref="N17:O17"/>
    <mergeCell ref="L18:M18"/>
    <mergeCell ref="N18:O18"/>
    <mergeCell ref="L19:M19"/>
    <mergeCell ref="N19:O19"/>
    <mergeCell ref="L20:M20"/>
    <mergeCell ref="N20:O20"/>
    <mergeCell ref="L21:M21"/>
    <mergeCell ref="N21:O21"/>
    <mergeCell ref="L22:M22"/>
    <mergeCell ref="N22:O22"/>
    <mergeCell ref="Q136:R136"/>
    <mergeCell ref="Q137:R137"/>
    <mergeCell ref="Q138:R138"/>
    <mergeCell ref="Q139:R139"/>
    <mergeCell ref="Q140:R140"/>
    <mergeCell ref="Q131:R131"/>
    <mergeCell ref="Q132:R132"/>
    <mergeCell ref="Q133:R133"/>
    <mergeCell ref="L32:M32"/>
    <mergeCell ref="N32:O32"/>
    <mergeCell ref="L33:M33"/>
    <mergeCell ref="N33:O33"/>
    <mergeCell ref="L34:M34"/>
    <mergeCell ref="N34:O34"/>
    <mergeCell ref="L29:M29"/>
    <mergeCell ref="L30:M30"/>
    <mergeCell ref="N30:O30"/>
    <mergeCell ref="L31:M31"/>
    <mergeCell ref="N31:O31"/>
    <mergeCell ref="N29:O29"/>
    <mergeCell ref="L38:M38"/>
    <mergeCell ref="N38:O38"/>
    <mergeCell ref="L39:M39"/>
    <mergeCell ref="N39:O39"/>
    <mergeCell ref="L40:M40"/>
    <mergeCell ref="N40:O40"/>
    <mergeCell ref="L35:M35"/>
    <mergeCell ref="N35:O35"/>
    <mergeCell ref="L36:M36"/>
    <mergeCell ref="N36:O36"/>
    <mergeCell ref="L37:M37"/>
    <mergeCell ref="N37:O37"/>
    <mergeCell ref="L44:M44"/>
    <mergeCell ref="N44:O44"/>
    <mergeCell ref="L45:M45"/>
    <mergeCell ref="N45:O45"/>
    <mergeCell ref="L41:M41"/>
    <mergeCell ref="N41:O41"/>
    <mergeCell ref="L42:M42"/>
    <mergeCell ref="N42:O42"/>
    <mergeCell ref="L43:M43"/>
    <mergeCell ref="N43:O43"/>
    <mergeCell ref="L52:M52"/>
    <mergeCell ref="N52:O52"/>
    <mergeCell ref="L53:M53"/>
    <mergeCell ref="N53:O53"/>
    <mergeCell ref="L46:M46"/>
    <mergeCell ref="N46:O46"/>
    <mergeCell ref="L47:M47"/>
    <mergeCell ref="N47:O47"/>
    <mergeCell ref="L48:M48"/>
    <mergeCell ref="N48:O48"/>
    <mergeCell ref="L51:M51"/>
    <mergeCell ref="N51:O51"/>
    <mergeCell ref="L65:M65"/>
    <mergeCell ref="N65:O65"/>
    <mergeCell ref="L60:M60"/>
    <mergeCell ref="N60:O60"/>
    <mergeCell ref="L61:M61"/>
    <mergeCell ref="N61:O61"/>
    <mergeCell ref="L62:M62"/>
    <mergeCell ref="N62:O62"/>
    <mergeCell ref="L57:M57"/>
    <mergeCell ref="N57:O57"/>
    <mergeCell ref="L58:M58"/>
    <mergeCell ref="N58:O58"/>
    <mergeCell ref="L59:M59"/>
    <mergeCell ref="N59:O59"/>
    <mergeCell ref="L69:M69"/>
    <mergeCell ref="N69:O69"/>
    <mergeCell ref="L70:M70"/>
    <mergeCell ref="N70:O70"/>
    <mergeCell ref="L71:M71"/>
    <mergeCell ref="N71:O71"/>
    <mergeCell ref="L66:M66"/>
    <mergeCell ref="N66:O66"/>
    <mergeCell ref="L67:M67"/>
    <mergeCell ref="N67:O67"/>
    <mergeCell ref="L68:M68"/>
    <mergeCell ref="N68:O68"/>
    <mergeCell ref="L75:M75"/>
    <mergeCell ref="N75:O75"/>
    <mergeCell ref="L76:M76"/>
    <mergeCell ref="N76:O76"/>
    <mergeCell ref="L77:M77"/>
    <mergeCell ref="N77:O77"/>
    <mergeCell ref="L72:M72"/>
    <mergeCell ref="N72:O72"/>
    <mergeCell ref="L73:M73"/>
    <mergeCell ref="N73:O73"/>
    <mergeCell ref="L74:M74"/>
    <mergeCell ref="N74:O74"/>
    <mergeCell ref="L81:M81"/>
    <mergeCell ref="N81:O81"/>
    <mergeCell ref="L82:M82"/>
    <mergeCell ref="N82:O82"/>
    <mergeCell ref="L83:M83"/>
    <mergeCell ref="N83:O83"/>
    <mergeCell ref="L78:M78"/>
    <mergeCell ref="N78:O78"/>
    <mergeCell ref="L79:M79"/>
    <mergeCell ref="N79:O79"/>
    <mergeCell ref="L80:M80"/>
    <mergeCell ref="N80:O80"/>
    <mergeCell ref="L87:M87"/>
    <mergeCell ref="N87:O87"/>
    <mergeCell ref="L88:M88"/>
    <mergeCell ref="N88:O88"/>
    <mergeCell ref="L89:M89"/>
    <mergeCell ref="N89:O89"/>
    <mergeCell ref="L84:M84"/>
    <mergeCell ref="N84:O84"/>
    <mergeCell ref="L85:M85"/>
    <mergeCell ref="N85:O85"/>
    <mergeCell ref="L86:M86"/>
    <mergeCell ref="N86:O86"/>
    <mergeCell ref="L93:M93"/>
    <mergeCell ref="N93:O93"/>
    <mergeCell ref="L94:M94"/>
    <mergeCell ref="N94:O94"/>
    <mergeCell ref="L95:M95"/>
    <mergeCell ref="N95:O95"/>
    <mergeCell ref="L90:M90"/>
    <mergeCell ref="N90:O90"/>
    <mergeCell ref="L91:M91"/>
    <mergeCell ref="N91:O91"/>
    <mergeCell ref="L92:M92"/>
    <mergeCell ref="N92:O92"/>
    <mergeCell ref="L99:M99"/>
    <mergeCell ref="N99:O99"/>
    <mergeCell ref="L100:M100"/>
    <mergeCell ref="N100:O100"/>
    <mergeCell ref="L101:M101"/>
    <mergeCell ref="N101:O101"/>
    <mergeCell ref="L96:M96"/>
    <mergeCell ref="N96:O96"/>
    <mergeCell ref="L97:M97"/>
    <mergeCell ref="N97:O97"/>
    <mergeCell ref="L98:M98"/>
    <mergeCell ref="N98:O98"/>
    <mergeCell ref="L105:M105"/>
    <mergeCell ref="N105:O105"/>
    <mergeCell ref="L106:M106"/>
    <mergeCell ref="N106:O106"/>
    <mergeCell ref="L107:M107"/>
    <mergeCell ref="N107:O107"/>
    <mergeCell ref="L102:M102"/>
    <mergeCell ref="N102:O102"/>
    <mergeCell ref="L103:M103"/>
    <mergeCell ref="N103:O103"/>
    <mergeCell ref="L104:M104"/>
    <mergeCell ref="N104:O104"/>
    <mergeCell ref="L111:M111"/>
    <mergeCell ref="N111:O111"/>
    <mergeCell ref="L112:M112"/>
    <mergeCell ref="N112:O112"/>
    <mergeCell ref="L113:M113"/>
    <mergeCell ref="N113:O113"/>
    <mergeCell ref="L108:M108"/>
    <mergeCell ref="N108:O108"/>
    <mergeCell ref="L109:M109"/>
    <mergeCell ref="N109:O109"/>
    <mergeCell ref="L110:M110"/>
    <mergeCell ref="N110:O110"/>
    <mergeCell ref="L117:M117"/>
    <mergeCell ref="N117:O117"/>
    <mergeCell ref="L118:M118"/>
    <mergeCell ref="N118:O118"/>
    <mergeCell ref="L119:M119"/>
    <mergeCell ref="N119:O119"/>
    <mergeCell ref="L114:M114"/>
    <mergeCell ref="N114:O114"/>
    <mergeCell ref="L115:M115"/>
    <mergeCell ref="N115:O115"/>
    <mergeCell ref="L116:M116"/>
    <mergeCell ref="N116:O116"/>
    <mergeCell ref="L123:M123"/>
    <mergeCell ref="N123:O123"/>
    <mergeCell ref="L124:M124"/>
    <mergeCell ref="N124:O124"/>
    <mergeCell ref="L125:M125"/>
    <mergeCell ref="N125:O125"/>
    <mergeCell ref="L120:M120"/>
    <mergeCell ref="N120:O120"/>
    <mergeCell ref="L121:M121"/>
    <mergeCell ref="N121:O121"/>
    <mergeCell ref="L122:M122"/>
    <mergeCell ref="N122:O122"/>
    <mergeCell ref="L129:M129"/>
    <mergeCell ref="N129:O129"/>
    <mergeCell ref="L130:M130"/>
    <mergeCell ref="N130:O130"/>
    <mergeCell ref="L131:M131"/>
    <mergeCell ref="N131:O131"/>
    <mergeCell ref="L126:M126"/>
    <mergeCell ref="N126:O126"/>
    <mergeCell ref="L127:M127"/>
    <mergeCell ref="N127:O127"/>
    <mergeCell ref="L128:M128"/>
    <mergeCell ref="N128:O128"/>
    <mergeCell ref="L135:M135"/>
    <mergeCell ref="N135:O135"/>
    <mergeCell ref="L136:M136"/>
    <mergeCell ref="N136:O136"/>
    <mergeCell ref="L137:M137"/>
    <mergeCell ref="N137:O137"/>
    <mergeCell ref="L132:M132"/>
    <mergeCell ref="N132:O132"/>
    <mergeCell ref="L133:M133"/>
    <mergeCell ref="N133:O133"/>
    <mergeCell ref="L134:M134"/>
    <mergeCell ref="N134:O134"/>
    <mergeCell ref="L141:M141"/>
    <mergeCell ref="N141:O141"/>
    <mergeCell ref="L142:M142"/>
    <mergeCell ref="N142:O142"/>
    <mergeCell ref="L138:M138"/>
    <mergeCell ref="N138:O138"/>
    <mergeCell ref="L139:M139"/>
    <mergeCell ref="N139:O139"/>
    <mergeCell ref="L140:M140"/>
    <mergeCell ref="N140:O140"/>
    <mergeCell ref="E64:F64"/>
    <mergeCell ref="E62:F62"/>
    <mergeCell ref="G64:J64"/>
    <mergeCell ref="L23:M23"/>
    <mergeCell ref="N23:O23"/>
    <mergeCell ref="Q23:R23"/>
    <mergeCell ref="L24:M24"/>
    <mergeCell ref="N24:O24"/>
    <mergeCell ref="Q24:R24"/>
    <mergeCell ref="L50:M50"/>
    <mergeCell ref="N50:O50"/>
    <mergeCell ref="Q50:R50"/>
    <mergeCell ref="L63:M63"/>
    <mergeCell ref="N63:O63"/>
    <mergeCell ref="L64:M64"/>
    <mergeCell ref="N64:O64"/>
    <mergeCell ref="L54:M54"/>
    <mergeCell ref="N54:O54"/>
    <mergeCell ref="L55:M55"/>
    <mergeCell ref="N55:O55"/>
    <mergeCell ref="L56:M56"/>
    <mergeCell ref="N56:O56"/>
    <mergeCell ref="L49:M49"/>
    <mergeCell ref="N49:O49"/>
  </mergeCells>
  <phoneticPr fontId="54" type="noConversion"/>
  <printOptions horizontalCentered="1" verticalCentered="1"/>
  <pageMargins left="0.70866141732283472" right="0.70866141732283472" top="1.3779527559055118" bottom="0.74803149606299213" header="0.31496062992125984" footer="0.31496062992125984"/>
  <pageSetup paperSize="9" scale="51" orientation="portrait" r:id="rId1"/>
  <headerFooter>
    <oddHeader>&amp;C&amp;G</oddHeader>
  </headerFooter>
  <rowBreaks count="2" manualBreakCount="2">
    <brk id="82" max="9" man="1"/>
    <brk id="150" max="8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M37"/>
  <sheetViews>
    <sheetView view="pageBreakPreview" zoomScale="115" zoomScaleNormal="100" zoomScaleSheetLayoutView="115" workbookViewId="0">
      <selection activeCell="G9" sqref="G9"/>
    </sheetView>
  </sheetViews>
  <sheetFormatPr defaultRowHeight="15"/>
  <cols>
    <col min="1" max="1" width="4.5703125" customWidth="1"/>
    <col min="2" max="2" width="6.7109375" customWidth="1"/>
    <col min="3" max="3" width="8.7109375" customWidth="1"/>
    <col min="4" max="4" width="4.85546875" customWidth="1"/>
    <col min="5" max="5" width="6.140625" customWidth="1"/>
    <col min="6" max="6" width="14.140625" customWidth="1"/>
    <col min="7" max="7" width="12.7109375" customWidth="1"/>
    <col min="8" max="8" width="14.140625" customWidth="1"/>
    <col min="9" max="10" width="4.7109375" customWidth="1"/>
    <col min="11" max="11" width="13.5703125" customWidth="1"/>
    <col min="12" max="12" width="14" customWidth="1"/>
    <col min="13" max="13" width="13.5703125" customWidth="1"/>
    <col min="14" max="14" width="5" customWidth="1"/>
  </cols>
  <sheetData>
    <row r="3" spans="2:13">
      <c r="B3" s="150" t="s">
        <v>24</v>
      </c>
      <c r="C3" s="151">
        <f>'CİLAS KAUÇUK'!N2</f>
        <v>33.58</v>
      </c>
      <c r="D3" s="40"/>
      <c r="E3" s="48"/>
      <c r="K3" s="44" t="s">
        <v>25</v>
      </c>
      <c r="L3" s="44" t="s">
        <v>27</v>
      </c>
      <c r="M3" s="43" t="s">
        <v>26</v>
      </c>
    </row>
    <row r="4" spans="2:13">
      <c r="B4" s="152">
        <v>1</v>
      </c>
      <c r="C4" s="151">
        <f>'CİLAS KAUÇUK'!N3</f>
        <v>36.74</v>
      </c>
      <c r="D4" s="40"/>
    </row>
    <row r="5" spans="2:13" ht="15.75" thickBot="1">
      <c r="B5" s="152">
        <v>1</v>
      </c>
      <c r="C5" s="153">
        <f>C4/C3</f>
        <v>1.0941036331149494</v>
      </c>
      <c r="D5" s="45"/>
      <c r="K5" s="46">
        <v>0</v>
      </c>
      <c r="L5" s="39">
        <f>K5*$C$3</f>
        <v>0</v>
      </c>
      <c r="M5" s="47">
        <f>K5/$C$5</f>
        <v>0</v>
      </c>
    </row>
    <row r="6" spans="2:13" ht="15.75" thickBot="1">
      <c r="B6" s="38"/>
      <c r="C6" s="45"/>
      <c r="D6" s="45"/>
      <c r="E6" s="259" t="s">
        <v>114</v>
      </c>
      <c r="F6" s="260"/>
      <c r="G6" s="260"/>
      <c r="H6" s="261"/>
      <c r="K6" s="46">
        <v>0</v>
      </c>
      <c r="L6" s="39">
        <f>K6*$C$3</f>
        <v>0</v>
      </c>
      <c r="M6" s="47">
        <f>K6/$C$5</f>
        <v>0</v>
      </c>
    </row>
    <row r="7" spans="2:13">
      <c r="B7" s="38"/>
      <c r="C7" s="45"/>
      <c r="D7" s="45"/>
      <c r="E7" s="154" t="s">
        <v>40</v>
      </c>
      <c r="F7" s="155">
        <v>0</v>
      </c>
      <c r="G7" s="156">
        <f>F7/$C$3</f>
        <v>0</v>
      </c>
      <c r="H7" s="157">
        <f>F7/$C$4</f>
        <v>0</v>
      </c>
      <c r="K7" s="46">
        <v>0</v>
      </c>
      <c r="L7" s="39">
        <f>K7*$C$3</f>
        <v>0</v>
      </c>
      <c r="M7" s="47">
        <f>K7/$C$5</f>
        <v>0</v>
      </c>
    </row>
    <row r="8" spans="2:13">
      <c r="E8" s="158" t="s">
        <v>29</v>
      </c>
      <c r="F8" s="39">
        <v>580</v>
      </c>
      <c r="G8" s="46">
        <f>F8/$C$3</f>
        <v>17.272185824895772</v>
      </c>
      <c r="H8" s="159">
        <f>F8/$C$4</f>
        <v>15.786608600979857</v>
      </c>
      <c r="K8" s="46">
        <v>0</v>
      </c>
      <c r="L8" s="39">
        <f>K8*$C$3</f>
        <v>0</v>
      </c>
      <c r="M8" s="47">
        <f>K8/$C$5</f>
        <v>0</v>
      </c>
    </row>
    <row r="9" spans="2:13">
      <c r="E9" s="158" t="s">
        <v>30</v>
      </c>
      <c r="F9" s="39">
        <v>500</v>
      </c>
      <c r="G9" s="46">
        <f>F9/$C$3</f>
        <v>14.889815366289458</v>
      </c>
      <c r="H9" s="159">
        <f>F9/$C$4</f>
        <v>13.609145345672291</v>
      </c>
      <c r="K9" s="46">
        <v>0</v>
      </c>
      <c r="L9" s="39">
        <f>K9*$C$3</f>
        <v>0</v>
      </c>
      <c r="M9" s="47">
        <f>K9/$C$5</f>
        <v>0</v>
      </c>
    </row>
    <row r="10" spans="2:13">
      <c r="E10" s="158" t="s">
        <v>31</v>
      </c>
      <c r="F10" s="39">
        <v>450</v>
      </c>
      <c r="G10" s="46">
        <f>F10/$C$3</f>
        <v>13.400833829660513</v>
      </c>
      <c r="H10" s="159">
        <f t="shared" ref="H10:H18" si="0">F10/$C$4</f>
        <v>12.248230811105062</v>
      </c>
    </row>
    <row r="11" spans="2:13">
      <c r="E11" s="158" t="s">
        <v>32</v>
      </c>
      <c r="F11" s="39">
        <v>300</v>
      </c>
      <c r="G11" s="46">
        <f t="shared" ref="G11:G18" si="1">F11/$C$3</f>
        <v>8.9338892197736754</v>
      </c>
      <c r="H11" s="159">
        <f t="shared" si="0"/>
        <v>8.1654872074033751</v>
      </c>
      <c r="K11" s="43" t="s">
        <v>26</v>
      </c>
      <c r="L11" s="44" t="s">
        <v>27</v>
      </c>
      <c r="M11" s="44" t="s">
        <v>25</v>
      </c>
    </row>
    <row r="12" spans="2:13">
      <c r="E12" s="158" t="s">
        <v>39</v>
      </c>
      <c r="F12" s="39">
        <v>0</v>
      </c>
      <c r="G12" s="46">
        <f t="shared" si="1"/>
        <v>0</v>
      </c>
      <c r="H12" s="159">
        <f t="shared" si="0"/>
        <v>0</v>
      </c>
    </row>
    <row r="13" spans="2:13">
      <c r="E13" s="158" t="s">
        <v>33</v>
      </c>
      <c r="F13" s="39">
        <v>0</v>
      </c>
      <c r="G13" s="46">
        <f t="shared" si="1"/>
        <v>0</v>
      </c>
      <c r="H13" s="159">
        <f t="shared" si="0"/>
        <v>0</v>
      </c>
      <c r="K13" s="47">
        <v>120</v>
      </c>
      <c r="L13" s="39">
        <f>K13*$C$4</f>
        <v>4408.8</v>
      </c>
      <c r="M13" s="46">
        <f>K13*$C$5</f>
        <v>131.29243597379394</v>
      </c>
    </row>
    <row r="14" spans="2:13">
      <c r="E14" s="158" t="s">
        <v>34</v>
      </c>
      <c r="F14" s="39">
        <v>0</v>
      </c>
      <c r="G14" s="46">
        <f t="shared" si="1"/>
        <v>0</v>
      </c>
      <c r="H14" s="159">
        <f t="shared" si="0"/>
        <v>0</v>
      </c>
      <c r="K14" s="47">
        <v>0</v>
      </c>
      <c r="L14" s="39">
        <f t="shared" ref="L14:L21" si="2">K14*$C$4</f>
        <v>0</v>
      </c>
      <c r="M14" s="46">
        <f t="shared" ref="M14:M21" si="3">K14*$C$5</f>
        <v>0</v>
      </c>
    </row>
    <row r="15" spans="2:13">
      <c r="E15" s="158" t="s">
        <v>35</v>
      </c>
      <c r="F15" s="39">
        <v>0</v>
      </c>
      <c r="G15" s="46">
        <f t="shared" si="1"/>
        <v>0</v>
      </c>
      <c r="H15" s="159">
        <f t="shared" si="0"/>
        <v>0</v>
      </c>
      <c r="K15" s="47">
        <v>0</v>
      </c>
      <c r="L15" s="39">
        <f t="shared" si="2"/>
        <v>0</v>
      </c>
      <c r="M15" s="46">
        <f t="shared" si="3"/>
        <v>0</v>
      </c>
    </row>
    <row r="16" spans="2:13">
      <c r="E16" s="158" t="s">
        <v>36</v>
      </c>
      <c r="F16" s="39">
        <v>0</v>
      </c>
      <c r="G16" s="46">
        <f t="shared" si="1"/>
        <v>0</v>
      </c>
      <c r="H16" s="159">
        <f t="shared" si="0"/>
        <v>0</v>
      </c>
      <c r="K16" s="47">
        <v>0</v>
      </c>
      <c r="L16" s="39">
        <f t="shared" si="2"/>
        <v>0</v>
      </c>
      <c r="M16" s="46">
        <f t="shared" si="3"/>
        <v>0</v>
      </c>
    </row>
    <row r="17" spans="5:13">
      <c r="E17" s="160" t="s">
        <v>37</v>
      </c>
      <c r="F17" s="39">
        <v>0</v>
      </c>
      <c r="G17" s="46">
        <f t="shared" si="1"/>
        <v>0</v>
      </c>
      <c r="H17" s="159">
        <f t="shared" si="0"/>
        <v>0</v>
      </c>
      <c r="K17" s="47">
        <v>0</v>
      </c>
      <c r="L17" s="39">
        <f t="shared" si="2"/>
        <v>0</v>
      </c>
      <c r="M17" s="46">
        <f t="shared" si="3"/>
        <v>0</v>
      </c>
    </row>
    <row r="18" spans="5:13" ht="15.75" thickBot="1">
      <c r="E18" s="161" t="s">
        <v>38</v>
      </c>
      <c r="F18" s="162">
        <v>0</v>
      </c>
      <c r="G18" s="163">
        <f t="shared" si="1"/>
        <v>0</v>
      </c>
      <c r="H18" s="164">
        <f t="shared" si="0"/>
        <v>0</v>
      </c>
      <c r="K18" s="47">
        <v>0</v>
      </c>
      <c r="L18" s="39">
        <f t="shared" si="2"/>
        <v>0</v>
      </c>
      <c r="M18" s="46">
        <f t="shared" si="3"/>
        <v>0</v>
      </c>
    </row>
    <row r="19" spans="5:13" ht="15.75" thickBot="1">
      <c r="G19" s="46"/>
      <c r="H19" s="47"/>
      <c r="K19" s="47">
        <v>0</v>
      </c>
      <c r="L19" s="39">
        <f t="shared" si="2"/>
        <v>0</v>
      </c>
      <c r="M19" s="46">
        <f t="shared" si="3"/>
        <v>0</v>
      </c>
    </row>
    <row r="20" spans="5:13" ht="15.75" thickBot="1">
      <c r="E20" s="259" t="s">
        <v>115</v>
      </c>
      <c r="F20" s="260"/>
      <c r="G20" s="260"/>
      <c r="H20" s="261"/>
      <c r="K20" s="47">
        <v>0</v>
      </c>
      <c r="L20" s="39">
        <f t="shared" si="2"/>
        <v>0</v>
      </c>
      <c r="M20" s="46">
        <f>K20*$C$5</f>
        <v>0</v>
      </c>
    </row>
    <row r="21" spans="5:13">
      <c r="E21" s="154" t="s">
        <v>40</v>
      </c>
      <c r="F21" s="155">
        <v>0</v>
      </c>
      <c r="G21" s="156">
        <f>F21/$C$3</f>
        <v>0</v>
      </c>
      <c r="H21" s="157">
        <f>F21/$C$4</f>
        <v>0</v>
      </c>
      <c r="K21" s="47">
        <v>0</v>
      </c>
      <c r="L21" s="39">
        <f t="shared" si="2"/>
        <v>0</v>
      </c>
      <c r="M21" s="46">
        <f t="shared" si="3"/>
        <v>0</v>
      </c>
    </row>
    <row r="22" spans="5:13">
      <c r="E22" s="158" t="s">
        <v>29</v>
      </c>
      <c r="F22" s="39">
        <v>0</v>
      </c>
      <c r="G22" s="46">
        <f>F22/$C$3</f>
        <v>0</v>
      </c>
      <c r="H22" s="159">
        <f>F22/$C$4</f>
        <v>0</v>
      </c>
    </row>
    <row r="23" spans="5:13">
      <c r="E23" s="158" t="s">
        <v>30</v>
      </c>
      <c r="F23" s="39">
        <v>0</v>
      </c>
      <c r="G23" s="46">
        <f>F23/$C$3</f>
        <v>0</v>
      </c>
      <c r="H23" s="159">
        <f>F23/$C$4</f>
        <v>0</v>
      </c>
    </row>
    <row r="24" spans="5:13">
      <c r="E24" s="158" t="s">
        <v>31</v>
      </c>
      <c r="F24" s="39">
        <v>0</v>
      </c>
      <c r="G24" s="46">
        <f>F24/$C$3</f>
        <v>0</v>
      </c>
      <c r="H24" s="159">
        <f t="shared" ref="H24:H32" si="4">F24/$C$4</f>
        <v>0</v>
      </c>
      <c r="K24" s="41" t="s">
        <v>28</v>
      </c>
      <c r="L24" s="42" t="s">
        <v>25</v>
      </c>
      <c r="M24" s="43" t="s">
        <v>26</v>
      </c>
    </row>
    <row r="25" spans="5:13">
      <c r="E25" s="158" t="s">
        <v>32</v>
      </c>
      <c r="F25" s="39">
        <v>0</v>
      </c>
      <c r="G25" s="46">
        <f t="shared" ref="G25:G32" si="5">F25/$C$3</f>
        <v>0</v>
      </c>
      <c r="H25" s="159">
        <f t="shared" si="4"/>
        <v>0</v>
      </c>
      <c r="K25" s="39">
        <v>200</v>
      </c>
      <c r="L25" s="46">
        <f>K25/$C$3</f>
        <v>5.9559261465157833</v>
      </c>
      <c r="M25" s="47">
        <f>K25/$C$4</f>
        <v>5.4436581382689164</v>
      </c>
    </row>
    <row r="26" spans="5:13">
      <c r="E26" s="158" t="s">
        <v>39</v>
      </c>
      <c r="F26" s="39">
        <v>0</v>
      </c>
      <c r="G26" s="46">
        <f t="shared" si="5"/>
        <v>0</v>
      </c>
      <c r="H26" s="159">
        <f t="shared" si="4"/>
        <v>0</v>
      </c>
      <c r="K26" s="39">
        <v>120</v>
      </c>
      <c r="L26" s="46">
        <f t="shared" ref="L26:L37" si="6">K26/$C$3</f>
        <v>3.5735556879094701</v>
      </c>
      <c r="M26" s="47">
        <f>K26/$C$4</f>
        <v>3.2661948829613499</v>
      </c>
    </row>
    <row r="27" spans="5:13">
      <c r="E27" s="158" t="s">
        <v>33</v>
      </c>
      <c r="F27" s="39">
        <v>0</v>
      </c>
      <c r="G27" s="46">
        <f t="shared" si="5"/>
        <v>0</v>
      </c>
      <c r="H27" s="159">
        <f t="shared" si="4"/>
        <v>0</v>
      </c>
      <c r="K27" s="39">
        <v>0</v>
      </c>
      <c r="L27" s="46">
        <f t="shared" si="6"/>
        <v>0</v>
      </c>
      <c r="M27" s="47">
        <f t="shared" ref="M27:M37" si="7">K27/$C$4</f>
        <v>0</v>
      </c>
    </row>
    <row r="28" spans="5:13">
      <c r="E28" s="158" t="s">
        <v>34</v>
      </c>
      <c r="F28" s="39">
        <v>0</v>
      </c>
      <c r="G28" s="46">
        <f t="shared" si="5"/>
        <v>0</v>
      </c>
      <c r="H28" s="159">
        <f t="shared" si="4"/>
        <v>0</v>
      </c>
      <c r="K28" s="39">
        <v>0</v>
      </c>
      <c r="L28" s="46">
        <f t="shared" si="6"/>
        <v>0</v>
      </c>
      <c r="M28" s="47">
        <f t="shared" si="7"/>
        <v>0</v>
      </c>
    </row>
    <row r="29" spans="5:13">
      <c r="E29" s="158" t="s">
        <v>35</v>
      </c>
      <c r="F29" s="39">
        <v>0</v>
      </c>
      <c r="G29" s="46">
        <f t="shared" si="5"/>
        <v>0</v>
      </c>
      <c r="H29" s="159">
        <f t="shared" si="4"/>
        <v>0</v>
      </c>
      <c r="K29" s="39">
        <v>0</v>
      </c>
      <c r="L29" s="46">
        <f t="shared" si="6"/>
        <v>0</v>
      </c>
      <c r="M29" s="47">
        <f t="shared" si="7"/>
        <v>0</v>
      </c>
    </row>
    <row r="30" spans="5:13">
      <c r="E30" s="158" t="s">
        <v>36</v>
      </c>
      <c r="F30" s="39">
        <v>0</v>
      </c>
      <c r="G30" s="46">
        <f t="shared" si="5"/>
        <v>0</v>
      </c>
      <c r="H30" s="159">
        <f t="shared" si="4"/>
        <v>0</v>
      </c>
      <c r="K30" s="39">
        <v>0</v>
      </c>
      <c r="L30" s="46">
        <f t="shared" si="6"/>
        <v>0</v>
      </c>
      <c r="M30" s="47">
        <f t="shared" si="7"/>
        <v>0</v>
      </c>
    </row>
    <row r="31" spans="5:13">
      <c r="E31" s="160" t="s">
        <v>37</v>
      </c>
      <c r="F31" s="39">
        <v>0</v>
      </c>
      <c r="G31" s="46">
        <f t="shared" si="5"/>
        <v>0</v>
      </c>
      <c r="H31" s="159">
        <f t="shared" si="4"/>
        <v>0</v>
      </c>
      <c r="K31" s="39">
        <v>0</v>
      </c>
      <c r="L31" s="46">
        <f t="shared" si="6"/>
        <v>0</v>
      </c>
      <c r="M31" s="47">
        <f t="shared" si="7"/>
        <v>0</v>
      </c>
    </row>
    <row r="32" spans="5:13" ht="15.75" thickBot="1">
      <c r="E32" s="161" t="s">
        <v>38</v>
      </c>
      <c r="F32" s="162">
        <v>0</v>
      </c>
      <c r="G32" s="163">
        <f t="shared" si="5"/>
        <v>0</v>
      </c>
      <c r="H32" s="164">
        <f t="shared" si="4"/>
        <v>0</v>
      </c>
      <c r="K32" s="39">
        <v>0</v>
      </c>
      <c r="L32" s="46">
        <f t="shared" si="6"/>
        <v>0</v>
      </c>
      <c r="M32" s="47">
        <f t="shared" si="7"/>
        <v>0</v>
      </c>
    </row>
    <row r="33" spans="11:13">
      <c r="K33" s="39">
        <v>0</v>
      </c>
      <c r="L33" s="46">
        <f t="shared" si="6"/>
        <v>0</v>
      </c>
      <c r="M33" s="47">
        <f t="shared" si="7"/>
        <v>0</v>
      </c>
    </row>
    <row r="34" spans="11:13">
      <c r="K34" s="39">
        <v>0</v>
      </c>
      <c r="L34" s="46">
        <f t="shared" si="6"/>
        <v>0</v>
      </c>
      <c r="M34" s="47">
        <f t="shared" si="7"/>
        <v>0</v>
      </c>
    </row>
    <row r="35" spans="11:13">
      <c r="K35" s="39">
        <v>0</v>
      </c>
      <c r="L35" s="46">
        <f t="shared" si="6"/>
        <v>0</v>
      </c>
      <c r="M35" s="47">
        <f t="shared" si="7"/>
        <v>0</v>
      </c>
    </row>
    <row r="36" spans="11:13">
      <c r="K36" s="39">
        <v>0</v>
      </c>
      <c r="L36" s="46">
        <f t="shared" si="6"/>
        <v>0</v>
      </c>
      <c r="M36" s="47">
        <f t="shared" si="7"/>
        <v>0</v>
      </c>
    </row>
    <row r="37" spans="11:13">
      <c r="K37" s="39">
        <v>0</v>
      </c>
      <c r="L37" s="46">
        <f t="shared" si="6"/>
        <v>0</v>
      </c>
      <c r="M37" s="47">
        <f t="shared" si="7"/>
        <v>0</v>
      </c>
    </row>
  </sheetData>
  <mergeCells count="2">
    <mergeCell ref="E6:H6"/>
    <mergeCell ref="E20:H20"/>
  </mergeCells>
  <pageMargins left="0.7" right="0.7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9</vt:i4>
      </vt:variant>
    </vt:vector>
  </HeadingPairs>
  <TitlesOfParts>
    <vt:vector size="14" baseType="lpstr">
      <vt:lpstr>KAPAK</vt:lpstr>
      <vt:lpstr>Teklif Esasları</vt:lpstr>
      <vt:lpstr>İCMAL</vt:lpstr>
      <vt:lpstr>CİLAS KAUÇUK</vt:lpstr>
      <vt:lpstr>EXCHANGE RATE</vt:lpstr>
      <vt:lpstr>'CİLAS KAUÇUK'!Print_Area</vt:lpstr>
      <vt:lpstr>'EXCHANGE RATE'!Print_Area</vt:lpstr>
      <vt:lpstr>İCMAL!Print_Area</vt:lpstr>
      <vt:lpstr>KAPAK!Print_Area</vt:lpstr>
      <vt:lpstr>'Teklif Esasları'!Print_Area</vt:lpstr>
      <vt:lpstr>'CİLAS KAUÇUK'!Print_Titles</vt:lpstr>
      <vt:lpstr>'CİLAS KAUÇUK'!Yazdırma_Alanı</vt:lpstr>
      <vt:lpstr>'EXCHANGE RATE'!Yazdırma_Alanı</vt:lpstr>
      <vt:lpstr>'Teklif Esasları'!Yazdırma_Alanı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</dc:creator>
  <cp:lastModifiedBy>ANONIM</cp:lastModifiedBy>
  <cp:lastPrinted>2025-11-27T08:54:25Z</cp:lastPrinted>
  <dcterms:created xsi:type="dcterms:W3CDTF">2011-06-16T15:42:28Z</dcterms:created>
  <dcterms:modified xsi:type="dcterms:W3CDTF">2025-11-27T10:06:47Z</dcterms:modified>
</cp:coreProperties>
</file>