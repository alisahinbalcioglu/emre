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basar\Desktop\TEKLİF VERİLEN PROJELER\EMO AYVAZ\"/>
    </mc:Choice>
  </mc:AlternateContent>
  <xr:revisionPtr revIDLastSave="0" documentId="13_ncr:1_{F9623359-BF7B-4D23-AD16-4C27910EDB79}" xr6:coauthVersionLast="47" xr6:coauthVersionMax="47" xr10:uidLastSave="{00000000-0000-0000-0000-000000000000}"/>
  <bookViews>
    <workbookView xWindow="1950" yWindow="1950" windowWidth="26625" windowHeight="13050" xr2:uid="{00000000-000D-0000-FFFF-FFFF00000000}"/>
  </bookViews>
  <sheets>
    <sheet name="TEKLİF(YSS)" sheetId="89" r:id="rId1"/>
    <sheet name="KAYIT" sheetId="87" state="hidden" r:id="rId2"/>
    <sheet name="YAİS_KATSAYILAR" sheetId="11" state="hidden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" hidden="1">[1]TESİSAT!#REF!,[1]TESİSAT!#REF!</definedName>
    <definedName name="______" hidden="1">[2]Sheet1!#REF!,[2]Sheet1!#REF!</definedName>
    <definedName name="__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old3" hidden="1">{#N/A,#N/A,FALSE,"Summary";#N/A,#N/A,FALSE,"3TJ";#N/A,#N/A,FALSE,"3TN";#N/A,#N/A,FALSE,"3TP";#N/A,#N/A,FALSE,"3SJ";#N/A,#N/A,FALSE,"3CJ";#N/A,#N/A,FALSE,"3CN";#N/A,#N/A,FALSE,"3CP";#N/A,#N/A,FALSE,"3A"}</definedName>
    <definedName name="_______old5" hidden="1">{#N/A,#N/A,FALSE,"Summary";#N/A,#N/A,FALSE,"3TJ";#N/A,#N/A,FALSE,"3TN";#N/A,#N/A,FALSE,"3TP";#N/A,#N/A,FALSE,"3SJ";#N/A,#N/A,FALSE,"3CJ";#N/A,#N/A,FALSE,"3CN";#N/A,#N/A,FALSE,"3CP";#N/A,#N/A,FALSE,"3A"}</definedName>
    <definedName name="_______old7" hidden="1">{#N/A,#N/A,FALSE,"Summary";#N/A,#N/A,FALSE,"3TJ";#N/A,#N/A,FALSE,"3TN";#N/A,#N/A,FALSE,"3TP";#N/A,#N/A,FALSE,"3SJ";#N/A,#N/A,FALSE,"3CJ";#N/A,#N/A,FALSE,"3CN";#N/A,#N/A,FALSE,"3CP";#N/A,#N/A,FALSE,"3A"}</definedName>
    <definedName name="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old3" hidden="1">{#N/A,#N/A,FALSE,"Summary";#N/A,#N/A,FALSE,"3TJ";#N/A,#N/A,FALSE,"3TN";#N/A,#N/A,FALSE,"3TP";#N/A,#N/A,FALSE,"3SJ";#N/A,#N/A,FALSE,"3CJ";#N/A,#N/A,FALSE,"3CN";#N/A,#N/A,FALSE,"3CP";#N/A,#N/A,FALSE,"3A"}</definedName>
    <definedName name="_____old5" hidden="1">{#N/A,#N/A,FALSE,"Summary";#N/A,#N/A,FALSE,"3TJ";#N/A,#N/A,FALSE,"3TN";#N/A,#N/A,FALSE,"3TP";#N/A,#N/A,FALSE,"3SJ";#N/A,#N/A,FALSE,"3CJ";#N/A,#N/A,FALSE,"3CN";#N/A,#N/A,FALSE,"3CP";#N/A,#N/A,FALSE,"3A"}</definedName>
    <definedName name="_____old7" hidden="1">{#N/A,#N/A,FALSE,"Summary";#N/A,#N/A,FALSE,"3TJ";#N/A,#N/A,FALSE,"3TN";#N/A,#N/A,FALSE,"3TP";#N/A,#N/A,FALSE,"3SJ";#N/A,#N/A,FALSE,"3CJ";#N/A,#N/A,FALSE,"3CN";#N/A,#N/A,FALSE,"3CP";#N/A,#N/A,FALSE,"3A"}</definedName>
    <definedName name="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old3" hidden="1">{#N/A,#N/A,FALSE,"Summary";#N/A,#N/A,FALSE,"3TJ";#N/A,#N/A,FALSE,"3TN";#N/A,#N/A,FALSE,"3TP";#N/A,#N/A,FALSE,"3SJ";#N/A,#N/A,FALSE,"3CJ";#N/A,#N/A,FALSE,"3CN";#N/A,#N/A,FALSE,"3CP";#N/A,#N/A,FALSE,"3A"}</definedName>
    <definedName name="____old5" hidden="1">{#N/A,#N/A,FALSE,"Summary";#N/A,#N/A,FALSE,"3TJ";#N/A,#N/A,FALSE,"3TN";#N/A,#N/A,FALSE,"3TP";#N/A,#N/A,FALSE,"3SJ";#N/A,#N/A,FALSE,"3CJ";#N/A,#N/A,FALSE,"3CN";#N/A,#N/A,FALSE,"3CP";#N/A,#N/A,FALSE,"3A"}</definedName>
    <definedName name="____old7" hidden="1">{#N/A,#N/A,FALSE,"Summary";#N/A,#N/A,FALSE,"3TJ";#N/A,#N/A,FALSE,"3TN";#N/A,#N/A,FALSE,"3TP";#N/A,#N/A,FALSE,"3SJ";#N/A,#N/A,FALSE,"3CJ";#N/A,#N/A,FALSE,"3CN";#N/A,#N/A,FALSE,"3CP";#N/A,#N/A,FALSE,"3A"}</definedName>
    <definedName name="__123Graph_A" hidden="1">'[3]TABLO-3'!$B$4:$B$4</definedName>
    <definedName name="__123Graph_ACURRENT" hidden="1">[4]FitOutConfCentre!#REF!</definedName>
    <definedName name="__123Graph_B" hidden="1">'[3]TABLO-3'!$B$5:$B$5</definedName>
    <definedName name="__123Graph_C" hidden="1">'[3]TABLO-3'!$B$6:$B$6</definedName>
    <definedName name="__123Graph_D" hidden="1">'[3]TABLO-3'!$B$7:$B$7</definedName>
    <definedName name="__123Graph_E" hidden="1">'[3]TABLO-3'!$B$8:$B$8</definedName>
    <definedName name="__123Graph_X" hidden="1">'[3]TABLO-3'!$A$4:$A$8</definedName>
    <definedName name="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old3" hidden="1">{#N/A,#N/A,FALSE,"Summary";#N/A,#N/A,FALSE,"3TJ";#N/A,#N/A,FALSE,"3TN";#N/A,#N/A,FALSE,"3TP";#N/A,#N/A,FALSE,"3SJ";#N/A,#N/A,FALSE,"3CJ";#N/A,#N/A,FALSE,"3CN";#N/A,#N/A,FALSE,"3CP";#N/A,#N/A,FALSE,"3A"}</definedName>
    <definedName name="__old5" hidden="1">{#N/A,#N/A,FALSE,"Summary";#N/A,#N/A,FALSE,"3TJ";#N/A,#N/A,FALSE,"3TN";#N/A,#N/A,FALSE,"3TP";#N/A,#N/A,FALSE,"3SJ";#N/A,#N/A,FALSE,"3CJ";#N/A,#N/A,FALSE,"3CN";#N/A,#N/A,FALSE,"3CP";#N/A,#N/A,FALSE,"3A"}</definedName>
    <definedName name="__old7" hidden="1">{#N/A,#N/A,FALSE,"Summary";#N/A,#N/A,FALSE,"3TJ";#N/A,#N/A,FALSE,"3TN";#N/A,#N/A,FALSE,"3TP";#N/A,#N/A,FALSE,"3SJ";#N/A,#N/A,FALSE,"3CJ";#N/A,#N/A,FALSE,"3CN";#N/A,#N/A,FALSE,"3CP";#N/A,#N/A,FALSE,"3A"}</definedName>
    <definedName name="_1__123Graph_ACHART_1" hidden="1">[5]Cash2!$G$16:$G$31</definedName>
    <definedName name="_2_._solv" hidden="1">[2]Sheet1!#REF!,[2]Sheet1!#REF!</definedName>
    <definedName name="_2__123Graph_AChart_1A" hidden="1">#REF!</definedName>
    <definedName name="_2__123Graph_ACHART_2" hidden="1">[5]Z!$T$179:$AH$179</definedName>
    <definedName name="_3__123Graph_ACHART_2" hidden="1">[5]Z!$T$179:$AH$179</definedName>
    <definedName name="_3__123Graph_BCHART_2" hidden="1">[5]Z!$T$180:$AH$180</definedName>
    <definedName name="_4__123Graph_BChart_1A" hidden="1">#REF!</definedName>
    <definedName name="_4__123Graph_CCHART_1" hidden="1">[5]Cash2!$J$16:$J$36</definedName>
    <definedName name="_5__123Graph_BCHART_2" hidden="1">[5]Z!$T$180:$AH$180</definedName>
    <definedName name="_5__123Graph_DCHART_1" hidden="1">[5]Cash2!$K$16:$K$36</definedName>
    <definedName name="_6__123Graph_CCHART_1" hidden="1">[5]Cash2!$J$16:$J$36</definedName>
    <definedName name="_7__123Graph_DCHART_1" hidden="1">[5]Cash2!$K$16:$K$36</definedName>
    <definedName name="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C" hidden="1">[5]Cash2!$G$16:$G$31</definedName>
    <definedName name="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Fill" hidden="1">'[6]Raw Data'!#REF!</definedName>
    <definedName name="_hk4645" hidden="1">{#N/A,#N/A,FALSE,"ihz. icmal";#N/A,#N/A,FALSE,"avans";#N/A,#N/A,FALSE,"mal_FF_icm";#N/A,#N/A,FALSE,"fat_ihz";#N/A,#N/A,FALSE,"söz_fiy_fark";#N/A,#N/A,FALSE,"kap2"}</definedName>
    <definedName name="_KAR1">#REF!</definedName>
    <definedName name="_KAR2">#REF!</definedName>
    <definedName name="_KAR3">#REF!</definedName>
    <definedName name="_Key1" hidden="1">#REF!</definedName>
    <definedName name="_Key2" hidden="1">#REF!</definedName>
    <definedName name="_key3" hidden="1">#REF!</definedName>
    <definedName name="_old3" hidden="1">{#N/A,#N/A,FALSE,"Summary";#N/A,#N/A,FALSE,"3TJ";#N/A,#N/A,FALSE,"3TN";#N/A,#N/A,FALSE,"3TP";#N/A,#N/A,FALSE,"3SJ";#N/A,#N/A,FALSE,"3CJ";#N/A,#N/A,FALSE,"3CN";#N/A,#N/A,FALSE,"3CP";#N/A,#N/A,FALSE,"3A"}</definedName>
    <definedName name="_old5" hidden="1">{#N/A,#N/A,FALSE,"Summary";#N/A,#N/A,FALSE,"3TJ";#N/A,#N/A,FALSE,"3TN";#N/A,#N/A,FALSE,"3TP";#N/A,#N/A,FALSE,"3SJ";#N/A,#N/A,FALSE,"3CJ";#N/A,#N/A,FALSE,"3CN";#N/A,#N/A,FALSE,"3CP";#N/A,#N/A,FALSE,"3A"}</definedName>
    <definedName name="_old7" hidden="1">{#N/A,#N/A,FALSE,"Summary";#N/A,#N/A,FALSE,"3TJ";#N/A,#N/A,FALSE,"3TN";#N/A,#N/A,FALSE,"3TP";#N/A,#N/A,FALSE,"3SJ";#N/A,#N/A,FALSE,"3CJ";#N/A,#N/A,FALSE,"3CN";#N/A,#N/A,FALSE,"3CP";#N/A,#N/A,FALSE,"3A"}</definedName>
    <definedName name="_Order1" hidden="1">255</definedName>
    <definedName name="_Order2" hidden="1">255</definedName>
    <definedName name="_Regression_Int" hidden="1">1</definedName>
    <definedName name="_Sort" hidden="1">#REF!</definedName>
    <definedName name="_xlnm._FilterDatabase" localSheetId="0" hidden="1">'TEKLİF(YSS)'!$A$9:$H$77</definedName>
    <definedName name="_xlnm._FilterDatabase" hidden="1">#REF!</definedName>
    <definedName name="_xleta.SUM" hidden="1" xlm="1">#NAME?</definedName>
    <definedName name="a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aaaaa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a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b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CD" hidden="1">[5]Z!$T$179:$AH$179</definedName>
    <definedName name="AccessDatabase" hidden="1">"C:\WIN95\Desktop\Ramesh\AIC\Aic.mdb"</definedName>
    <definedName name="A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aky" hidden="1">{#N/A,#N/A,FALSE,"sıh_iç_ihz";#N/A,#N/A,FALSE,"sıh_iç_er";#N/A,#N/A,FALSE,"sıh_iç_tut"}</definedName>
    <definedName name="ananınamı" hidden="1">[5]Z!$T$179:$AH$179</definedName>
    <definedName name="asasa" hidden="1">{#N/A,#N/A,FALSE,"ihz. icmal";#N/A,#N/A,FALSE,"avans";#N/A,#N/A,FALSE,"mal_FF_icm";#N/A,#N/A,FALSE,"fat_ihz";#N/A,#N/A,FALSE,"söz_fiy_fark";#N/A,#N/A,FALSE,"kap2"}</definedName>
    <definedName name="asasasa" hidden="1">{#N/A,#N/A,FALSE,"ihz. icmal";#N/A,#N/A,FALSE,"avans";#N/A,#N/A,FALSE,"mal_FF_icm";#N/A,#N/A,FALSE,"fat_ihz";#N/A,#N/A,FALSE,"söz_fiy_fark";#N/A,#N/A,FALSE,"kap2"}</definedName>
    <definedName name="asdg" hidden="1">#REF!</definedName>
    <definedName name="ase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utranica">#REF!</definedName>
    <definedName name="autronica" hidden="1">[2]Sheet1!#REF!,[2]Sheet1!#REF!</definedName>
    <definedName name="B.F.İŞL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İHZARA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uğra" hidden="1">#REF!</definedName>
    <definedName name="CA" hidden="1">[5]Cash2!$J$16:$J$36</definedName>
    <definedName name="cc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D" hidden="1">[5]Cash2!$K$16:$K$36</definedName>
    <definedName name="cu" hidden="1">{#N/A,#N/A,FALSE,"kal_iç_ihz";#N/A,#N/A,FALSE,"kal_iç_er";#N/A,#N/A,FALSE,"kal_iç_tut"}</definedName>
    <definedName name="çatı" hidden="1">{#N/A,#N/A,FALSE,"avans";#N/A,#N/A,FALSE,"teminat_mektubu";#N/A,#N/A,FALSE,"ihz. icmal";#N/A,#N/A,FALSE,"söz_fiy_fark";#N/A,#N/A,FALSE,"kap2";#N/A,#N/A,FALSE,"mal_FF_icm";#N/A,#N/A,FALSE,"kap1"}</definedName>
    <definedName name="çç" hidden="1">{#N/A,#N/A,FALSE,"maff_h1";#N/A,#N/A,FALSE,"maff_h2";#N/A,#N/A,FALSE,"maff_h3";#N/A,#N/A,FALSE,"maff_h4";#N/A,#N/A,FALSE,"maff_h5";#N/A,#N/A,FALSE,"maff_h6";#N/A,#N/A,FALSE,"maff_h7"}</definedName>
    <definedName name="D">#REF!</definedName>
    <definedName name="dasdasd" hidden="1">{#N/A,#N/A,FALSE,"ihz. icmal";#N/A,#N/A,FALSE,"avans";#N/A,#N/A,FALSE,"mal_FF_icm";#N/A,#N/A,FALSE,"fat_ihz";#N/A,#N/A,FALSE,"söz_fiy_fark";#N/A,#N/A,FALSE,"kap2"}</definedName>
    <definedName name="dddd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df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deee" hidden="1">{#N/A,#N/A,FALSE,"ihz. icmal";#N/A,#N/A,FALSE,"avans";#N/A,#N/A,FALSE,"mal_FF_icm";#N/A,#N/A,FALSE,"fat_ihz";#N/A,#N/A,FALSE,"söz_fiy_fark";#N/A,#N/A,FALSE,"kap2"}</definedName>
    <definedName name="Detronix">YAİS_KATSAYILAR!$C$27</definedName>
    <definedName name="DFF" hidden="1">{#N/A,#N/A,FALSE,"kal_iç_ihz";#N/A,#N/A,FALSE,"kal_iç_er";#N/A,#N/A,FALSE,"kal_iç_tut"}</definedName>
    <definedName name="dfff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sadas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DSD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fgd" hidden="1">[7]Sheet1!#REF!,[7]Sheet1!#REF!</definedName>
    <definedName name="du" hidden="1">{#N/A,#N/A,FALSE,"maff_h1";#N/A,#N/A,FALSE,"maff_h2";#N/A,#N/A,FALSE,"maff_h3";#N/A,#N/A,FALSE,"maff_h4";#N/A,#N/A,FALSE,"maff_h5";#N/A,#N/A,FALSE,"maff_h6";#N/A,#N/A,FALSE,"maff_h7"}</definedName>
    <definedName name="dvbg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wdw" hidden="1">{0,0,0,0;0,0,0,0;0,0,0,0;0,0,0,0;0,0,0,0;0,0,0,0;0,0,0,0;0,0,0,0;0,0,FALSE,0;#N/A,#N/A,FALSE,0}</definedName>
    <definedName name="E">#REF!</definedName>
    <definedName name="easr" hidden="1">#REF!</definedName>
    <definedName name="edf" hidden="1">{#N/A,#N/A,FALSE,"ihz. icmal";#N/A,#N/A,FALSE,"avans";#N/A,#N/A,FALSE,"mal_FF_icm";#N/A,#N/A,FALSE,"fat_ihz";#N/A,#N/A,FALSE,"söz_fiy_fark";#N/A,#N/A,FALSE,"kap2"}</definedName>
    <definedName name="e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fedf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UR">YAİS_KATSAYILAR!$C$6</definedName>
    <definedName name="EUR_GPB">YAİS_KATSAYILAR!$C$11</definedName>
    <definedName name="EUR_USD">YAİS_KATSAYILAR!$C$8</definedName>
    <definedName name="F" hidden="1">{#N/A,#N/A,FALSE,"maff_h1";#N/A,#N/A,FALSE,"maff_h2";#N/A,#N/A,FALSE,"maff_h3";#N/A,#N/A,FALSE,"maff_h4";#N/A,#N/A,FALSE,"maff_h5";#N/A,#N/A,FALSE,"maff_h6";#N/A,#N/A,FALSE,"maff_h7"}</definedName>
    <definedName name="fd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fgd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fd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g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h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dsf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fdgfd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G">#REF!</definedName>
    <definedName name="ggg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ider">YAİS_KATSAYILAR!$C$13</definedName>
    <definedName name="ghgg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PB">YAİS_KATSAYILAR!$C$7</definedName>
    <definedName name="hkjhkj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TML_CodePage" hidden="1">1252</definedName>
    <definedName name="HTML_Control" hidden="1">{"'Appendix 3 Currency'!$A$1:$U$96"}</definedName>
    <definedName name="HTML_Description" hidden="1">""</definedName>
    <definedName name="HTML_Email" hidden="1">""</definedName>
    <definedName name="HTML_Header" hidden="1">"Appendix 3 Currency"</definedName>
    <definedName name="HTML_LastUpdate" hidden="1">"2/2/99"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"Q:\zteve\html\Files\cashflow.htm"</definedName>
    <definedName name="HTML_Title" hidden="1">"Cash Flow Form"</definedName>
    <definedName name="iii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İNCE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ŞÇK">YAİS_KATSAYILAR!$C$15</definedName>
    <definedName name="j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ALIP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kay" hidden="1">{#N/A,#N/A,FALSE,"kal_iç_ihz";#N/A,#N/A,FALSE,"kal_iç_er";#N/A,#N/A,FALSE,"kal_iç_tut"}</definedName>
    <definedName name="kjhk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k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KUR">#REF!</definedName>
    <definedName name="lkkkk" hidden="1">{#N/A,#N/A,FALSE,"müş_iç_ihz";#N/A,#N/A,FALSE,"müş_iç_er";#N/A,#N/A,FALSE,"müş_iç_tut"}</definedName>
    <definedName name="LK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NKJLKM" hidden="1">{#N/A,#N/A,FALSE,"kal_iç_ihz";#N/A,#N/A,FALSE,"kal_iç_er";#N/A,#N/A,FALSE,"kal_iç_tut"}</definedName>
    <definedName name="MAL.F.F.HESAP2" hidden="1">{#N/A,#N/A,FALSE,"ihz. icmal";#N/A,#N/A,FALSE,"avans";#N/A,#N/A,FALSE,"mal_FF_icm";#N/A,#N/A,FALSE,"fat_ihz";#N/A,#N/A,FALSE,"söz_fiy_fark";#N/A,#N/A,FALSE,"kap2"}</definedName>
    <definedName name="MAL.F.F.HESAP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3" hidden="1">{#N/A,#N/A,FALSE,"ihz. icmal";#N/A,#N/A,FALSE,"avans";#N/A,#N/A,FALSE,"mal_FF_icm";#N/A,#N/A,FALSE,"fat_ihz";#N/A,#N/A,FALSE,"söz_fiy_fark";#N/A,#N/A,FALSE,"kap2"}</definedName>
    <definedName name="MAL.F.F4" hidden="1">{#N/A,#N/A,FALSE,"ihz. icmal";#N/A,#N/A,FALSE,"avans";#N/A,#N/A,FALSE,"mal_FF_icm";#N/A,#N/A,FALSE,"fat_ihz";#N/A,#N/A,FALSE,"söz_fiy_fark";#N/A,#N/A,FALSE,"kap2"}</definedName>
    <definedName name="ME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metin" hidden="1">[5]Cash2!$G$16:$G$31</definedName>
    <definedName name="nn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nn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ok" hidden="1">[5]Z!$T$180:$AH$180</definedName>
    <definedName name="OSM" hidden="1">{#N/A,#N/A,FALSE,"TELEFON"}</definedName>
    <definedName name="öççç" hidden="1">{#N/A,#N/A,FALSE,"kal_iç_ihz";#N/A,#N/A,FALSE,"kal_iç_er";#N/A,#N/A,FALSE,"kal_iç_tut"}</definedName>
    <definedName name="P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parite">#REF!</definedName>
    <definedName name="pc" hidden="1">{#N/A,#N/A,FALSE,"elk_iç_er";#N/A,#N/A,FALSE,"elk_iç_tut";#N/A,#N/A,FALSE,"elk_iç_ihz"}</definedName>
    <definedName name="pp" hidden="1">[5]Cash2!$J$16:$J$36</definedName>
    <definedName name="pppp" hidden="1">[5]Cash2!$K$16:$K$36</definedName>
    <definedName name="pppppppp" hidden="1">[7]Sheet1!#REF!,[7]Sheet1!#REF!</definedName>
    <definedName name="RESİM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rr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rt" hidden="1">#REF!</definedName>
    <definedName name="S.Alacan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HAKAN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asd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carce" hidden="1">{#N/A,#N/A,FALSE,"Summary";#N/A,#N/A,FALSE,"3TJ";#N/A,#N/A,FALSE,"3TN";#N/A,#N/A,FALSE,"3TP";#N/A,#N/A,FALSE,"3SJ";#N/A,#N/A,FALSE,"3CJ";#N/A,#N/A,FALSE,"3CN";#N/A,#N/A,FALSE,"3CP";#N/A,#N/A,FALSE,"3A"}</definedName>
    <definedName name="s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sd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vices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fff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olver_adj" hidden="1">#REF!,#REF!</definedName>
    <definedName name="solver_lin" hidden="1">0</definedName>
    <definedName name="solver_num" hidden="1">0</definedName>
    <definedName name="solver_rel10" hidden="1">2</definedName>
    <definedName name="solver_rel11" hidden="1">2</definedName>
    <definedName name="solver_rel5" hidden="1">2</definedName>
    <definedName name="solver_rel6" hidden="1">2</definedName>
    <definedName name="solver_rel7" hidden="1">2</definedName>
    <definedName name="solver_rel8" hidden="1">2</definedName>
    <definedName name="solver_rel9" hidden="1">2</definedName>
    <definedName name="solver_rhs10" hidden="1">315430</definedName>
    <definedName name="solver_rhs11" hidden="1">284920</definedName>
    <definedName name="solver_tmp" hidden="1">#REF!,#REF!</definedName>
    <definedName name="solver_typ" hidden="1">3</definedName>
    <definedName name="solver_val" hidden="1">22000000000</definedName>
    <definedName name="SSS" hidden="1">{#N/A,#N/A,FALSE,"ihz. icmal";#N/A,#N/A,FALSE,"avans";#N/A,#N/A,FALSE,"mal_FF_icm";#N/A,#N/A,FALSE,"fat_ihz";#N/A,#N/A,FALSE,"söz_fiy_fark";#N/A,#N/A,FALSE,"kap2"}</definedName>
    <definedName name="ssshh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" hidden="1">{#N/A,#N/A,FALSE,"ihz. icmal";#N/A,#N/A,FALSE,"avans";#N/A,#N/A,FALSE,"mal_FF_icm";#N/A,#N/A,FALSE,"fat_ihz";#N/A,#N/A,FALSE,"söz_fiy_fark";#N/A,#N/A,FALSE,"kap2"}</definedName>
    <definedName name="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sss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ssss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ŞAN.DIŞ.İHZ.TUT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eklif">#REF!</definedName>
    <definedName name="TEKLİFCİ">#REF!</definedName>
    <definedName name="TEKLİFCİ_">#REF!</definedName>
    <definedName name="TEKLİFH">#REF!</definedName>
    <definedName name="test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TT">#REF!</definedName>
    <definedName name="TTT">#REF!</definedName>
    <definedName name="TURGUT" hidden="1">{"turbine",#N/A,FALSE,"Option"}</definedName>
    <definedName name="turgutac" hidden="1">{#N/A,#N/A,TRUE,"arnitower";#N/A,#N/A,TRUE,"arnigarage "}</definedName>
    <definedName name="u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UJDH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SD">YAİS_KATSAYILAR!$C$5</definedName>
    <definedName name="USD_EUR">YAİS_KATSAYILAR!$C$9</definedName>
    <definedName name="USD_GPB">YAİS_KATSAYILAR!$C$10</definedName>
    <definedName name="uuu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YI" hidden="1">{#N/A,#N/A,FALSE,"elk_iç_er";#N/A,#N/A,FALSE,"elk_iç_tut";#N/A,#N/A,FALSE,"elk_iç_ihz"}</definedName>
    <definedName name="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Variatio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ur" hidden="1">#REF!</definedName>
    <definedName name="vural" hidden="1">#REF!</definedName>
    <definedName name="v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ad" hidden="1">#REF!</definedName>
    <definedName name="weq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age._.ihzarat." hidden="1">{#N/A,#N/A,FALSE,"ihz. icmal";#N/A,#N/A,FALSE,"avans";#N/A,#N/A,FALSE,"mal_FF_icm";#N/A,#N/A,FALSE,"fat_ihz";#N/A,#N/A,FALSE,"söz_fiy_fark";#N/A,#N/A,FALSE,"kap2"}</definedName>
    <definedName name="wrn.age._.imalat.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ll.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_.lines." hidden="1">{#N/A,#N/A,FALSE,"Summary";#N/A,#N/A,FALSE,"3TJ";#N/A,#N/A,FALSE,"3TN";#N/A,#N/A,FALSE,"3TP";#N/A,#N/A,FALSE,"3SJ";#N/A,#N/A,FALSE,"3CJ";#N/A,#N/A,FALSE,"3CN";#N/A,#N/A,FALSE,"3CP";#N/A,#N/A,FALSE,"3A"}</definedName>
    <definedName name="wrn.ayrap.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wrn.Barbara._.Modular._.Indirects.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h." hidden="1">{#N/A,#N/A,FALSE,"TELEFON"}</definedName>
    <definedName name="wrn.bh1." hidden="1">{#N/A,#N/A,FALSE,"TELEFON"}</definedName>
    <definedName name="wrn.BIMAL.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rn.canon." hidden="1">{#N/A,#N/A,FALSE,"95 YILI SAT-MAL";#N/A,#N/A,FALSE,"1995 CIRO";#N/A,#N/A,FALSE,"1994-1995 ÜRETİM KARŞ.";#N/A,#N/A,FALSE,"NAK.XLS";#N/A,#N/A,FALSE,"1995 NAKITBAKIYE";#N/A,#N/A,FALSE,"AYLIK ÜRETİM";#N/A,#N/A,FALSE,"AYLIK MALİYET";#N/A,#N/A,FALSE,"AYLIK M2";#N/A,#N/A,FALSE,"AYLIK ADAMSAAT";#N/A,#N/A,FALSE,"ÜRETİM";#N/A,#N/A,FALSE,"ÜRETİM MALİYETİ";#N/A,#N/A,FALSE,"M2 İMALAT";#N/A,#N/A,FALSE,"ADAM-SAAT TABLOSU";#N/A,#N/A,FALSE,"KREDİ TL"}</definedName>
    <definedName name="wrn.CHIEF._.REVIEW." hidden="1">{#N/A,#N/A,FALSE,"Q&amp;AE";#N/A,#N/A,FALSE,"Params";#N/A,#N/A,FALSE,"ReconE";#N/A,#N/A,FALSE,"CostCompE";#N/A,#N/A,FALSE,"SummaryE";#N/A,#N/A,FALSE,"Detail";#N/A,#N/A,FALSE,"PayItem"}</definedName>
    <definedName name="wrn.CIRCUITS." hidden="1">{"DBANK",#N/A,FALSE,"PriceE";"CKTS",#N/A,FALSE,"PriceE"}</definedName>
    <definedName name="wrn.COST_SHEETS." hidden="1">{#N/A,#N/A,FALSE,"WBS 1.06";#N/A,#N/A,FALSE,"WBS 1.14";#N/A,#N/A,FALSE,"WBS 1.17";#N/A,#N/A,FALSE,"WBS 1.18"}</definedName>
    <definedName name="wrn.dış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malat.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lektrik_iç." hidden="1">{#N/A,#N/A,FALSE,"elk_iç_er";#N/A,#N/A,FALSE,"elk_iç_tut";#N/A,#N/A,FALSE,"elk_iç_ihz"}</definedName>
    <definedName name="wrn.FINAL._.ESTIMATE." hidden="1">{#N/A,#N/A,FALSE,"ProjInfo";#N/A,#N/A,FALSE,"Params";#N/A,#N/A,FALSE,"Q&amp;AE";#N/A,#N/A,FALSE,"CostCompE";#N/A,#N/A,FALSE,"SummaryE";#N/A,#N/A,FALSE,"PayItem";#N/A,#N/A,FALSE,"Detail";#N/A,#N/A,FALSE,"ReconE"}</definedName>
    <definedName name="wrn.FIZIB.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uel._.oil._.option." hidden="1">{"FUEL OIL",#N/A,FALSE,"Option"}</definedName>
    <definedName name="wrn.gecici." hidden="1">{#N/A,#N/A,FALSE,"avans";#N/A,#N/A,FALSE,"teminat_mektubu";#N/A,#N/A,FALSE,"ihz. icmal";#N/A,#N/A,FALSE,"söz_fiy_fark";#N/A,#N/A,FALSE,"kap2";#N/A,#N/A,FALSE,"mal_FF_icm";#N/A,#N/A,FALSE,"kap1"}</definedName>
    <definedName name="wrn.HAK1.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wrn.hakkari._.imalat.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ihzarat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nsaat_ic." hidden="1">{#N/A,#N/A,FALSE,"inş_iç_ihz";#N/A,#N/A,FALSE,"inş_iç_er";#N/A,#N/A,FALSE,"inş_iç_tut"}</definedName>
    <definedName name="wrn.kalorifer_ic." hidden="1">{#N/A,#N/A,FALSE,"kal_iç_ihz";#N/A,#N/A,FALSE,"kal_iç_er";#N/A,#N/A,FALSE,"kal_iç_tut"}</definedName>
    <definedName name="wrn.kocoglu._.ihzarat." hidden="1">{#N/A,#N/A,FALSE,"kap1";#N/A,#N/A,FALSE,"kap2";#N/A,#N/A,FALSE,"avans";#N/A,#N/A,FALSE,"teminat_mektubu";#N/A,#N/A,FALSE,"söz_fiy_fark";#N/A,#N/A,FALSE,"fat_ihz";#N/A,#N/A,FALSE,"mal_FF_icm";#N/A,#N/A,FALSE,"çim_fiy_farkı";#N/A,#N/A,FALSE,"ihz. icmal";#N/A,#N/A,FALSE,"inş_iç_ihz";#N/A,#N/A,FALSE,"inş_iç_er";#N/A,#N/A,FALSE,"inş_iç_tut";#N/A,#N/A,FALSE,"inş_dış_ihz";#N/A,#N/A,FALSE,"inş_dış_tut";#N/A,#N/A,FALSE,"sıh_iç_ihz";#N/A,#N/A,FALSE,"sıh_iç_er";#N/A,#N/A,FALSE,"sıh_iç_tut";#N/A,#N/A,FALSE,"müş_iç_ihz";#N/A,#N/A,FALSE,"müş_iç_er";#N/A,#N/A,FALSE,"müş_iç_tut";#N/A,#N/A,FALSE,"kal_iç_ihz";#N/A,#N/A,FALSE,"kal_iç_er";#N/A,#N/A,FALSE,"kal_iç_tut";#N/A,#N/A,FALSE,"kal_dış_ihz";#N/A,#N/A,FALSE,"kal_dış_tut";#N/A,#N/A,FALSE,"elk_iç_ihz";#N/A,#N/A,FALSE,"elk_iç_er";#N/A,#N/A,FALSE,"elk_iç_tut"}</definedName>
    <definedName name="wrn.kocoglu._.imalat.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maff_report." hidden="1">{#N/A,#N/A,FALSE,"maff_h1";#N/A,#N/A,FALSE,"maff_h2";#N/A,#N/A,FALSE,"maff_h3";#N/A,#N/A,FALSE,"maff_h4";#N/A,#N/A,FALSE,"maff_h5";#N/A,#N/A,FALSE,"maff_h6";#N/A,#N/A,FALSE,"maff_h7"}</definedName>
    <definedName name="wrn.MEL." hidden="1">{#N/A,#N/A,FALSE,"BİRİKİMLİ SATIŞLAR";#N/A,#N/A,FALSE,"BİRİKİMLİ MALİYET";#N/A,#N/A,FALSE,"ERYAMAN B2 TABLOSU";#N/A,#N/A,FALSE,"ERYAMAN B4 TABLOSU";#N/A,#N/A,FALSE,"ÇAYYOLU";#N/A,#N/A,FALSE,"ESBANK ";#N/A,#N/A,FALSE,"İÇERENKÖY 2.KISIM";#N/A,#N/A,FALSE,"ÇİFTEHAVUZ";#N/A,#N/A,FALSE,"HASTAHANE TABLOSU";#N/A,#N/A,FALSE,"RUSYA TABLOSU";#N/A,#N/A,FALSE,"İÇERENKÖY TABLOSU";#N/A,#N/A,FALSE,"ATATÜRK TABLOSU";#N/A,#N/A,FALSE,"KONSOLİDE TABLO";#N/A,#N/A,FALSE,"GEL-GİDER KARŞILAŞTIRMASI";#N/A,#N/A,FALSE,"BIRIKIMLI- NAKIT";#N/A,#N/A,FALSE,"AYLIK NAKİT";#N/A,#N/A,FALSE,"ÜCRETLER";#N/A,#N/A,FALSE,"ŞANTİYELER DETAY TABLOLARI";#N/A,#N/A,FALSE,"MALİ TABLOLAR";#N/A,#N/A,FALSE,"PERFORMANS TAB.";#N/A,#N/A,FALSE,"KARŞILAŞTIRMALI DEĞERLENDİRME";#N/A,#N/A,FALSE,"YILLARA YAYGI DEĞER.";#N/A,#N/A,FALSE,"YILLIK DEĞERLENDİRME";#N/A,#N/A,FALSE,"NAKİT AKIM TABLOSU";#N/A,#N/A,FALSE,"ATATÜRK";#N/A,#N/A,FALSE,"ERYAMAN";#N/A,#N/A,FALSE,"İÇERENKÖY";#N/A,#N/A,FALSE,"HAYDARPAŞA";#N/A,#N/A,FALSE,"YILLIK DEĞERLENDİRME";#N/A,#N/A,FALSE,"NAKİT GİRİŞ- ÇIKIŞ";#N/A,#N/A,FALSE,"GENEL YÖNETİM GİDERLERİ (2)";#N/A,#N/A,FALSE,"SATIŞLAR"}</definedName>
    <definedName name="wrn.musterek_ic." hidden="1">{#N/A,#N/A,FALSE,"müş_iç_ihz";#N/A,#N/A,FALSE,"müş_iç_er";#N/A,#N/A,FALSE,"müş_iç_tut"}</definedName>
    <definedName name="wrn.müşterek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oztas._.imalat.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PrintallD.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Redundant._.Equipment._.Option." hidden="1">{"pumps",#N/A,FALSE,"Option"}</definedName>
    <definedName name="wrn.sihhi_ic." hidden="1">{#N/A,#N/A,FALSE,"sıh_iç_ihz";#N/A,#N/A,FALSE,"sıh_iç_er";#N/A,#N/A,FALSE,"sıh_iç_tut"}</definedName>
    <definedName name="wrn.sirnak._.imalat.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TG._.BLDG._.ENCLOSURE." hidden="1">{"turbine",#N/A,FALSE,"Option"}</definedName>
    <definedName name="wrn.struckgi." hidden="1">{#N/A,#N/A,TRUE,"arnitower";#N/A,#N/A,TRUE,"arnigarage "}</definedName>
    <definedName name="wrn.WHOUSE._.CT." hidden="1">{"WESTINGHOUSE",#N/A,FALSE,"Option"}</definedName>
    <definedName name="ww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wwwwwwwwwwwwwww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yapiimar" hidden="1">{#N/A,#N/A,FALSE,"ihz. icmal";#N/A,#N/A,FALSE,"avans";#N/A,#N/A,FALSE,"mal_FF_icm";#N/A,#N/A,FALSE,"fat_ihz";#N/A,#N/A,FALSE,"söz_fiy_fark";#N/A,#N/A,FALSE,"kap2"}</definedName>
    <definedName name="yas" hidden="1">#REF!</definedName>
    <definedName name="yasin" hidden="1">#REF!</definedName>
    <definedName name="_xlnm.Print_Area" localSheetId="0">'TEKLİF(YSS)'!$A$2:$H$80</definedName>
    <definedName name="_xlnm.Print_Titles" localSheetId="0">'TEKLİF(YSS)'!$2:$9</definedName>
    <definedName name="zs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z" hidden="1">{#N/A,#N/A,FALSE,"SumD";#N/A,#N/A,FALSE,"ElecD";#N/A,#N/A,FALSE,"MechD";#N/A,#N/A,FALSE,"GeotD";#N/A,#N/A,FALSE,"PrcsD";#N/A,#N/A,FALSE,"TunnD";#N/A,#N/A,FALSE,"CivlD";#N/A,#N/A,FALSE,"NtwkD";#N/A,#N/A,FALSE,"EstgD";#N/A,#N/A,FALSE,"PEngD"}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89" l="1"/>
  <c r="H27" i="89"/>
  <c r="F79" i="89"/>
  <c r="F27" i="89"/>
  <c r="F63" i="89"/>
  <c r="F62" i="89"/>
  <c r="F17" i="89"/>
  <c r="F16" i="89"/>
  <c r="F36" i="89"/>
  <c r="H43" i="89"/>
  <c r="F12" i="89"/>
  <c r="H74" i="89"/>
  <c r="H73" i="89"/>
  <c r="H72" i="89"/>
  <c r="H71" i="89"/>
  <c r="H70" i="89"/>
  <c r="H69" i="89"/>
  <c r="H67" i="89"/>
  <c r="H66" i="89"/>
  <c r="H61" i="89"/>
  <c r="H60" i="89"/>
  <c r="H59" i="89"/>
  <c r="H58" i="89"/>
  <c r="H57" i="89"/>
  <c r="F61" i="89"/>
  <c r="F60" i="89"/>
  <c r="F59" i="89"/>
  <c r="F58" i="89"/>
  <c r="F57" i="89"/>
  <c r="H53" i="89"/>
  <c r="H51" i="89"/>
  <c r="H52" i="89"/>
  <c r="H50" i="89"/>
  <c r="H49" i="89"/>
  <c r="H48" i="89"/>
  <c r="H47" i="89"/>
  <c r="H46" i="89"/>
  <c r="H45" i="89"/>
  <c r="H44" i="89"/>
  <c r="H41" i="89"/>
  <c r="H39" i="89"/>
  <c r="H38" i="89"/>
  <c r="F39" i="89"/>
  <c r="F38" i="89"/>
  <c r="H34" i="89"/>
  <c r="H33" i="89"/>
  <c r="H32" i="89"/>
  <c r="H31" i="89"/>
  <c r="H30" i="89"/>
  <c r="F34" i="89"/>
  <c r="F33" i="89"/>
  <c r="F32" i="89"/>
  <c r="F31" i="89"/>
  <c r="F30" i="89"/>
  <c r="F35" i="89" s="1"/>
  <c r="F26" i="89"/>
  <c r="H25" i="89"/>
  <c r="H24" i="89"/>
  <c r="H23" i="89"/>
  <c r="H20" i="89"/>
  <c r="H15" i="89"/>
  <c r="H14" i="89"/>
  <c r="H13" i="89"/>
  <c r="H12" i="89"/>
  <c r="F15" i="89"/>
  <c r="F14" i="89"/>
  <c r="F13" i="89"/>
  <c r="H79" i="89" l="1"/>
  <c r="C18" i="89"/>
  <c r="H18" i="89" s="1"/>
  <c r="C64" i="89" l="1"/>
  <c r="H64" i="89" s="1"/>
  <c r="C37" i="89"/>
  <c r="H37" i="89" s="1"/>
  <c r="C11" i="11" l="1"/>
  <c r="C10" i="11"/>
  <c r="C9" i="11"/>
  <c r="C8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Sorgu - tcmb gov tr" description="Çalışma kitabındaki 'tcmb gov tr' sorgusuna yönelik bağlantı." type="5" refreshedVersion="6" background="1">
    <dbPr connection="Provider=Microsoft.Mashup.OleDb.1;Data Source=$Workbook$;Location=&quot;tcmb gov tr&quot;;Extended Properties=&quot;&quot;" command="SELECT * FROM [tcmb gov tr]"/>
  </connection>
</connections>
</file>

<file path=xl/sharedStrings.xml><?xml version="1.0" encoding="utf-8"?>
<sst xmlns="http://schemas.openxmlformats.org/spreadsheetml/2006/main" count="1297" uniqueCount="107">
  <si>
    <t>EURO</t>
  </si>
  <si>
    <t>KAR</t>
  </si>
  <si>
    <t>Safe</t>
  </si>
  <si>
    <t>Teklif Para Birimi</t>
  </si>
  <si>
    <t>PARİTELER</t>
  </si>
  <si>
    <t xml:space="preserve">MARKA KAR ORANLARI </t>
  </si>
  <si>
    <t>İŞÇİLİK KAR ORANI</t>
  </si>
  <si>
    <t>İŞÇK</t>
  </si>
  <si>
    <t>http://www.tcmb.gov.tr/kurlar/today.xml</t>
  </si>
  <si>
    <t>GENELGİDER</t>
  </si>
  <si>
    <t>Ggider</t>
  </si>
  <si>
    <t>USD</t>
  </si>
  <si>
    <t>GPB</t>
  </si>
  <si>
    <t>MALZEMELER</t>
  </si>
  <si>
    <t>MASRAF</t>
  </si>
  <si>
    <t>TOPLAM</t>
  </si>
  <si>
    <t>EUR</t>
  </si>
  <si>
    <t>EUR/USD</t>
  </si>
  <si>
    <t>USD/EUR</t>
  </si>
  <si>
    <t>USD/GPB</t>
  </si>
  <si>
    <t>EUR/GPB</t>
  </si>
  <si>
    <t>Det-Tronics</t>
  </si>
  <si>
    <t>Detect-A-Fıre</t>
  </si>
  <si>
    <t>OnurFix</t>
  </si>
  <si>
    <t>E2S</t>
  </si>
  <si>
    <t>Lokal</t>
  </si>
  <si>
    <t>Phoenix Cont.</t>
  </si>
  <si>
    <t>Apollo</t>
  </si>
  <si>
    <t>Kac</t>
  </si>
  <si>
    <t>Texecom</t>
  </si>
  <si>
    <t>Emo-Ayvaz</t>
  </si>
  <si>
    <t>eayokkali</t>
  </si>
  <si>
    <t>Can Altıparmakoğlu</t>
  </si>
  <si>
    <t>erman</t>
  </si>
  <si>
    <t>İŞÇİLİK BİRİM FİYAT</t>
  </si>
  <si>
    <t xml:space="preserve">İŞÇİLİK TOPLAM FİYAT </t>
  </si>
  <si>
    <t>MIKTAR</t>
  </si>
  <si>
    <t>1</t>
  </si>
  <si>
    <t>birkan</t>
  </si>
  <si>
    <t>MARKA / MODEL</t>
  </si>
  <si>
    <t xml:space="preserve">AÇIKLAMA                    </t>
  </si>
  <si>
    <t>m</t>
  </si>
  <si>
    <t>ad</t>
  </si>
  <si>
    <t>Çayırova</t>
  </si>
  <si>
    <t>Siyah Çelik Borular,PN16,TS EN 10255</t>
  </si>
  <si>
    <t>Yivli fitting</t>
  </si>
  <si>
    <t>set</t>
  </si>
  <si>
    <t>Ayvaz</t>
  </si>
  <si>
    <t>Dişli fitting</t>
  </si>
  <si>
    <t>Boru boyama İşlemi</t>
  </si>
  <si>
    <t>Support imalatı &amp; Askılama</t>
  </si>
  <si>
    <t>Yatay-Düşey taşıma,yükseltici platformlar,Nakliye</t>
  </si>
  <si>
    <t>FIRMA-G</t>
  </si>
  <si>
    <t>SPRİNKLER SİSTEMİ</t>
  </si>
  <si>
    <t>6"</t>
  </si>
  <si>
    <t>4"</t>
  </si>
  <si>
    <t>11/2"</t>
  </si>
  <si>
    <t>6" Islak Alarm Vanası,FF</t>
  </si>
  <si>
    <t>Vana Grubu &amp; Sprinkler</t>
  </si>
  <si>
    <t>Sprinkler,K115,Upr.,68°C,3/4",QR,BR</t>
  </si>
  <si>
    <r>
      <t xml:space="preserve">Sprinkler,K115,Upr.,68°C,3/4",QR,BR </t>
    </r>
    <r>
      <rPr>
        <b/>
        <sz val="10"/>
        <rFont val="Aptos Narrow"/>
        <family val="2"/>
      </rPr>
      <t>( YEDEK )</t>
    </r>
  </si>
  <si>
    <t>Boru Boyama İşlemi</t>
  </si>
  <si>
    <t>Test&amp;Drain Vanası,11/2",K115</t>
  </si>
  <si>
    <t>Küresel Vana,11/2"</t>
  </si>
  <si>
    <t>TANK SAHASI KÖPÜKLÜ SÖNDÜRME SİSTEMİ</t>
  </si>
  <si>
    <t>8"</t>
  </si>
  <si>
    <t>3"</t>
  </si>
  <si>
    <t>Bladder Tank,250 Gal,4"Pre-piped,11/2" CV</t>
  </si>
  <si>
    <t>lt</t>
  </si>
  <si>
    <t>4" İzlemeli kelebek vana,FF</t>
  </si>
  <si>
    <t>4" Deluge Vana,FF ANSI,Elek.Aktv.,UL listed</t>
  </si>
  <si>
    <t>4" Swing Çekvalf,FF</t>
  </si>
  <si>
    <t>21/2"</t>
  </si>
  <si>
    <t>2"</t>
  </si>
  <si>
    <t>2" Hortum Vanası,Storz,Zincirli kapak dahil</t>
  </si>
  <si>
    <t>Sprinkler,K80,PD,1/2",BR,Openhead</t>
  </si>
  <si>
    <t>Köpüklü Yangın Dolabı</t>
  </si>
  <si>
    <t>TS EN 671-1,1" hortum,30m,köpük tankı ve 100 lt/dk melanjör dahil.</t>
  </si>
  <si>
    <t>Sır</t>
  </si>
  <si>
    <t>21/2" İzlemeli kelebek vana,FF</t>
  </si>
  <si>
    <t>21/2" Flow Switch</t>
  </si>
  <si>
    <t>OFİS KATLAR SPRİNKLER SİSTEMİ</t>
  </si>
  <si>
    <t>1"</t>
  </si>
  <si>
    <t>3" İzlemeli kelebek vana,FF</t>
  </si>
  <si>
    <t>3" Islak Alarm Vanası,FF</t>
  </si>
  <si>
    <t>Test&amp;Drain Vanası,1",K80</t>
  </si>
  <si>
    <t>21/2" Swing Çekvalf,GG</t>
  </si>
  <si>
    <t>Ø100,0-25 bar,alttan çıkışlı,manometre</t>
  </si>
  <si>
    <t>EA</t>
  </si>
  <si>
    <t>Yerli</t>
  </si>
  <si>
    <t>8" kollektöre ekleme yapılması</t>
  </si>
  <si>
    <t>Sprinkler,K80,PD,68°C,1/2",STD,WHT</t>
  </si>
  <si>
    <t>4" ANSI Flanş</t>
  </si>
  <si>
    <t>4" DIN Flanş</t>
  </si>
  <si>
    <r>
      <t xml:space="preserve">Köpük Konsantrasyonu,%3 </t>
    </r>
    <r>
      <rPr>
        <b/>
        <sz val="10"/>
        <rFont val="Aptos Narrow"/>
        <family val="2"/>
      </rPr>
      <t>AR-AFFF</t>
    </r>
    <r>
      <rPr>
        <sz val="10"/>
        <rFont val="Aptos Narrow"/>
        <family val="2"/>
      </rPr>
      <t xml:space="preserve">  3x3</t>
    </r>
  </si>
  <si>
    <t>Supervizorluk &amp; Test-Devreye Alma</t>
  </si>
  <si>
    <t>BKS</t>
  </si>
  <si>
    <t>BK</t>
  </si>
  <si>
    <t>SRV</t>
  </si>
  <si>
    <t>RVL</t>
  </si>
  <si>
    <t>RLV</t>
  </si>
  <si>
    <t>Sprinkler,K80,Upr.,68°C,1/2",STD</t>
  </si>
  <si>
    <t>yerli</t>
  </si>
  <si>
    <t xml:space="preserve"> GENEL İŞÇİLİK TOPLAM (TL):</t>
  </si>
  <si>
    <t>MALZEME BİRİM</t>
  </si>
  <si>
    <t>MALZEME TOPLAM</t>
  </si>
  <si>
    <t>GENEL 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</si>
</sst>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4" formatCode="_-&quot;₺&quot;* #,##0.00_-;\-&quot;₺&quot;* #,##0.00_-;_-&quot;₺&quot;* &quot;-&quot;??_-;_-@_-"/>
    <numFmt numFmtId="164" formatCode="_(* #,##0.00_);_(* \(#,##0.00\);_(* &quot;-&quot;??_);_(@_)"/>
    <numFmt numFmtId="165" formatCode="_-* #,##0.00\ &quot;₺&quot;_-;\-* #,##0.00\ &quot;₺&quot;_-;_-* &quot;-&quot;??\ &quot;₺&quot;_-;_-@_-"/>
    <numFmt numFmtId="166" formatCode="_-* #,##0.00\ _₺_-;\-* #,##0.00\ _₺_-;_-* &quot;-&quot;??\ _₺_-;_-@_-"/>
    <numFmt numFmtId="167" formatCode="&quot;$&quot;#,##0_);\(&quot;$&quot;#,##0\)"/>
    <numFmt numFmtId="168" formatCode="_(&quot;$&quot;* #,##0.00_);_(&quot;$&quot;* \(#,##0.00\);_(&quot;$&quot;* &quot;-&quot;??_);_(@_)"/>
    <numFmt numFmtId="169" formatCode="&quot;£&quot;#,##0.00;[Red]\-&quot;£&quot;#,##0.00"/>
    <numFmt numFmtId="170" formatCode="_-&quot;£&quot;* #,##0.00_-;\-&quot;£&quot;* #,##0.00_-;_-&quot;£&quot;* &quot;-&quot;??_-;_-@_-"/>
    <numFmt numFmtId="171" formatCode="_-* #,##0\ _T_L_-;\-* #,##0\ _T_L_-;_-* &quot;-&quot;\ _T_L_-;_-@_-"/>
    <numFmt numFmtId="172" formatCode="_-* #,##0.00\ &quot;TL&quot;_-;\-* #,##0.00\ &quot;TL&quot;_-;_-* &quot;-&quot;??\ &quot;TL&quot;_-;_-@_-"/>
    <numFmt numFmtId="173" formatCode="_-* #,##0.00\ _T_L_-;\-* #,##0.00\ _T_L_-;_-* &quot;-&quot;??\ _T_L_-;_-@_-"/>
    <numFmt numFmtId="174" formatCode="0.000%"/>
    <numFmt numFmtId="175" formatCode="_-* #,##0.00\ &quot;€&quot;_-;\-* #,##0.00\ &quot;€&quot;_-;_-* &quot;-&quot;??\ &quot;€&quot;_-;_-@_-"/>
    <numFmt numFmtId="176" formatCode="#."/>
    <numFmt numFmtId="177" formatCode="_ * #,##0_ ;_ * \-#,##0_ ;_ * &quot;-&quot;_ ;_ @_ "/>
    <numFmt numFmtId="178" formatCode="_ * #,##0.00_ ;_ * \-#,##0.00_ ;_ * &quot;-&quot;??_ ;_ @_ "/>
    <numFmt numFmtId="179" formatCode="#,##0.00\ [$DM-407]"/>
    <numFmt numFmtId="180" formatCode="_-* #,##0\ _F_-;\-* #,##0\ _F_-;_-* &quot;-&quot;\ _F_-;_-@_-"/>
    <numFmt numFmtId="181" formatCode="_-* #,##0.00\ _F_-;\-* #,##0.00\ _F_-;_-* &quot;-&quot;??\ _F_-;_-@_-"/>
    <numFmt numFmtId="182" formatCode="&quot;See Note &quot;\ #"/>
    <numFmt numFmtId="183" formatCode="\$\ #,##0"/>
    <numFmt numFmtId="184" formatCode="0.00_)"/>
    <numFmt numFmtId="185" formatCode="0.00;[Red]0.00"/>
    <numFmt numFmtId="186" formatCode="&quot;$&quot;#.#"/>
    <numFmt numFmtId="187" formatCode="[&lt;=9999999]###\-####;0###\ ###\ ##\ ##"/>
    <numFmt numFmtId="188" formatCode="dd/mm/yyyy;dd/mm/yyyy;\-"/>
    <numFmt numFmtId="189" formatCode="0.00;#,000;\-"/>
    <numFmt numFmtId="190" formatCode="#,##0.00\ &quot;EUR&quot;"/>
    <numFmt numFmtId="191" formatCode="#,##0.00\ &quot;TL&quot;"/>
    <numFmt numFmtId="192" formatCode="#,##0.00&quot;TL&quot;"/>
  </numFmts>
  <fonts count="8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Helv"/>
      <charset val="204"/>
    </font>
    <font>
      <sz val="10"/>
      <name val="Arial"/>
      <family val="2"/>
      <charset val="162"/>
    </font>
    <font>
      <sz val="10"/>
      <name val="Arial Tur"/>
      <charset val="162"/>
    </font>
    <font>
      <sz val="11"/>
      <color indexed="8"/>
      <name val="Calibri"/>
      <family val="2"/>
    </font>
    <font>
      <b/>
      <sz val="10"/>
      <name val="Arial"/>
      <family val="2"/>
      <charset val="162"/>
    </font>
    <font>
      <sz val="10"/>
      <color indexed="8"/>
      <name val="Arial Tur"/>
    </font>
    <font>
      <sz val="11"/>
      <color indexed="8"/>
      <name val="Calibri"/>
      <family val="2"/>
      <charset val="16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 Tur"/>
    </font>
    <font>
      <sz val="10"/>
      <name val="Arial"/>
      <family val="2"/>
      <charset val="204"/>
    </font>
    <font>
      <b/>
      <sz val="10"/>
      <name val="MS Sans Serif"/>
      <family val="2"/>
      <charset val="162"/>
    </font>
    <font>
      <sz val="10"/>
      <color indexed="0"/>
      <name val="MS Sans Serif"/>
      <family val="2"/>
      <charset val="162"/>
    </font>
    <font>
      <b/>
      <sz val="12"/>
      <name val="Times New Roman Tur"/>
      <family val="1"/>
      <charset val="162"/>
    </font>
    <font>
      <sz val="8"/>
      <name val="Arial"/>
      <family val="2"/>
    </font>
    <font>
      <sz val="14"/>
      <name val="Times New Roman"/>
      <family val="1"/>
      <charset val="162"/>
    </font>
    <font>
      <sz val="11"/>
      <color indexed="9"/>
      <name val="Calibri"/>
      <family val="2"/>
      <charset val="162"/>
    </font>
    <font>
      <i/>
      <sz val="11"/>
      <color indexed="23"/>
      <name val="Calibri"/>
      <family val="2"/>
      <charset val="162"/>
    </font>
    <font>
      <sz val="11"/>
      <color indexed="52"/>
      <name val="Calibri"/>
      <family val="2"/>
      <charset val="162"/>
    </font>
    <font>
      <b/>
      <sz val="11"/>
      <color indexed="63"/>
      <name val="Calibri"/>
      <family val="2"/>
      <charset val="162"/>
    </font>
    <font>
      <sz val="11"/>
      <color indexed="62"/>
      <name val="Calibri"/>
      <family val="2"/>
      <charset val="162"/>
    </font>
    <font>
      <b/>
      <sz val="11"/>
      <color indexed="52"/>
      <name val="Calibri"/>
      <family val="2"/>
      <charset val="162"/>
    </font>
    <font>
      <b/>
      <sz val="11"/>
      <color indexed="9"/>
      <name val="Calibri"/>
      <family val="2"/>
      <charset val="162"/>
    </font>
    <font>
      <sz val="11"/>
      <color indexed="17"/>
      <name val="Calibri"/>
      <family val="2"/>
      <charset val="162"/>
    </font>
    <font>
      <sz val="11"/>
      <color indexed="20"/>
      <name val="Calibri"/>
      <family val="2"/>
      <charset val="162"/>
    </font>
    <font>
      <sz val="11"/>
      <color indexed="60"/>
      <name val="Calibri"/>
      <family val="2"/>
      <charset val="162"/>
    </font>
    <font>
      <sz val="11"/>
      <color indexed="10"/>
      <name val="Calibri"/>
      <family val="2"/>
      <charset val="162"/>
    </font>
    <font>
      <sz val="1"/>
      <color indexed="16"/>
      <name val="Courier"/>
      <family val="1"/>
      <charset val="162"/>
    </font>
    <font>
      <b/>
      <sz val="11"/>
      <color indexed="56"/>
      <name val="Calibri"/>
      <family val="2"/>
      <charset val="162"/>
    </font>
    <font>
      <b/>
      <sz val="1"/>
      <color indexed="16"/>
      <name val="Courier"/>
      <family val="1"/>
      <charset val="162"/>
    </font>
    <font>
      <sz val="10"/>
      <name val="Tahoma"/>
      <family val="2"/>
    </font>
    <font>
      <sz val="10"/>
      <name val="Arial Tur"/>
      <family val="2"/>
      <charset val="162"/>
    </font>
    <font>
      <b/>
      <sz val="18"/>
      <color indexed="56"/>
      <name val="Cambria"/>
      <family val="2"/>
      <charset val="162"/>
    </font>
    <font>
      <b/>
      <sz val="14"/>
      <name val="Arial"/>
      <family val="2"/>
      <charset val="162"/>
    </font>
    <font>
      <sz val="10"/>
      <name val="Helv"/>
    </font>
    <font>
      <sz val="9.75"/>
      <name val="Helv"/>
    </font>
    <font>
      <sz val="8"/>
      <name val="Times New Roman"/>
      <family val="1"/>
      <charset val="162"/>
    </font>
    <font>
      <sz val="10"/>
      <color indexed="8"/>
      <name val="Arial"/>
      <family val="2"/>
    </font>
    <font>
      <i/>
      <sz val="8"/>
      <name val="Arial Narrow"/>
      <family val="2"/>
      <charset val="162"/>
    </font>
    <font>
      <i/>
      <sz val="10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8"/>
      <name val="Times New Roman"/>
      <family val="1"/>
      <charset val="162"/>
    </font>
    <font>
      <b/>
      <sz val="12"/>
      <name val="Arial"/>
      <family val="2"/>
    </font>
    <font>
      <sz val="9.75"/>
      <name val="Arial"/>
      <family val="2"/>
      <charset val="162"/>
    </font>
    <font>
      <sz val="12"/>
      <name val="Arial"/>
      <family val="2"/>
      <charset val="162"/>
    </font>
    <font>
      <i/>
      <sz val="10"/>
      <name val="Arial"/>
      <family val="2"/>
      <charset val="162"/>
    </font>
    <font>
      <b/>
      <sz val="9.75"/>
      <name val="Arial"/>
      <family val="2"/>
    </font>
    <font>
      <b/>
      <i/>
      <sz val="16"/>
      <name val="Helv"/>
    </font>
    <font>
      <sz val="10"/>
      <name val="Arial Narrow"/>
      <family val="2"/>
      <charset val="162"/>
    </font>
    <font>
      <sz val="8"/>
      <name val="Helv"/>
    </font>
    <font>
      <b/>
      <sz val="10"/>
      <name val="Times New Roman"/>
      <family val="1"/>
    </font>
    <font>
      <u/>
      <sz val="10"/>
      <color theme="10"/>
      <name val="Arial Tur"/>
    </font>
    <font>
      <sz val="10"/>
      <color rgb="FF000000"/>
      <name val="Times New Roman"/>
      <family val="1"/>
      <charset val="162"/>
    </font>
    <font>
      <sz val="11"/>
      <color theme="0"/>
      <name val="Calibri"/>
      <family val="2"/>
      <charset val="162"/>
      <scheme val="minor"/>
    </font>
    <font>
      <u/>
      <sz val="12"/>
      <color indexed="12"/>
      <name val="Arial MT"/>
    </font>
    <font>
      <b/>
      <sz val="10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sz val="11"/>
      <color theme="0" tint="-0.34998626667073579"/>
      <name val="Calibri"/>
      <family val="2"/>
      <charset val="162"/>
      <scheme val="minor"/>
    </font>
    <font>
      <b/>
      <sz val="10"/>
      <color theme="0" tint="-0.34998626667073579"/>
      <name val="Calibri"/>
      <family val="2"/>
      <charset val="162"/>
      <scheme val="minor"/>
    </font>
    <font>
      <sz val="10"/>
      <name val="Arial"/>
      <family val="2"/>
      <charset val="162"/>
    </font>
    <font>
      <sz val="10"/>
      <name val="Calibri"/>
      <family val="2"/>
      <charset val="162"/>
      <scheme val="minor"/>
    </font>
    <font>
      <sz val="10"/>
      <color rgb="FFFF0000"/>
      <name val="Calibri"/>
      <family val="2"/>
      <charset val="162"/>
      <scheme val="minor"/>
    </font>
    <font>
      <sz val="8"/>
      <name val="Calibri"/>
      <family val="2"/>
      <scheme val="minor"/>
    </font>
    <font>
      <sz val="11"/>
      <color theme="1"/>
      <name val="Aptos Narrow"/>
      <family val="2"/>
    </font>
    <font>
      <sz val="10"/>
      <name val="Aptos Narrow"/>
      <family val="2"/>
    </font>
    <font>
      <b/>
      <sz val="10"/>
      <color theme="1"/>
      <name val="Aptos Narrow"/>
      <family val="2"/>
    </font>
    <font>
      <b/>
      <sz val="10"/>
      <name val="Aptos Narrow"/>
      <family val="2"/>
    </font>
    <font>
      <b/>
      <sz val="16"/>
      <color theme="1"/>
      <name val="Aptos Narrow"/>
      <family val="2"/>
    </font>
    <font>
      <sz val="10"/>
      <color theme="1"/>
      <name val="Calibri"/>
      <family val="2"/>
      <scheme val="minor"/>
    </font>
    <font>
      <b/>
      <sz val="11"/>
      <name val="Aptos Narrow"/>
      <family val="2"/>
    </font>
    <font>
      <b/>
      <sz val="9"/>
      <color theme="1"/>
      <name val="Aptos Narrow"/>
      <family val="2"/>
    </font>
    <font>
      <b/>
      <sz val="10"/>
      <color rgb="FFC00000"/>
      <name val="Aptos Narrow"/>
      <family val="2"/>
    </font>
    <font>
      <sz val="10"/>
      <color theme="2" tint="-0.749992370372631"/>
      <name val="Aptos Narrow"/>
      <family val="2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16">
    <xf numFmtId="0" fontId="0" fillId="0" borderId="0"/>
    <xf numFmtId="9" fontId="10" fillId="0" borderId="0" applyFont="0" applyFill="0" applyBorder="0" applyAlignment="0" applyProtection="0"/>
    <xf numFmtId="9" fontId="12" fillId="0" borderId="0" applyFill="0" applyBorder="0" applyAlignment="0" applyProtection="0"/>
    <xf numFmtId="0" fontId="13" fillId="0" borderId="0"/>
    <xf numFmtId="172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9" fillId="0" borderId="0"/>
    <xf numFmtId="0" fontId="12" fillId="0" borderId="0"/>
    <xf numFmtId="0" fontId="16" fillId="0" borderId="0"/>
    <xf numFmtId="0" fontId="17" fillId="0" borderId="0"/>
    <xf numFmtId="0" fontId="14" fillId="0" borderId="0"/>
    <xf numFmtId="164" fontId="14" fillId="0" borderId="0" applyFont="0" applyFill="0" applyBorder="0" applyAlignment="0" applyProtection="0"/>
    <xf numFmtId="0" fontId="11" fillId="0" borderId="0"/>
    <xf numFmtId="165" fontId="14" fillId="0" borderId="0" applyFont="0" applyFill="0" applyBorder="0" applyAlignment="0" applyProtection="0"/>
    <xf numFmtId="0" fontId="18" fillId="0" borderId="0"/>
    <xf numFmtId="0" fontId="12" fillId="0" borderId="0" applyNumberFormat="0" applyFont="0" applyFill="0" applyBorder="0" applyAlignment="0" applyProtection="0">
      <alignment vertical="top"/>
    </xf>
    <xf numFmtId="164" fontId="1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6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35" fillId="4" borderId="0" applyNumberFormat="0" applyBorder="0" applyAlignment="0" applyProtection="0"/>
    <xf numFmtId="171" fontId="12" fillId="0" borderId="0" applyFont="0" applyFill="0" applyBorder="0" applyAlignment="0" applyProtection="0"/>
    <xf numFmtId="164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73" fontId="12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3" fontId="16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7" fontId="22" fillId="0" borderId="13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5" fontId="12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0" fontId="32" fillId="21" borderId="18" applyNumberFormat="0" applyAlignment="0" applyProtection="0"/>
    <xf numFmtId="0" fontId="33" fillId="22" borderId="19" applyNumberFormat="0" applyAlignment="0" applyProtection="0"/>
    <xf numFmtId="171" fontId="12" fillId="0" borderId="0" applyFont="0" applyFill="0" applyBorder="0" applyAlignment="0" applyProtection="0"/>
    <xf numFmtId="171" fontId="13" fillId="0" borderId="0" applyFont="0" applyFill="0" applyBorder="0" applyAlignment="0" applyProtection="0"/>
    <xf numFmtId="0" fontId="46" fillId="0" borderId="0" applyFont="0" applyFill="0" applyBorder="0" applyAlignment="0" applyProtection="0"/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4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176" fontId="38" fillId="0" borderId="0">
      <protection locked="0"/>
    </xf>
    <xf numFmtId="14" fontId="48" fillId="0" borderId="0" applyFill="0" applyBorder="0" applyAlignment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3" fontId="49" fillId="0" borderId="0" applyFill="0" applyBorder="0">
      <alignment horizontal="left"/>
      <protection locked="0"/>
    </xf>
    <xf numFmtId="175" fontId="12" fillId="0" borderId="0" applyFont="0" applyFill="0" applyBorder="0" applyAlignment="0" applyProtection="0"/>
    <xf numFmtId="179" fontId="24" fillId="0" borderId="11" applyFont="0" applyFill="0" applyBorder="0" applyAlignment="0">
      <alignment horizontal="center" vertical="center" wrapText="1"/>
    </xf>
    <xf numFmtId="0" fontId="17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50" fillId="0" borderId="0" applyNumberFormat="0" applyFill="0" applyBorder="0" applyProtection="0">
      <alignment vertical="top"/>
    </xf>
    <xf numFmtId="176" fontId="38" fillId="0" borderId="0">
      <protection locked="0"/>
    </xf>
    <xf numFmtId="0" fontId="52" fillId="0" borderId="0"/>
    <xf numFmtId="0" fontId="34" fillId="5" borderId="0" applyNumberFormat="0" applyBorder="0" applyAlignment="0" applyProtection="0"/>
    <xf numFmtId="38" fontId="25" fillId="23" borderId="0" applyNumberFormat="0" applyBorder="0" applyAlignment="0" applyProtection="0"/>
    <xf numFmtId="0" fontId="53" fillId="0" borderId="1" applyNumberFormat="0" applyAlignment="0" applyProtection="0">
      <alignment horizontal="left" vertical="center"/>
    </xf>
    <xf numFmtId="0" fontId="53" fillId="0" borderId="21">
      <alignment horizontal="left" vertical="center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17" applyNumberFormat="0" applyFill="0" applyAlignment="0" applyProtection="0"/>
    <xf numFmtId="0" fontId="39" fillId="0" borderId="0" applyNumberFormat="0" applyFill="0" applyBorder="0" applyAlignment="0" applyProtection="0"/>
    <xf numFmtId="176" fontId="40" fillId="0" borderId="0">
      <protection locked="0"/>
    </xf>
    <xf numFmtId="0" fontId="44" fillId="0" borderId="0"/>
    <xf numFmtId="176" fontId="40" fillId="0" borderId="0">
      <protection locked="0"/>
    </xf>
    <xf numFmtId="3" fontId="51" fillId="0" borderId="0">
      <alignment vertical="top"/>
    </xf>
    <xf numFmtId="2" fontId="54" fillId="1" borderId="22">
      <alignment horizontal="left"/>
      <protection locked="0"/>
    </xf>
    <xf numFmtId="0" fontId="55" fillId="0" borderId="0"/>
    <xf numFmtId="0" fontId="15" fillId="0" borderId="0"/>
    <xf numFmtId="0" fontId="56" fillId="0" borderId="0"/>
    <xf numFmtId="0" fontId="26" fillId="0" borderId="0"/>
    <xf numFmtId="2" fontId="57" fillId="0" borderId="23">
      <alignment horizontal="center" vertical="center"/>
    </xf>
    <xf numFmtId="0" fontId="31" fillId="8" borderId="18" applyNumberFormat="0" applyAlignment="0" applyProtection="0"/>
    <xf numFmtId="10" fontId="25" fillId="24" borderId="23" applyNumberFormat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0" fontId="29" fillId="0" borderId="16" applyNumberFormat="0" applyFill="0" applyAlignment="0" applyProtection="0"/>
    <xf numFmtId="0" fontId="12" fillId="0" borderId="0">
      <alignment horizontal="center"/>
    </xf>
    <xf numFmtId="180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0" fontId="36" fillId="25" borderId="0" applyNumberFormat="0" applyBorder="0" applyAlignment="0" applyProtection="0"/>
    <xf numFmtId="174" fontId="12" fillId="0" borderId="0"/>
    <xf numFmtId="174" fontId="12" fillId="0" borderId="0"/>
    <xf numFmtId="184" fontId="58" fillId="0" borderId="0"/>
    <xf numFmtId="0" fontId="13" fillId="0" borderId="0"/>
    <xf numFmtId="0" fontId="41" fillId="0" borderId="0"/>
    <xf numFmtId="0" fontId="12" fillId="0" borderId="0"/>
    <xf numFmtId="0" fontId="12" fillId="0" borderId="0"/>
    <xf numFmtId="0" fontId="20" fillId="0" borderId="0"/>
    <xf numFmtId="0" fontId="12" fillId="0" borderId="0"/>
    <xf numFmtId="0" fontId="12" fillId="0" borderId="0"/>
    <xf numFmtId="0" fontId="21" fillId="0" borderId="0"/>
    <xf numFmtId="0" fontId="41" fillId="0" borderId="0"/>
    <xf numFmtId="0" fontId="41" fillId="0" borderId="0"/>
    <xf numFmtId="0" fontId="10" fillId="0" borderId="0"/>
    <xf numFmtId="0" fontId="17" fillId="0" borderId="0"/>
    <xf numFmtId="0" fontId="4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13" fillId="0" borderId="0"/>
    <xf numFmtId="0" fontId="13" fillId="0" borderId="0"/>
    <xf numFmtId="0" fontId="21" fillId="0" borderId="0"/>
    <xf numFmtId="0" fontId="21" fillId="0" borderId="0"/>
    <xf numFmtId="0" fontId="12" fillId="0" borderId="0"/>
    <xf numFmtId="0" fontId="42" fillId="26" borderId="24" applyNumberFormat="0" applyAlignment="0" applyProtection="0"/>
    <xf numFmtId="182" fontId="60" fillId="0" borderId="0">
      <alignment horizontal="left"/>
    </xf>
    <xf numFmtId="3" fontId="50" fillId="0" borderId="0">
      <alignment vertical="top"/>
    </xf>
    <xf numFmtId="0" fontId="30" fillId="21" borderId="20" applyNumberFormat="0" applyAlignment="0" applyProtection="0"/>
    <xf numFmtId="168" fontId="16" fillId="0" borderId="0" applyFont="0" applyFill="0" applyBorder="0" applyAlignment="0" applyProtection="0"/>
    <xf numFmtId="0" fontId="46" fillId="0" borderId="0" applyFont="0" applyFill="0" applyBorder="0" applyAlignment="0" applyProtection="0"/>
    <xf numFmtId="184" fontId="46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183" fontId="47" fillId="0" borderId="0"/>
    <xf numFmtId="0" fontId="12" fillId="0" borderId="0"/>
    <xf numFmtId="0" fontId="16" fillId="0" borderId="0"/>
    <xf numFmtId="0" fontId="45" fillId="0" borderId="0"/>
    <xf numFmtId="0" fontId="11" fillId="0" borderId="0"/>
    <xf numFmtId="38" fontId="59" fillId="0" borderId="14" applyBorder="0">
      <alignment horizontal="right"/>
      <protection locked="0"/>
    </xf>
    <xf numFmtId="49" fontId="48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0" fontId="52" fillId="0" borderId="0" applyFill="0" applyBorder="0" applyAlignment="0">
      <alignment horizontal="right"/>
    </xf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2" fontId="60" fillId="0" borderId="0">
      <alignment horizontal="left"/>
    </xf>
    <xf numFmtId="0" fontId="61" fillId="0" borderId="25"/>
    <xf numFmtId="164" fontId="16" fillId="0" borderId="0" applyFont="0" applyFill="0" applyBorder="0" applyAlignment="0" applyProtection="0"/>
    <xf numFmtId="171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3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10" fillId="0" borderId="0"/>
    <xf numFmtId="0" fontId="18" fillId="0" borderId="0"/>
    <xf numFmtId="0" fontId="63" fillId="0" borderId="0"/>
    <xf numFmtId="0" fontId="8" fillId="0" borderId="0"/>
    <xf numFmtId="9" fontId="8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6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35" fillId="4" borderId="0" applyNumberFormat="0" applyBorder="0" applyAlignment="0" applyProtection="0"/>
    <xf numFmtId="0" fontId="32" fillId="21" borderId="18" applyNumberFormat="0" applyAlignment="0" applyProtection="0"/>
    <xf numFmtId="0" fontId="33" fillId="22" borderId="19" applyNumberFormat="0" applyAlignment="0" applyProtection="0"/>
    <xf numFmtId="0" fontId="28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1" fillId="8" borderId="18" applyNumberFormat="0" applyAlignment="0" applyProtection="0"/>
    <xf numFmtId="0" fontId="29" fillId="0" borderId="16" applyNumberFormat="0" applyFill="0" applyAlignment="0" applyProtection="0"/>
    <xf numFmtId="0" fontId="36" fillId="25" borderId="0" applyNumberFormat="0" applyBorder="0" applyAlignment="0" applyProtection="0"/>
    <xf numFmtId="0" fontId="42" fillId="26" borderId="24" applyNumberFormat="0" applyAlignment="0" applyProtection="0"/>
    <xf numFmtId="0" fontId="30" fillId="21" borderId="20" applyNumberFormat="0" applyAlignment="0" applyProtection="0"/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4" fillId="27" borderId="0" applyNumberFormat="0" applyBorder="0" applyAlignment="0" applyProtection="0"/>
    <xf numFmtId="170" fontId="10" fillId="0" borderId="0" applyFont="0" applyFill="0" applyBorder="0" applyAlignment="0" applyProtection="0"/>
    <xf numFmtId="0" fontId="7" fillId="0" borderId="0"/>
    <xf numFmtId="0" fontId="18" fillId="0" borderId="0"/>
    <xf numFmtId="170" fontId="18" fillId="0" borderId="0" applyFon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13" fillId="0" borderId="0"/>
    <xf numFmtId="0" fontId="13" fillId="0" borderId="0"/>
    <xf numFmtId="0" fontId="45" fillId="0" borderId="0"/>
    <xf numFmtId="0" fontId="12" fillId="0" borderId="0"/>
    <xf numFmtId="0" fontId="5" fillId="0" borderId="0"/>
    <xf numFmtId="0" fontId="5" fillId="0" borderId="0">
      <alignment vertical="center"/>
    </xf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72" fillId="0" borderId="0"/>
    <xf numFmtId="0" fontId="2" fillId="0" borderId="0"/>
    <xf numFmtId="0" fontId="1" fillId="0" borderId="0"/>
    <xf numFmtId="44" fontId="10" fillId="0" borderId="0" applyFont="0" applyFill="0" applyBorder="0" applyAlignment="0" applyProtection="0"/>
  </cellStyleXfs>
  <cellXfs count="7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19" fillId="0" borderId="0" xfId="20"/>
    <xf numFmtId="2" fontId="0" fillId="0" borderId="6" xfId="0" applyNumberFormat="1" applyBorder="1"/>
    <xf numFmtId="9" fontId="0" fillId="0" borderId="6" xfId="1" applyFont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9" fontId="0" fillId="0" borderId="9" xfId="1" applyFont="1" applyBorder="1"/>
    <xf numFmtId="9" fontId="0" fillId="0" borderId="7" xfId="1" applyFont="1" applyBorder="1"/>
    <xf numFmtId="0" fontId="4" fillId="0" borderId="0" xfId="0" applyFont="1" applyAlignment="1" applyProtection="1">
      <alignment horizontal="center" vertical="center"/>
      <protection locked="0"/>
    </xf>
    <xf numFmtId="0" fontId="70" fillId="28" borderId="0" xfId="0" applyFont="1" applyFill="1" applyProtection="1">
      <protection locked="0"/>
    </xf>
    <xf numFmtId="0" fontId="71" fillId="28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4" fontId="0" fillId="0" borderId="0" xfId="0" applyNumberFormat="1"/>
    <xf numFmtId="19" fontId="0" fillId="0" borderId="0" xfId="0" applyNumberFormat="1"/>
    <xf numFmtId="0" fontId="67" fillId="0" borderId="0" xfId="313" applyFont="1"/>
    <xf numFmtId="0" fontId="73" fillId="0" borderId="0" xfId="313" applyFont="1" applyAlignment="1">
      <alignment vertical="center"/>
    </xf>
    <xf numFmtId="0" fontId="66" fillId="0" borderId="0" xfId="313" applyFont="1"/>
    <xf numFmtId="0" fontId="74" fillId="0" borderId="0" xfId="313" applyFont="1" applyAlignment="1">
      <alignment horizontal="right" vertical="center"/>
    </xf>
    <xf numFmtId="0" fontId="74" fillId="0" borderId="0" xfId="313" applyFont="1" applyAlignment="1">
      <alignment horizontal="center" vertical="center"/>
    </xf>
    <xf numFmtId="191" fontId="74" fillId="0" borderId="0" xfId="313" applyNumberFormat="1" applyFont="1" applyAlignment="1">
      <alignment horizontal="center" vertical="center"/>
    </xf>
    <xf numFmtId="188" fontId="3" fillId="0" borderId="0" xfId="0" applyNumberFormat="1" applyFont="1" applyAlignment="1">
      <alignment horizontal="left" vertical="center" wrapText="1"/>
    </xf>
    <xf numFmtId="189" fontId="3" fillId="0" borderId="0" xfId="0" applyNumberFormat="1" applyFont="1" applyAlignment="1">
      <alignment horizontal="left" vertical="center" wrapText="1"/>
    </xf>
    <xf numFmtId="187" fontId="3" fillId="0" borderId="0" xfId="0" applyNumberFormat="1" applyFont="1" applyAlignment="1">
      <alignment horizontal="left" vertical="center" wrapText="1"/>
    </xf>
    <xf numFmtId="4" fontId="69" fillId="0" borderId="0" xfId="313" applyNumberFormat="1" applyFont="1" applyAlignment="1">
      <alignment horizontal="center" vertical="center" wrapText="1"/>
    </xf>
    <xf numFmtId="190" fontId="68" fillId="29" borderId="0" xfId="313" applyNumberFormat="1" applyFont="1" applyFill="1" applyAlignment="1">
      <alignment horizontal="center" vertical="center"/>
    </xf>
    <xf numFmtId="0" fontId="66" fillId="0" borderId="0" xfId="313" applyFont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77" fillId="0" borderId="0" xfId="313" applyFont="1" applyAlignment="1">
      <alignment horizontal="center" vertical="center"/>
    </xf>
    <xf numFmtId="4" fontId="79" fillId="0" borderId="23" xfId="313" applyNumberFormat="1" applyFont="1" applyBorder="1" applyAlignment="1">
      <alignment horizontal="center" vertical="center" wrapText="1"/>
    </xf>
    <xf numFmtId="0" fontId="78" fillId="0" borderId="23" xfId="313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77" fillId="0" borderId="0" xfId="313" applyFont="1" applyAlignment="1">
      <alignment horizontal="left" vertical="center" wrapText="1"/>
    </xf>
    <xf numFmtId="0" fontId="78" fillId="0" borderId="23" xfId="313" applyFont="1" applyBorder="1" applyAlignment="1">
      <alignment horizontal="center" vertical="center"/>
    </xf>
    <xf numFmtId="0" fontId="83" fillId="0" borderId="23" xfId="313" applyFont="1" applyBorder="1" applyAlignment="1">
      <alignment horizontal="center" vertical="center" wrapText="1"/>
    </xf>
    <xf numFmtId="0" fontId="78" fillId="0" borderId="23" xfId="313" applyFont="1" applyBorder="1" applyAlignment="1">
      <alignment vertical="center"/>
    </xf>
    <xf numFmtId="0" fontId="79" fillId="0" borderId="0" xfId="313" applyFont="1" applyAlignment="1">
      <alignment horizontal="left" vertical="center" wrapText="1"/>
    </xf>
    <xf numFmtId="0" fontId="78" fillId="0" borderId="0" xfId="313" applyFont="1" applyAlignment="1">
      <alignment horizontal="center" vertical="center" wrapText="1"/>
    </xf>
    <xf numFmtId="0" fontId="79" fillId="0" borderId="0" xfId="313" applyFont="1" applyAlignment="1">
      <alignment horizontal="center" vertical="center"/>
    </xf>
    <xf numFmtId="0" fontId="84" fillId="0" borderId="0" xfId="313" applyFont="1" applyAlignment="1">
      <alignment vertical="center" wrapText="1"/>
    </xf>
    <xf numFmtId="191" fontId="73" fillId="0" borderId="0" xfId="313" applyNumberFormat="1" applyFont="1" applyAlignment="1">
      <alignment horizontal="center" vertical="center"/>
    </xf>
    <xf numFmtId="191" fontId="73" fillId="0" borderId="29" xfId="313" applyNumberFormat="1" applyFont="1" applyBorder="1" applyAlignment="1">
      <alignment horizontal="center" vertical="center"/>
    </xf>
    <xf numFmtId="0" fontId="84" fillId="0" borderId="0" xfId="313" applyFont="1" applyAlignment="1">
      <alignment horizontal="center" vertical="center"/>
    </xf>
    <xf numFmtId="0" fontId="84" fillId="0" borderId="0" xfId="313" applyFont="1" applyAlignment="1">
      <alignment horizontal="left" vertical="center" wrapText="1"/>
    </xf>
    <xf numFmtId="0" fontId="79" fillId="0" borderId="0" xfId="313" applyFont="1" applyAlignment="1">
      <alignment horizontal="center" vertical="center" wrapText="1"/>
    </xf>
    <xf numFmtId="191" fontId="77" fillId="0" borderId="0" xfId="313" applyNumberFormat="1" applyFont="1" applyAlignment="1">
      <alignment horizontal="right" vertical="center"/>
    </xf>
    <xf numFmtId="191" fontId="77" fillId="0" borderId="0" xfId="313" applyNumberFormat="1" applyFont="1" applyAlignment="1">
      <alignment horizontal="center" vertical="center"/>
    </xf>
    <xf numFmtId="0" fontId="80" fillId="0" borderId="13" xfId="0" applyFont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 wrapText="1"/>
      <protection locked="0"/>
    </xf>
    <xf numFmtId="0" fontId="80" fillId="0" borderId="29" xfId="0" applyFont="1" applyBorder="1" applyAlignment="1" applyProtection="1">
      <alignment horizontal="center" vertical="center" wrapText="1"/>
      <protection locked="0"/>
    </xf>
    <xf numFmtId="192" fontId="77" fillId="0" borderId="0" xfId="313" applyNumberFormat="1" applyFont="1" applyAlignment="1">
      <alignment horizontal="center" vertical="center"/>
    </xf>
    <xf numFmtId="4" fontId="82" fillId="30" borderId="22" xfId="313" applyNumberFormat="1" applyFont="1" applyFill="1" applyBorder="1" applyAlignment="1">
      <alignment vertical="center"/>
    </xf>
    <xf numFmtId="4" fontId="82" fillId="30" borderId="21" xfId="313" applyNumberFormat="1" applyFont="1" applyFill="1" applyBorder="1" applyAlignment="1">
      <alignment vertical="center"/>
    </xf>
    <xf numFmtId="4" fontId="82" fillId="30" borderId="26" xfId="313" applyNumberFormat="1" applyFont="1" applyFill="1" applyBorder="1" applyAlignment="1">
      <alignment vertical="center"/>
    </xf>
    <xf numFmtId="192" fontId="79" fillId="0" borderId="0" xfId="313" applyNumberFormat="1" applyFont="1" applyAlignment="1">
      <alignment horizontal="center" vertical="center"/>
    </xf>
    <xf numFmtId="192" fontId="77" fillId="0" borderId="30" xfId="315" applyNumberFormat="1" applyFont="1" applyFill="1" applyBorder="1" applyAlignment="1">
      <alignment vertical="center"/>
    </xf>
    <xf numFmtId="4" fontId="82" fillId="30" borderId="21" xfId="313" applyNumberFormat="1" applyFont="1" applyFill="1" applyBorder="1" applyAlignment="1">
      <alignment horizontal="center" vertical="center"/>
    </xf>
    <xf numFmtId="189" fontId="76" fillId="0" borderId="23" xfId="0" applyNumberFormat="1" applyFont="1" applyBorder="1" applyAlignment="1">
      <alignment horizontal="left" vertical="center" wrapText="1"/>
    </xf>
    <xf numFmtId="0" fontId="80" fillId="0" borderId="28" xfId="0" applyFont="1" applyBorder="1" applyAlignment="1" applyProtection="1">
      <alignment horizontal="center" vertical="center" wrapText="1"/>
      <protection locked="0"/>
    </xf>
    <xf numFmtId="0" fontId="80" fillId="0" borderId="13" xfId="0" applyFont="1" applyBorder="1" applyAlignment="1" applyProtection="1">
      <alignment horizontal="center" vertical="center" wrapText="1"/>
      <protection locked="0"/>
    </xf>
    <xf numFmtId="0" fontId="80" fillId="0" borderId="14" xfId="0" applyFont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 wrapText="1"/>
      <protection locked="0"/>
    </xf>
    <xf numFmtId="0" fontId="80" fillId="0" borderId="27" xfId="0" applyFont="1" applyBorder="1" applyAlignment="1" applyProtection="1">
      <alignment horizontal="center" vertical="center" wrapText="1"/>
      <protection locked="0"/>
    </xf>
    <xf numFmtId="0" fontId="80" fillId="0" borderId="29" xfId="0" applyFont="1" applyBorder="1" applyAlignment="1" applyProtection="1">
      <alignment horizontal="center" vertical="center" wrapText="1"/>
      <protection locked="0"/>
    </xf>
    <xf numFmtId="188" fontId="76" fillId="0" borderId="23" xfId="0" applyNumberFormat="1" applyFont="1" applyBorder="1" applyAlignment="1">
      <alignment horizontal="left" vertical="center" wrapText="1"/>
    </xf>
    <xf numFmtId="187" fontId="76" fillId="0" borderId="22" xfId="0" applyNumberFormat="1" applyFont="1" applyBorder="1" applyAlignment="1">
      <alignment horizontal="left" vertical="center" wrapText="1"/>
    </xf>
    <xf numFmtId="187" fontId="76" fillId="0" borderId="26" xfId="0" applyNumberFormat="1" applyFont="1" applyBorder="1" applyAlignment="1">
      <alignment horizontal="left" vertical="center" wrapText="1"/>
    </xf>
    <xf numFmtId="0" fontId="0" fillId="2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92" fontId="85" fillId="0" borderId="30" xfId="315" applyNumberFormat="1" applyFont="1" applyFill="1" applyBorder="1" applyAlignment="1">
      <alignment vertical="center"/>
    </xf>
  </cellXfs>
  <cellStyles count="316">
    <cellStyle name="20% - Accent1" xfId="21" xr:uid="{00000000-0005-0000-0000-000000000000}"/>
    <cellStyle name="20% - Accent1 2" xfId="256" xr:uid="{00000000-0005-0000-0000-000001000000}"/>
    <cellStyle name="20% - Accent2" xfId="22" xr:uid="{00000000-0005-0000-0000-000002000000}"/>
    <cellStyle name="20% - Accent2 2" xfId="257" xr:uid="{00000000-0005-0000-0000-000003000000}"/>
    <cellStyle name="20% - Accent3" xfId="23" xr:uid="{00000000-0005-0000-0000-000004000000}"/>
    <cellStyle name="20% - Accent3 2" xfId="258" xr:uid="{00000000-0005-0000-0000-000005000000}"/>
    <cellStyle name="20% - Accent4" xfId="24" xr:uid="{00000000-0005-0000-0000-000006000000}"/>
    <cellStyle name="20% - Accent4 2" xfId="259" xr:uid="{00000000-0005-0000-0000-000007000000}"/>
    <cellStyle name="20% - Accent5" xfId="25" xr:uid="{00000000-0005-0000-0000-000008000000}"/>
    <cellStyle name="20% - Accent5 2" xfId="260" xr:uid="{00000000-0005-0000-0000-000009000000}"/>
    <cellStyle name="20% - Accent6" xfId="26" xr:uid="{00000000-0005-0000-0000-00000A000000}"/>
    <cellStyle name="20% - Accent6 2" xfId="261" xr:uid="{00000000-0005-0000-0000-00000B000000}"/>
    <cellStyle name="40% - Accent1" xfId="27" xr:uid="{00000000-0005-0000-0000-00000C000000}"/>
    <cellStyle name="40% - Accent1 2" xfId="262" xr:uid="{00000000-0005-0000-0000-00000D000000}"/>
    <cellStyle name="40% - Accent2" xfId="28" xr:uid="{00000000-0005-0000-0000-00000E000000}"/>
    <cellStyle name="40% - Accent2 2" xfId="263" xr:uid="{00000000-0005-0000-0000-00000F000000}"/>
    <cellStyle name="40% - Accent3" xfId="29" xr:uid="{00000000-0005-0000-0000-000010000000}"/>
    <cellStyle name="40% - Accent3 2" xfId="264" xr:uid="{00000000-0005-0000-0000-000011000000}"/>
    <cellStyle name="40% - Accent4" xfId="30" xr:uid="{00000000-0005-0000-0000-000012000000}"/>
    <cellStyle name="40% - Accent4 2" xfId="265" xr:uid="{00000000-0005-0000-0000-000013000000}"/>
    <cellStyle name="40% - Accent5" xfId="31" xr:uid="{00000000-0005-0000-0000-000014000000}"/>
    <cellStyle name="40% - Accent5 2" xfId="266" xr:uid="{00000000-0005-0000-0000-000015000000}"/>
    <cellStyle name="40% - Accent6" xfId="32" xr:uid="{00000000-0005-0000-0000-000016000000}"/>
    <cellStyle name="40% - Accent6 2" xfId="267" xr:uid="{00000000-0005-0000-0000-000017000000}"/>
    <cellStyle name="60% - Accent1" xfId="33" xr:uid="{00000000-0005-0000-0000-000018000000}"/>
    <cellStyle name="60% - Accent1 2" xfId="268" xr:uid="{00000000-0005-0000-0000-000019000000}"/>
    <cellStyle name="60% - Accent2" xfId="34" xr:uid="{00000000-0005-0000-0000-00001A000000}"/>
    <cellStyle name="60% - Accent2 2" xfId="269" xr:uid="{00000000-0005-0000-0000-00001B000000}"/>
    <cellStyle name="60% - Accent3" xfId="35" xr:uid="{00000000-0005-0000-0000-00001C000000}"/>
    <cellStyle name="60% - Accent3 2" xfId="270" xr:uid="{00000000-0005-0000-0000-00001D000000}"/>
    <cellStyle name="60% - Accent4" xfId="36" xr:uid="{00000000-0005-0000-0000-00001E000000}"/>
    <cellStyle name="60% - Accent4 2" xfId="271" xr:uid="{00000000-0005-0000-0000-00001F000000}"/>
    <cellStyle name="60% - Accent5" xfId="37" xr:uid="{00000000-0005-0000-0000-000020000000}"/>
    <cellStyle name="60% - Accent5 2" xfId="272" xr:uid="{00000000-0005-0000-0000-000021000000}"/>
    <cellStyle name="60% - Accent6" xfId="38" xr:uid="{00000000-0005-0000-0000-000022000000}"/>
    <cellStyle name="60% - Accent6 2" xfId="273" xr:uid="{00000000-0005-0000-0000-000023000000}"/>
    <cellStyle name="Accent1" xfId="297" xr:uid="{00000000-0005-0000-0000-000024000000}"/>
    <cellStyle name="Accent1 2" xfId="274" xr:uid="{00000000-0005-0000-0000-000025000000}"/>
    <cellStyle name="Accent2" xfId="39" xr:uid="{00000000-0005-0000-0000-000026000000}"/>
    <cellStyle name="Accent2 2" xfId="275" xr:uid="{00000000-0005-0000-0000-000027000000}"/>
    <cellStyle name="Accent3" xfId="40" xr:uid="{00000000-0005-0000-0000-000028000000}"/>
    <cellStyle name="Accent3 2" xfId="276" xr:uid="{00000000-0005-0000-0000-000029000000}"/>
    <cellStyle name="Accent4" xfId="41" xr:uid="{00000000-0005-0000-0000-00002A000000}"/>
    <cellStyle name="Accent4 2" xfId="277" xr:uid="{00000000-0005-0000-0000-00002B000000}"/>
    <cellStyle name="Accent5" xfId="42" xr:uid="{00000000-0005-0000-0000-00002C000000}"/>
    <cellStyle name="Accent5 2" xfId="278" xr:uid="{00000000-0005-0000-0000-00002D000000}"/>
    <cellStyle name="Accent6" xfId="43" xr:uid="{00000000-0005-0000-0000-00002E000000}"/>
    <cellStyle name="Accent6 2" xfId="279" xr:uid="{00000000-0005-0000-0000-00002F000000}"/>
    <cellStyle name="Bad" xfId="44" xr:uid="{00000000-0005-0000-0000-000030000000}"/>
    <cellStyle name="Bad 2" xfId="280" xr:uid="{00000000-0005-0000-0000-000031000000}"/>
    <cellStyle name="Binlik Ayracı [0] 2" xfId="45" xr:uid="{00000000-0005-0000-0000-000032000000}"/>
    <cellStyle name="Binlik Ayracı 2" xfId="46" xr:uid="{00000000-0005-0000-0000-000033000000}"/>
    <cellStyle name="Binlik Ayracı 2 2" xfId="47" xr:uid="{00000000-0005-0000-0000-000034000000}"/>
    <cellStyle name="Binlik Ayracı 2 2 2" xfId="48" xr:uid="{00000000-0005-0000-0000-000035000000}"/>
    <cellStyle name="Binlik Ayracı 2 2 3" xfId="49" xr:uid="{00000000-0005-0000-0000-000036000000}"/>
    <cellStyle name="Binlik Ayracı 2 3" xfId="50" xr:uid="{00000000-0005-0000-0000-000037000000}"/>
    <cellStyle name="Binlik Ayracı 3" xfId="14" xr:uid="{00000000-0005-0000-0000-000038000000}"/>
    <cellStyle name="Binlik Ayracı 3 2" xfId="19" xr:uid="{00000000-0005-0000-0000-000039000000}"/>
    <cellStyle name="Binlik Ayracı 3 2 2" xfId="52" xr:uid="{00000000-0005-0000-0000-00003A000000}"/>
    <cellStyle name="Binlik Ayracı 3 2 3" xfId="53" xr:uid="{00000000-0005-0000-0000-00003B000000}"/>
    <cellStyle name="Binlik Ayracı 3 2 4" xfId="51" xr:uid="{00000000-0005-0000-0000-00003C000000}"/>
    <cellStyle name="Binlik Ayracı 3 3" xfId="54" xr:uid="{00000000-0005-0000-0000-00003D000000}"/>
    <cellStyle name="Binlik Ayracı 3 3 2" xfId="55" xr:uid="{00000000-0005-0000-0000-00003E000000}"/>
    <cellStyle name="Binlik Ayracı 3 4" xfId="56" xr:uid="{00000000-0005-0000-0000-00003F000000}"/>
    <cellStyle name="Border" xfId="57" xr:uid="{00000000-0005-0000-0000-000040000000}"/>
    <cellStyle name="Calc Currency (0)" xfId="58" xr:uid="{00000000-0005-0000-0000-000041000000}"/>
    <cellStyle name="Calc Currency (2)" xfId="59" xr:uid="{00000000-0005-0000-0000-000042000000}"/>
    <cellStyle name="Calc Percent (0)" xfId="60" xr:uid="{00000000-0005-0000-0000-000043000000}"/>
    <cellStyle name="Calc Percent (1)" xfId="61" xr:uid="{00000000-0005-0000-0000-000044000000}"/>
    <cellStyle name="Calc Percent (2)" xfId="62" xr:uid="{00000000-0005-0000-0000-000045000000}"/>
    <cellStyle name="Calc Units (0)" xfId="63" xr:uid="{00000000-0005-0000-0000-000046000000}"/>
    <cellStyle name="Calc Units (1)" xfId="64" xr:uid="{00000000-0005-0000-0000-000047000000}"/>
    <cellStyle name="Calc Units (2)" xfId="65" xr:uid="{00000000-0005-0000-0000-000048000000}"/>
    <cellStyle name="Calculation" xfId="66" xr:uid="{00000000-0005-0000-0000-000049000000}"/>
    <cellStyle name="Calculation 2" xfId="281" xr:uid="{00000000-0005-0000-0000-00004A000000}"/>
    <cellStyle name="Check Cell" xfId="67" xr:uid="{00000000-0005-0000-0000-00004B000000}"/>
    <cellStyle name="Check Cell 2" xfId="282" xr:uid="{00000000-0005-0000-0000-00004C000000}"/>
    <cellStyle name="Comma [0] 2" xfId="68" xr:uid="{00000000-0005-0000-0000-00004D000000}"/>
    <cellStyle name="Comma [0] 3" xfId="69" xr:uid="{00000000-0005-0000-0000-00004E000000}"/>
    <cellStyle name="Comma [00]" xfId="70" xr:uid="{00000000-0005-0000-0000-00004F000000}"/>
    <cellStyle name="Comma 2" xfId="71" xr:uid="{00000000-0005-0000-0000-000050000000}"/>
    <cellStyle name="Comma 3" xfId="72" xr:uid="{00000000-0005-0000-0000-000051000000}"/>
    <cellStyle name="Comma 4" xfId="255" xr:uid="{00000000-0005-0000-0000-000052000000}"/>
    <cellStyle name="Comma0" xfId="73" xr:uid="{00000000-0005-0000-0000-000053000000}"/>
    <cellStyle name="Currency [00]" xfId="74" xr:uid="{00000000-0005-0000-0000-000054000000}"/>
    <cellStyle name="Currency 2" xfId="254" xr:uid="{00000000-0005-0000-0000-000055000000}"/>
    <cellStyle name="Currency 2 3" xfId="301" xr:uid="{00000000-0005-0000-0000-000056000000}"/>
    <cellStyle name="Currency0" xfId="75" xr:uid="{00000000-0005-0000-0000-000057000000}"/>
    <cellStyle name="Date" xfId="76" xr:uid="{00000000-0005-0000-0000-000058000000}"/>
    <cellStyle name="Date Short" xfId="77" xr:uid="{00000000-0005-0000-0000-000059000000}"/>
    <cellStyle name="Dezimal [0]_laroux" xfId="78" xr:uid="{00000000-0005-0000-0000-00005A000000}"/>
    <cellStyle name="Dezimal_laroux" xfId="79" xr:uid="{00000000-0005-0000-0000-00005B000000}"/>
    <cellStyle name="Enter Currency (0)" xfId="80" xr:uid="{00000000-0005-0000-0000-00005C000000}"/>
    <cellStyle name="Enter Currency (2)" xfId="81" xr:uid="{00000000-0005-0000-0000-00005D000000}"/>
    <cellStyle name="Enter Units (0)" xfId="82" xr:uid="{00000000-0005-0000-0000-00005E000000}"/>
    <cellStyle name="Enter Units (1)" xfId="83" xr:uid="{00000000-0005-0000-0000-00005F000000}"/>
    <cellStyle name="Enter Units (2)" xfId="84" xr:uid="{00000000-0005-0000-0000-000060000000}"/>
    <cellStyle name="entry" xfId="85" xr:uid="{00000000-0005-0000-0000-000061000000}"/>
    <cellStyle name="Euro" xfId="86" xr:uid="{00000000-0005-0000-0000-000062000000}"/>
    <cellStyle name="EURO [0]" xfId="87" xr:uid="{00000000-0005-0000-0000-000063000000}"/>
    <cellStyle name="Excel_BuiltIn_%20 - Vurgu1 1" xfId="88" xr:uid="{00000000-0005-0000-0000-000064000000}"/>
    <cellStyle name="Explanatory Text" xfId="89" xr:uid="{00000000-0005-0000-0000-000065000000}"/>
    <cellStyle name="Explanatory Text 2" xfId="283" xr:uid="{00000000-0005-0000-0000-000066000000}"/>
    <cellStyle name="Family_Option" xfId="90" xr:uid="{00000000-0005-0000-0000-000067000000}"/>
    <cellStyle name="Fixed" xfId="91" xr:uid="{00000000-0005-0000-0000-000068000000}"/>
    <cellStyle name="Flag" xfId="92" xr:uid="{00000000-0005-0000-0000-000069000000}"/>
    <cellStyle name="Good" xfId="93" xr:uid="{00000000-0005-0000-0000-00006A000000}"/>
    <cellStyle name="Good 2" xfId="284" xr:uid="{00000000-0005-0000-0000-00006B000000}"/>
    <cellStyle name="Grey" xfId="94" xr:uid="{00000000-0005-0000-0000-00006C000000}"/>
    <cellStyle name="Header1" xfId="95" xr:uid="{00000000-0005-0000-0000-00006D000000}"/>
    <cellStyle name="Header2" xfId="96" xr:uid="{00000000-0005-0000-0000-00006E000000}"/>
    <cellStyle name="Heading 1" xfId="97" xr:uid="{00000000-0005-0000-0000-00006F000000}"/>
    <cellStyle name="Heading 1 2" xfId="285" xr:uid="{00000000-0005-0000-0000-000070000000}"/>
    <cellStyle name="Heading 2" xfId="98" xr:uid="{00000000-0005-0000-0000-000071000000}"/>
    <cellStyle name="Heading 2 2" xfId="286" xr:uid="{00000000-0005-0000-0000-000072000000}"/>
    <cellStyle name="Heading 3" xfId="99" xr:uid="{00000000-0005-0000-0000-000073000000}"/>
    <cellStyle name="Heading 3 2" xfId="287" xr:uid="{00000000-0005-0000-0000-000074000000}"/>
    <cellStyle name="Heading 4" xfId="100" xr:uid="{00000000-0005-0000-0000-000075000000}"/>
    <cellStyle name="Heading 4 2" xfId="288" xr:uid="{00000000-0005-0000-0000-000076000000}"/>
    <cellStyle name="Heading1" xfId="101" xr:uid="{00000000-0005-0000-0000-000077000000}"/>
    <cellStyle name="Heading1 2" xfId="102" xr:uid="{00000000-0005-0000-0000-000078000000}"/>
    <cellStyle name="Heading2" xfId="103" xr:uid="{00000000-0005-0000-0000-000079000000}"/>
    <cellStyle name="Heading2 2" xfId="104" xr:uid="{00000000-0005-0000-0000-00007A000000}"/>
    <cellStyle name="Heading3" xfId="105" xr:uid="{00000000-0005-0000-0000-00007B000000}"/>
    <cellStyle name="Heading4" xfId="106" xr:uid="{00000000-0005-0000-0000-00007C000000}"/>
    <cellStyle name="Heading5" xfId="107" xr:uid="{00000000-0005-0000-0000-00007D000000}"/>
    <cellStyle name="Heading6" xfId="108" xr:uid="{00000000-0005-0000-0000-00007E000000}"/>
    <cellStyle name="Headline III" xfId="109" xr:uid="{00000000-0005-0000-0000-00007F000000}"/>
    <cellStyle name="Horizontal" xfId="110" xr:uid="{00000000-0005-0000-0000-000080000000}"/>
    <cellStyle name="Input" xfId="111" xr:uid="{00000000-0005-0000-0000-000081000000}"/>
    <cellStyle name="Input [yellow]" xfId="112" xr:uid="{00000000-0005-0000-0000-000082000000}"/>
    <cellStyle name="Input 2" xfId="289" xr:uid="{00000000-0005-0000-0000-000083000000}"/>
    <cellStyle name="Köprü" xfId="20" builtinId="8"/>
    <cellStyle name="Köprü 2" xfId="113" xr:uid="{00000000-0005-0000-0000-000085000000}"/>
    <cellStyle name="Köprü 3" xfId="302" xr:uid="{00000000-0005-0000-0000-000086000000}"/>
    <cellStyle name="Link Currency (0)" xfId="114" xr:uid="{00000000-0005-0000-0000-000087000000}"/>
    <cellStyle name="Link Currency (2)" xfId="115" xr:uid="{00000000-0005-0000-0000-000088000000}"/>
    <cellStyle name="Link Units (0)" xfId="116" xr:uid="{00000000-0005-0000-0000-000089000000}"/>
    <cellStyle name="Link Units (1)" xfId="117" xr:uid="{00000000-0005-0000-0000-00008A000000}"/>
    <cellStyle name="Link Units (2)" xfId="118" xr:uid="{00000000-0005-0000-0000-00008B000000}"/>
    <cellStyle name="Linked Cell" xfId="119" xr:uid="{00000000-0005-0000-0000-00008C000000}"/>
    <cellStyle name="Linked Cell 2" xfId="290" xr:uid="{00000000-0005-0000-0000-00008D000000}"/>
    <cellStyle name="Matrix" xfId="120" xr:uid="{00000000-0005-0000-0000-00008E000000}"/>
    <cellStyle name="Milliers [0]_laroux" xfId="121" xr:uid="{00000000-0005-0000-0000-00008F000000}"/>
    <cellStyle name="Milliers_laroux" xfId="122" xr:uid="{00000000-0005-0000-0000-000090000000}"/>
    <cellStyle name="Neutral" xfId="123" xr:uid="{00000000-0005-0000-0000-000091000000}"/>
    <cellStyle name="Neutral 2" xfId="291" xr:uid="{00000000-0005-0000-0000-000092000000}"/>
    <cellStyle name="Normal" xfId="0" builtinId="0"/>
    <cellStyle name="Normal - Style1" xfId="124" xr:uid="{00000000-0005-0000-0000-000094000000}"/>
    <cellStyle name="Normal - Style1 2" xfId="125" xr:uid="{00000000-0005-0000-0000-000095000000}"/>
    <cellStyle name="Normal - Style1 3" xfId="126" xr:uid="{00000000-0005-0000-0000-000096000000}"/>
    <cellStyle name="Normal 10" xfId="127" xr:uid="{00000000-0005-0000-0000-000097000000}"/>
    <cellStyle name="Normal 10 2" xfId="128" xr:uid="{00000000-0005-0000-0000-000098000000}"/>
    <cellStyle name="Normal 11" xfId="165" xr:uid="{00000000-0005-0000-0000-000099000000}"/>
    <cellStyle name="Normal 117" xfId="304" xr:uid="{00000000-0005-0000-0000-00009A000000}"/>
    <cellStyle name="Normal 118" xfId="305" xr:uid="{00000000-0005-0000-0000-00009B000000}"/>
    <cellStyle name="Normal 12" xfId="244" xr:uid="{00000000-0005-0000-0000-00009C000000}"/>
    <cellStyle name="Normal 120 2 2 2" xfId="9" xr:uid="{00000000-0005-0000-0000-00009D000000}"/>
    <cellStyle name="Normal 120 2 2 2 2" xfId="242" xr:uid="{00000000-0005-0000-0000-00009E000000}"/>
    <cellStyle name="Normal 13" xfId="129" xr:uid="{00000000-0005-0000-0000-00009F000000}"/>
    <cellStyle name="Normal 14" xfId="130" xr:uid="{00000000-0005-0000-0000-0000A0000000}"/>
    <cellStyle name="Normal 15" xfId="245" xr:uid="{00000000-0005-0000-0000-0000A1000000}"/>
    <cellStyle name="Normal 16" xfId="246" xr:uid="{00000000-0005-0000-0000-0000A2000000}"/>
    <cellStyle name="Normal 17" xfId="247" xr:uid="{00000000-0005-0000-0000-0000A3000000}"/>
    <cellStyle name="Normal 18" xfId="248" xr:uid="{00000000-0005-0000-0000-0000A4000000}"/>
    <cellStyle name="Normal 19" xfId="249" xr:uid="{00000000-0005-0000-0000-0000A5000000}"/>
    <cellStyle name="Normal 2" xfId="12" xr:uid="{00000000-0005-0000-0000-0000A6000000}"/>
    <cellStyle name="Normal 2 2" xfId="13" xr:uid="{00000000-0005-0000-0000-0000A7000000}"/>
    <cellStyle name="Normal 2 2 2" xfId="132" xr:uid="{00000000-0005-0000-0000-0000A8000000}"/>
    <cellStyle name="Normal 2 2 33" xfId="307" xr:uid="{00000000-0005-0000-0000-0000A9000000}"/>
    <cellStyle name="Normal 2 3" xfId="133" xr:uid="{00000000-0005-0000-0000-0000AA000000}"/>
    <cellStyle name="Normal 2 4" xfId="131" xr:uid="{00000000-0005-0000-0000-0000AB000000}"/>
    <cellStyle name="Normal 2 5" xfId="299" xr:uid="{00000000-0005-0000-0000-0000AC000000}"/>
    <cellStyle name="Normal 2 51" xfId="308" xr:uid="{00000000-0005-0000-0000-0000AD000000}"/>
    <cellStyle name="Normal 2 6" xfId="306" xr:uid="{00000000-0005-0000-0000-0000AE000000}"/>
    <cellStyle name="Normal 2 7" xfId="10" xr:uid="{00000000-0005-0000-0000-0000AF000000}"/>
    <cellStyle name="Normal 20" xfId="250" xr:uid="{00000000-0005-0000-0000-0000B0000000}"/>
    <cellStyle name="Normal 21" xfId="134" xr:uid="{00000000-0005-0000-0000-0000B1000000}"/>
    <cellStyle name="Normal 22" xfId="251" xr:uid="{00000000-0005-0000-0000-0000B2000000}"/>
    <cellStyle name="Normal 23" xfId="252" xr:uid="{00000000-0005-0000-0000-0000B3000000}"/>
    <cellStyle name="Normal 24" xfId="253" xr:uid="{00000000-0005-0000-0000-0000B4000000}"/>
    <cellStyle name="Normal 25" xfId="303" xr:uid="{00000000-0005-0000-0000-0000B5000000}"/>
    <cellStyle name="Normal 26" xfId="309" xr:uid="{00000000-0005-0000-0000-0000B6000000}"/>
    <cellStyle name="Normal 260" xfId="135" xr:uid="{00000000-0005-0000-0000-0000B7000000}"/>
    <cellStyle name="Normal 264" xfId="136" xr:uid="{00000000-0005-0000-0000-0000B8000000}"/>
    <cellStyle name="Normal 27" xfId="312" xr:uid="{00000000-0005-0000-0000-0000B9000000}"/>
    <cellStyle name="Normal 3" xfId="18" xr:uid="{00000000-0005-0000-0000-0000BA000000}"/>
    <cellStyle name="Normal 3 112 3" xfId="3" xr:uid="{00000000-0005-0000-0000-0000BB000000}"/>
    <cellStyle name="Normal 3 2" xfId="138" xr:uid="{00000000-0005-0000-0000-0000BC000000}"/>
    <cellStyle name="Normal 3 3" xfId="137" xr:uid="{00000000-0005-0000-0000-0000BD000000}"/>
    <cellStyle name="Normal 3 4" xfId="300" xr:uid="{00000000-0005-0000-0000-0000BE000000}"/>
    <cellStyle name="Normal 4" xfId="11" xr:uid="{00000000-0005-0000-0000-0000BF000000}"/>
    <cellStyle name="Normal 4 2" xfId="140" xr:uid="{00000000-0005-0000-0000-0000C0000000}"/>
    <cellStyle name="Normal 4 2 2" xfId="239" xr:uid="{00000000-0005-0000-0000-0000C1000000}"/>
    <cellStyle name="Normal 4 3" xfId="139" xr:uid="{00000000-0005-0000-0000-0000C2000000}"/>
    <cellStyle name="Normal 5" xfId="141" xr:uid="{00000000-0005-0000-0000-0000C3000000}"/>
    <cellStyle name="Normal 5 2" xfId="142" xr:uid="{00000000-0005-0000-0000-0000C4000000}"/>
    <cellStyle name="Normal 5 3" xfId="241" xr:uid="{00000000-0005-0000-0000-0000C5000000}"/>
    <cellStyle name="Normal 53" xfId="313" xr:uid="{00000000-0005-0000-0000-0000C6000000}"/>
    <cellStyle name="Normal 53 2" xfId="314" xr:uid="{E6FAFBE0-BB8E-437B-90DF-5C9AA30EEAD6}"/>
    <cellStyle name="Normal 6" xfId="143" xr:uid="{00000000-0005-0000-0000-0000C7000000}"/>
    <cellStyle name="Normal 6 10" xfId="144" xr:uid="{00000000-0005-0000-0000-0000C8000000}"/>
    <cellStyle name="Normal 6 2" xfId="145" xr:uid="{00000000-0005-0000-0000-0000C9000000}"/>
    <cellStyle name="Normal 7" xfId="146" xr:uid="{00000000-0005-0000-0000-0000CA000000}"/>
    <cellStyle name="Normal 8" xfId="147" xr:uid="{00000000-0005-0000-0000-0000CB000000}"/>
    <cellStyle name="Normal 9" xfId="148" xr:uid="{00000000-0005-0000-0000-0000CC000000}"/>
    <cellStyle name="Normale_276 - SAIP - DCA C04-078" xfId="149" xr:uid="{00000000-0005-0000-0000-0000CD000000}"/>
    <cellStyle name="Note" xfId="150" xr:uid="{00000000-0005-0000-0000-0000CE000000}"/>
    <cellStyle name="Note 2" xfId="292" xr:uid="{00000000-0005-0000-0000-0000CF000000}"/>
    <cellStyle name="Option" xfId="151" xr:uid="{00000000-0005-0000-0000-0000D0000000}"/>
    <cellStyle name="OptionHeading" xfId="152" xr:uid="{00000000-0005-0000-0000-0000D1000000}"/>
    <cellStyle name="Output" xfId="153" xr:uid="{00000000-0005-0000-0000-0000D2000000}"/>
    <cellStyle name="Output 2" xfId="293" xr:uid="{00000000-0005-0000-0000-0000D3000000}"/>
    <cellStyle name="ParaBirimi" xfId="315" builtinId="4"/>
    <cellStyle name="ParaBirimi 2" xfId="4" xr:uid="{00000000-0005-0000-0000-0000D4000000}"/>
    <cellStyle name="ParaBirimi 2 2" xfId="154" xr:uid="{00000000-0005-0000-0000-0000D5000000}"/>
    <cellStyle name="ParaBirimi 3" xfId="16" xr:uid="{00000000-0005-0000-0000-0000D6000000}"/>
    <cellStyle name="ParaBirimi 4" xfId="298" xr:uid="{00000000-0005-0000-0000-0000D7000000}"/>
    <cellStyle name="ParaBirimi 5" xfId="311" xr:uid="{00000000-0005-0000-0000-0000D8000000}"/>
    <cellStyle name="Percent [0]" xfId="155" xr:uid="{00000000-0005-0000-0000-0000D9000000}"/>
    <cellStyle name="Percent [00]" xfId="156" xr:uid="{00000000-0005-0000-0000-0000DA000000}"/>
    <cellStyle name="Percent [2]" xfId="157" xr:uid="{00000000-0005-0000-0000-0000DB000000}"/>
    <cellStyle name="PrePop Currency (0)" xfId="158" xr:uid="{00000000-0005-0000-0000-0000DC000000}"/>
    <cellStyle name="PrePop Currency (2)" xfId="159" xr:uid="{00000000-0005-0000-0000-0000DD000000}"/>
    <cellStyle name="PrePop Units (0)" xfId="160" xr:uid="{00000000-0005-0000-0000-0000DE000000}"/>
    <cellStyle name="PrePop Units (1)" xfId="161" xr:uid="{00000000-0005-0000-0000-0000DF000000}"/>
    <cellStyle name="PrePop Units (2)" xfId="162" xr:uid="{00000000-0005-0000-0000-0000E0000000}"/>
    <cellStyle name="Price" xfId="163" xr:uid="{00000000-0005-0000-0000-0000E1000000}"/>
    <cellStyle name="Standard 2" xfId="17" xr:uid="{00000000-0005-0000-0000-0000E2000000}"/>
    <cellStyle name="Standard 4" xfId="240" xr:uid="{00000000-0005-0000-0000-0000E3000000}"/>
    <cellStyle name="Standard_Preisermittlung2008_final_englischeBezeichnungABro" xfId="164" xr:uid="{00000000-0005-0000-0000-0000E4000000}"/>
    <cellStyle name="Stil 1" xfId="15" xr:uid="{00000000-0005-0000-0000-0000E5000000}"/>
    <cellStyle name="Stil 1 2" xfId="166" xr:uid="{00000000-0005-0000-0000-0000E6000000}"/>
    <cellStyle name="Style 1" xfId="167" xr:uid="{00000000-0005-0000-0000-0000E7000000}"/>
    <cellStyle name="tabel" xfId="168" xr:uid="{00000000-0005-0000-0000-0000E8000000}"/>
    <cellStyle name="Text Indent A" xfId="169" xr:uid="{00000000-0005-0000-0000-0000E9000000}"/>
    <cellStyle name="Text Indent B" xfId="170" xr:uid="{00000000-0005-0000-0000-0000EA000000}"/>
    <cellStyle name="Text Indent C" xfId="171" xr:uid="{00000000-0005-0000-0000-0000EB000000}"/>
    <cellStyle name="Titel" xfId="172" xr:uid="{00000000-0005-0000-0000-0000EC000000}"/>
    <cellStyle name="Title" xfId="173" xr:uid="{00000000-0005-0000-0000-0000ED000000}"/>
    <cellStyle name="Title 2" xfId="294" xr:uid="{00000000-0005-0000-0000-0000EE000000}"/>
    <cellStyle name="Total" xfId="174" xr:uid="{00000000-0005-0000-0000-0000EF000000}"/>
    <cellStyle name="Total 2" xfId="295" xr:uid="{00000000-0005-0000-0000-0000F0000000}"/>
    <cellStyle name="Unit" xfId="175" xr:uid="{00000000-0005-0000-0000-0000F1000000}"/>
    <cellStyle name="Vertical" xfId="176" xr:uid="{00000000-0005-0000-0000-0000F2000000}"/>
    <cellStyle name="Virgül [0]" xfId="178" xr:uid="{00000000-0005-0000-0000-0000F3000000}"/>
    <cellStyle name="Virgül [0] 2" xfId="179" xr:uid="{00000000-0005-0000-0000-0000F4000000}"/>
    <cellStyle name="Virgül [0]_A4  (2)" xfId="180" xr:uid="{00000000-0005-0000-0000-0000F5000000}"/>
    <cellStyle name="Virgül 10" xfId="181" xr:uid="{00000000-0005-0000-0000-0000F6000000}"/>
    <cellStyle name="Virgül 11" xfId="182" xr:uid="{00000000-0005-0000-0000-0000F7000000}"/>
    <cellStyle name="Virgül 12" xfId="183" xr:uid="{00000000-0005-0000-0000-0000F8000000}"/>
    <cellStyle name="Virgül 13" xfId="184" xr:uid="{00000000-0005-0000-0000-0000F9000000}"/>
    <cellStyle name="Virgül 14" xfId="185" xr:uid="{00000000-0005-0000-0000-0000FA000000}"/>
    <cellStyle name="Virgül 15" xfId="186" xr:uid="{00000000-0005-0000-0000-0000FB000000}"/>
    <cellStyle name="Virgül 16" xfId="187" xr:uid="{00000000-0005-0000-0000-0000FC000000}"/>
    <cellStyle name="Virgül 17" xfId="188" xr:uid="{00000000-0005-0000-0000-0000FD000000}"/>
    <cellStyle name="Virgül 18" xfId="189" xr:uid="{00000000-0005-0000-0000-0000FE000000}"/>
    <cellStyle name="Virgül 19" xfId="190" xr:uid="{00000000-0005-0000-0000-0000FF000000}"/>
    <cellStyle name="Virgül 2" xfId="191" xr:uid="{00000000-0005-0000-0000-000000010000}"/>
    <cellStyle name="Virgül 2 2" xfId="192" xr:uid="{00000000-0005-0000-0000-000001010000}"/>
    <cellStyle name="Virgül 2 2 2" xfId="193" xr:uid="{00000000-0005-0000-0000-000002010000}"/>
    <cellStyle name="Virgül 2 3" xfId="194" xr:uid="{00000000-0005-0000-0000-000003010000}"/>
    <cellStyle name="Virgül 2 4" xfId="195" xr:uid="{00000000-0005-0000-0000-000004010000}"/>
    <cellStyle name="Virgül 2 5" xfId="196" xr:uid="{00000000-0005-0000-0000-000005010000}"/>
    <cellStyle name="Virgül 20" xfId="197" xr:uid="{00000000-0005-0000-0000-000006010000}"/>
    <cellStyle name="Virgül 21" xfId="198" xr:uid="{00000000-0005-0000-0000-000007010000}"/>
    <cellStyle name="Virgül 22" xfId="199" xr:uid="{00000000-0005-0000-0000-000008010000}"/>
    <cellStyle name="Virgül 23" xfId="200" xr:uid="{00000000-0005-0000-0000-000009010000}"/>
    <cellStyle name="Virgül 24" xfId="201" xr:uid="{00000000-0005-0000-0000-00000A010000}"/>
    <cellStyle name="Virgül 25" xfId="202" xr:uid="{00000000-0005-0000-0000-00000B010000}"/>
    <cellStyle name="Virgül 26" xfId="203" xr:uid="{00000000-0005-0000-0000-00000C010000}"/>
    <cellStyle name="Virgül 27" xfId="204" xr:uid="{00000000-0005-0000-0000-00000D010000}"/>
    <cellStyle name="Virgül 28" xfId="205" xr:uid="{00000000-0005-0000-0000-00000E010000}"/>
    <cellStyle name="Virgül 29" xfId="206" xr:uid="{00000000-0005-0000-0000-00000F010000}"/>
    <cellStyle name="Virgül 3" xfId="207" xr:uid="{00000000-0005-0000-0000-000010010000}"/>
    <cellStyle name="Virgül 3 2" xfId="208" xr:uid="{00000000-0005-0000-0000-000011010000}"/>
    <cellStyle name="Virgül 3 3" xfId="209" xr:uid="{00000000-0005-0000-0000-000012010000}"/>
    <cellStyle name="Virgül 3 4" xfId="210" xr:uid="{00000000-0005-0000-0000-000013010000}"/>
    <cellStyle name="Virgül 3 5" xfId="211" xr:uid="{00000000-0005-0000-0000-000014010000}"/>
    <cellStyle name="Virgül 30" xfId="212" xr:uid="{00000000-0005-0000-0000-000015010000}"/>
    <cellStyle name="Virgül 31" xfId="213" xr:uid="{00000000-0005-0000-0000-000016010000}"/>
    <cellStyle name="Virgül 32" xfId="214" xr:uid="{00000000-0005-0000-0000-000017010000}"/>
    <cellStyle name="Virgül 33" xfId="177" xr:uid="{00000000-0005-0000-0000-000018010000}"/>
    <cellStyle name="Virgül 34" xfId="233" xr:uid="{00000000-0005-0000-0000-000019010000}"/>
    <cellStyle name="Virgül 35" xfId="232" xr:uid="{00000000-0005-0000-0000-00001A010000}"/>
    <cellStyle name="Virgül 36" xfId="234" xr:uid="{00000000-0005-0000-0000-00001B010000}"/>
    <cellStyle name="Virgül 37" xfId="231" xr:uid="{00000000-0005-0000-0000-00001C010000}"/>
    <cellStyle name="Virgül 38" xfId="235" xr:uid="{00000000-0005-0000-0000-00001D010000}"/>
    <cellStyle name="Virgül 39" xfId="230" xr:uid="{00000000-0005-0000-0000-00001E010000}"/>
    <cellStyle name="Virgül 4" xfId="215" xr:uid="{00000000-0005-0000-0000-00001F010000}"/>
    <cellStyle name="Virgül 4 2" xfId="216" xr:uid="{00000000-0005-0000-0000-000020010000}"/>
    <cellStyle name="Virgül 4 3" xfId="217" xr:uid="{00000000-0005-0000-0000-000021010000}"/>
    <cellStyle name="Virgül 40" xfId="236" xr:uid="{00000000-0005-0000-0000-000022010000}"/>
    <cellStyle name="Virgül 41" xfId="229" xr:uid="{00000000-0005-0000-0000-000023010000}"/>
    <cellStyle name="Virgül 42" xfId="237" xr:uid="{00000000-0005-0000-0000-000024010000}"/>
    <cellStyle name="Virgül 43" xfId="228" xr:uid="{00000000-0005-0000-0000-000025010000}"/>
    <cellStyle name="Virgül 44" xfId="238" xr:uid="{00000000-0005-0000-0000-000026010000}"/>
    <cellStyle name="Virgül 45" xfId="310" xr:uid="{00000000-0005-0000-0000-000027010000}"/>
    <cellStyle name="Virgül 5" xfId="218" xr:uid="{00000000-0005-0000-0000-000028010000}"/>
    <cellStyle name="Virgül 5 2" xfId="219" xr:uid="{00000000-0005-0000-0000-000029010000}"/>
    <cellStyle name="Virgül 6" xfId="220" xr:uid="{00000000-0005-0000-0000-00002A010000}"/>
    <cellStyle name="Virgül 6 2" xfId="221" xr:uid="{00000000-0005-0000-0000-00002B010000}"/>
    <cellStyle name="Virgül 7" xfId="222" xr:uid="{00000000-0005-0000-0000-00002C010000}"/>
    <cellStyle name="Virgül 7 2" xfId="223" xr:uid="{00000000-0005-0000-0000-00002D010000}"/>
    <cellStyle name="Virgül 8" xfId="224" xr:uid="{00000000-0005-0000-0000-00002E010000}"/>
    <cellStyle name="Virgül 8 2" xfId="225" xr:uid="{00000000-0005-0000-0000-00002F010000}"/>
    <cellStyle name="Virgül 9" xfId="226" xr:uid="{00000000-0005-0000-0000-000030010000}"/>
    <cellStyle name="Warning Text" xfId="227" xr:uid="{00000000-0005-0000-0000-000031010000}"/>
    <cellStyle name="Warning Text 2" xfId="296" xr:uid="{00000000-0005-0000-0000-000032010000}"/>
    <cellStyle name="Yüzde" xfId="1" builtinId="5"/>
    <cellStyle name="Yüzde 2" xfId="5" xr:uid="{00000000-0005-0000-0000-000034010000}"/>
    <cellStyle name="Yüzde 2 37" xfId="2" xr:uid="{00000000-0005-0000-0000-000035010000}"/>
    <cellStyle name="Yüzde 3" xfId="6" xr:uid="{00000000-0005-0000-0000-000036010000}"/>
    <cellStyle name="Yüzde 3 2 2" xfId="8" xr:uid="{00000000-0005-0000-0000-000037010000}"/>
    <cellStyle name="Yüzde 6 2" xfId="7" xr:uid="{00000000-0005-0000-0000-000038010000}"/>
    <cellStyle name="Yüzde 6 2 2" xfId="243" xr:uid="{00000000-0005-0000-0000-000039010000}"/>
  </cellStyles>
  <dxfs count="0"/>
  <tableStyles count="1" defaultTableStyle="TableStyleMedium2" defaultPivotStyle="PivotStyleMedium9">
    <tableStyle name="Tablo Stili 1" pivot="0" count="1" xr9:uid="{00000000-0011-0000-FFFF-FFFF00000000}">
      <tableStyleElement type="firstColumnStripe" size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event\levent%202004\LEVENT\derince\Teklif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TERM21\Desktop\Documents%20and%20Settings\All%20Users\Documents\Book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0\thsd\netbul\den\CPI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-idbcd-wg1\USER\SETSUBI\ME-2&#31309;&#31639;\01&#31309;&#31639;&#12503;&#12525;&#12472;&#12455;&#12463;&#12488;\&#20013;&#22269;\(2004.12)ACW%20PJ(&#12381;&#12398;2&#65289;\pulau%20final\WINDOWS\Desktop\New%20Folder\Qo-158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6.3\Users\Documents%20and%20Settings\dxmoyle\My%20Documents\Miscellaneous%20DCM%20Data\Airport%20Cost%20Comparisons%20Rev0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All%20Users\Documents\Book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K_KEŞİF"/>
      <sheetName val="TESİSAT"/>
      <sheetName val="rayiç"/>
      <sheetName val="İCMAL"/>
      <sheetName val="katsayılar"/>
      <sheetName val="METRAJ"/>
      <sheetName val="BLOK-KEŞİF"/>
      <sheetName val="ELKTRİK.1"/>
      <sheetName val="analiz"/>
      <sheetName val="FİZ"/>
      <sheetName val="KAR-ZARAR"/>
      <sheetName val="NAKİT DEĞERLENDİRME"/>
      <sheetName val="BF"/>
      <sheetName val="BF-EK (ATTIRILMIŞ)"/>
      <sheetName val="KEŞİF"/>
      <sheetName val="KEŞİF(ARTTIRILMIŞ)"/>
      <sheetName val="KEŞİF-EK"/>
      <sheetName val="KEŞİF-fiz"/>
      <sheetName val="KEŞİF-fiz (2)"/>
      <sheetName val="KEŞİF-fiz (3)"/>
      <sheetName val="MAHAL LİSTESİ"/>
      <sheetName val="KİR-KAR"/>
      <sheetName val="KİR-KAR (2)"/>
      <sheetName val="ÖDEME-36-kredisiz"/>
      <sheetName val="ÖDEME-42-kredisiz"/>
      <sheetName val="ÖDEME-36-kredili"/>
      <sheetName val="ÖDEME-36-kredili (2)"/>
      <sheetName val="ÖDEME-36-kredili (3)"/>
      <sheetName val="ELKTRİK_1"/>
      <sheetName val="NAKİT_DEĞERLENDİRME"/>
      <sheetName val="BF-EK_(ATTIRILMIŞ)"/>
      <sheetName val="KEŞİF-fiz_(2)"/>
      <sheetName val="KEŞİF-fiz_(3)"/>
      <sheetName val="MAHAL_LİSTESİ"/>
      <sheetName val="KİR-KAR_(2)"/>
      <sheetName val="ÖDEME-36-kredili_(2)"/>
      <sheetName val="ÖDEME-36-kredili_(3)"/>
      <sheetName val="eritme"/>
      <sheetName val="LİSTE_FİYATLARI"/>
      <sheetName val="metin"/>
      <sheetName val="demir"/>
      <sheetName val="irsaliye_tesbit4-5"/>
      <sheetName val="WEBER_MARKEM_FİYATLAR"/>
      <sheetName val="BUTÇE ÖZET"/>
      <sheetName val="PROJE MUKAYESE"/>
      <sheetName val="İCMAL BÜTÇE"/>
      <sheetName val="GERÇEKLEŞEN BÜTÇE "/>
      <sheetName val="GERÇEKLEŞEN BÜTÇE"/>
      <sheetName val="HEDEF BÜTÇE"/>
      <sheetName val="TT-İCMAL"/>
      <sheetName val="A09 PEYZAJ TT-EK1 "/>
      <sheetName val="A01 TOPRAK İŞLERİ"/>
      <sheetName val="A01 İNKLINOMETRE"/>
      <sheetName val="A02 OZBEK_AS"/>
      <sheetName val="A02 OZBEK_ADI"/>
      <sheetName val="A02  OZBEK_ADA DISI"/>
      <sheetName val="A03 KABA YAPI"/>
      <sheetName val="A04 TUGRA_AS"/>
      <sheetName val="A04 TUGRA_ADI"/>
      <sheetName val="A04 İnce İşler Keşif"/>
      <sheetName val="A04 P-LINE"/>
      <sheetName val="A04 KAPLAMA"/>
      <sheetName val="A04 SOSYAL TESİSLER"/>
      <sheetName val="A04 SERAMİK"/>
      <sheetName val="A04 MERMER KEŞİF"/>
      <sheetName val="MERMER METRAJ"/>
      <sheetName val="A04 ALÜMİNYUM"/>
      <sheetName val="A04 ÇELİK KAPI"/>
      <sheetName val="A04 İÇ KAPI"/>
      <sheetName val="A04 SAC KAPI"/>
      <sheetName val="A04 SAC KAPI METRAJ"/>
      <sheetName val="A04 PVC"/>
      <sheetName val="PVC METRAJI"/>
      <sheetName val="A04 MOBİLYA"/>
      <sheetName val="A04 VİTRİFİYE"/>
      <sheetName val="A-B"/>
      <sheetName val="C-D"/>
      <sheetName val="A1"/>
      <sheetName val="B1"/>
      <sheetName val="E"/>
      <sheetName val="A05 CEPHE"/>
      <sheetName val="A05 DIŞ KABA SIVA"/>
      <sheetName val="A03-04-06 ÇATI "/>
      <sheetName val="A06 PLINE"/>
      <sheetName val="A07 MEK_EROGLU"/>
      <sheetName val="A07 MEK AS"/>
      <sheetName val="YANGIN_AS"/>
      <sheetName val="SIHHİ TESİSAT_AS"/>
      <sheetName val="ISITMA_AS"/>
      <sheetName val="HAVALANDIRMA_AS"/>
      <sheetName val="DOĞALGAZ_AS"/>
      <sheetName val="KLİMA TESİSATI_AS"/>
      <sheetName val="TEST, AYAR, İŞL_AS"/>
      <sheetName val="A07 MEK ADI"/>
      <sheetName val="YANGIN_ADI"/>
      <sheetName val="SIHHİ TESİSAT_ADI"/>
      <sheetName val="ISITMA_ADI"/>
      <sheetName val="HAVALANDIRMA_ADI"/>
      <sheetName val="DOĞALGAZ_ADI"/>
      <sheetName val="KLİMA TESİSATI_ADI"/>
      <sheetName val="TEST, AYAR, İŞL_ADI"/>
      <sheetName val="A08 ELK_EROĞLU"/>
      <sheetName val="A08 AS. AS"/>
      <sheetName val="A08 AS.ADI"/>
      <sheetName val="A08 ELK_AS"/>
      <sheetName val="2 BLOK İCMAL-AS"/>
      <sheetName val=" BL ORTAK ALANLAR-AS"/>
      <sheetName val="BL DAİRE İÇLER-AS"/>
      <sheetName val="3 SOSYAL ALAN GENEL İCMAL-AS"/>
      <sheetName val="HİDROFOR ODASI İCMAL-AS"/>
      <sheetName val="HİDROFOR ODASI-AS"/>
      <sheetName val="SİTE YÖNETİM İCMAL-AS"/>
      <sheetName val="SİTE YÖNETİM-AS"/>
      <sheetName val="SOSYAL TESİS SPOR İCMAL-AS"/>
      <sheetName val="SOSYAL TESİS SPOR-AS"/>
      <sheetName val="SOSYAL TESİS CAFE İCMAL-AS"/>
      <sheetName val="SOSYAL TESİS CAFE-AS"/>
      <sheetName val="GÜVENLİK VE SÜS HAVUZU İCMAL-AS"/>
      <sheetName val="GÜVENLİK VE SÜS HAVUZU"/>
      <sheetName val="4 İCMAL ALTYAPI-AS"/>
      <sheetName val="ALTYAPI-AS"/>
      <sheetName val="A08 ELK_ADI "/>
      <sheetName val="2 BLOK İCMAL-ADI"/>
      <sheetName val=" BL ORTAK ALANLAR-ADI"/>
      <sheetName val="BL DAİRE İÇLERİ-ADI"/>
      <sheetName val="3 SOSYAL ALAN GENEL İCMAL-ADI"/>
      <sheetName val="HİDROFOR ODASI İCMAL-ADI"/>
      <sheetName val="HİDROFOR ODASI-ADI"/>
      <sheetName val="SİTE YÖNETİM İCMAL-ADI"/>
      <sheetName val="SİTE YÖNETİM-ADI"/>
      <sheetName val="SOSYAL TESİS SPOR İCMAL-ADI"/>
      <sheetName val="SOSYAL TESİS SPOR-ADI"/>
      <sheetName val="SOSYAL TESİS CAFE İCMAL-ADI"/>
      <sheetName val="SOSYAL TESİS CAFE-ADI"/>
      <sheetName val="GÜVENLİK VE SÜS HAV-İCMAL-ADI"/>
      <sheetName val="GÜVENLİK VE SÜS HAVUZU-ADI"/>
      <sheetName val="4 İCMAL ALTYAPI-ADI"/>
      <sheetName val="ALTYAPI-ADI"/>
      <sheetName val="A10 ŞANTİYE GELEN GİDER"/>
      <sheetName val="GÜVENLİK KLÜBELERİ"/>
      <sheetName val="(c)YOSİ"/>
      <sheetName val="Kesif_Ozeti"/>
      <sheetName val="boq"/>
      <sheetName val="ELKTRİK_11"/>
      <sheetName val="NAKİT_DEĞERLENDİRME1"/>
      <sheetName val="BF-EK_(ATTIRILMIŞ)1"/>
      <sheetName val="KEŞİF-fiz_(2)1"/>
      <sheetName val="KEŞİF-fiz_(3)1"/>
      <sheetName val="MAHAL_LİSTESİ1"/>
      <sheetName val="KİR-KAR_(2)1"/>
      <sheetName val="ÖDEME-36-kredili_(2)1"/>
      <sheetName val="ÖDEME-36-kredili_(3)1"/>
      <sheetName val="4 -Механика"/>
      <sheetName val="FATURA"/>
      <sheetName val="Teklif.2"/>
      <sheetName val="Faturanızı Özelleştirin"/>
      <sheetName val="BILGI GIR"/>
      <sheetName val="Teklif.2.xls"/>
      <sheetName val="BLOK-KE??F"/>
      <sheetName val="TES?SAT"/>
      <sheetName val="?CMAL"/>
      <sheetName val="katsay?lar"/>
      <sheetName val="Y.D"/>
      <sheetName val="VTR"/>
      <sheetName val="#BAŞV"/>
      <sheetName val="Veri Tabanı"/>
      <sheetName val=""/>
      <sheetName val="Cash2"/>
      <sheetName val="Z"/>
      <sheetName val="1"/>
      <sheetName val="16"/>
      <sheetName val="50"/>
      <sheetName val="ELKTRİK_12"/>
      <sheetName val="NAKİT_DEĞERLENDİRME2"/>
      <sheetName val="BF-EK_(ATTIRILMIŞ)2"/>
      <sheetName val="KEŞİF-fiz_(2)2"/>
      <sheetName val="KEŞİF-fiz_(3)2"/>
      <sheetName val="MAHAL_LİSTESİ2"/>
      <sheetName val="KİR-KAR_(2)2"/>
      <sheetName val="ÖDEME-36-kredili_(2)2"/>
      <sheetName val="ÖDEME-36-kredili_(3)2"/>
      <sheetName val="BUTÇE_ÖZET"/>
      <sheetName val="PROJE_MUKAYESE"/>
      <sheetName val="İCMAL_BÜTÇE"/>
      <sheetName val="GERÇEKLEŞEN_BÜTÇE_"/>
      <sheetName val="GERÇEKLEŞEN_BÜTÇE"/>
      <sheetName val="HEDEF_BÜTÇE"/>
      <sheetName val="A09_PEYZAJ_TT-EK1_"/>
      <sheetName val="A01_TOPRAK_İŞLERİ"/>
      <sheetName val="A01_İNKLINOMETRE"/>
      <sheetName val="A02_OZBEK_AS"/>
      <sheetName val="A02_OZBEK_ADI"/>
      <sheetName val="A02__OZBEK_ADA_DISI"/>
      <sheetName val="A03_KABA_YAPI"/>
      <sheetName val="A04_TUGRA_AS"/>
      <sheetName val="A04_TUGRA_ADI"/>
      <sheetName val="A04_İnce_İşler_Keşif"/>
      <sheetName val="A04_P-LINE"/>
      <sheetName val="A04_KAPLAMA"/>
      <sheetName val="A04_SOSYAL_TESİSLER"/>
      <sheetName val="A04_SERAMİK"/>
      <sheetName val="A04_MERMER_KEŞİF"/>
      <sheetName val="MERMER_METRAJ"/>
      <sheetName val="A04_ALÜMİNYUM"/>
      <sheetName val="A04_ÇELİK_KAPI"/>
      <sheetName val="A04_İÇ_KAPI"/>
      <sheetName val="A04_SAC_KAPI"/>
      <sheetName val="A04_SAC_KAPI_METRAJ"/>
      <sheetName val="A04_PVC"/>
      <sheetName val="PVC_METRAJI"/>
      <sheetName val="A04_MOBİLYA"/>
      <sheetName val="A04_VİTRİFİYE"/>
      <sheetName val="A05_CEPHE"/>
      <sheetName val="A05_DIŞ_KABA_SIVA"/>
      <sheetName val="A03-04-06_ÇATI_"/>
      <sheetName val="A06_PLINE"/>
      <sheetName val="A07_MEK_EROGLU"/>
      <sheetName val="A07_MEK_AS"/>
      <sheetName val="SIHHİ_TESİSAT_AS"/>
      <sheetName val="KLİMA_TESİSATI_AS"/>
      <sheetName val="TEST,_AYAR,_İŞL_AS"/>
      <sheetName val="A07_MEK_ADI"/>
      <sheetName val="SIHHİ_TESİSAT_ADI"/>
      <sheetName val="KLİMA_TESİSATI_ADI"/>
      <sheetName val="TEST,_AYAR,_İŞL_ADI"/>
      <sheetName val="A08_ELK_EROĞLU"/>
      <sheetName val="A08_AS__AS"/>
      <sheetName val="A08_AS_ADI"/>
      <sheetName val="A08_ELK_AS"/>
      <sheetName val="2_BLOK_İCMAL-AS"/>
      <sheetName val="_BL_ORTAK_ALANLAR-AS"/>
      <sheetName val="BL_DAİRE_İÇLER-AS"/>
      <sheetName val="3_SOSYAL_ALAN_GENEL_İCMAL-AS"/>
      <sheetName val="HİDROFOR_ODASI_İCMAL-AS"/>
      <sheetName val="HİDROFOR_ODASI-AS"/>
      <sheetName val="SİTE_YÖNETİM_İCMAL-AS"/>
      <sheetName val="SİTE_YÖNETİM-AS"/>
      <sheetName val="SOSYAL_TESİS_SPOR_İCMAL-AS"/>
      <sheetName val="SOSYAL_TESİS_SPOR-AS"/>
      <sheetName val="SOSYAL_TESİS_CAFE_İCMAL-AS"/>
      <sheetName val="SOSYAL_TESİS_CAFE-AS"/>
      <sheetName val="GÜVENLİK_VE_SÜS_HAVUZU_İCMAL-AS"/>
      <sheetName val="GÜVENLİK_VE_SÜS_HAVUZU"/>
      <sheetName val="4_İCMAL_ALTYAPI-AS"/>
      <sheetName val="A08_ELK_ADI_"/>
      <sheetName val="2_BLOK_İCMAL-ADI"/>
      <sheetName val="_BL_ORTAK_ALANLAR-ADI"/>
      <sheetName val="BL_DAİRE_İÇLERİ-ADI"/>
      <sheetName val="3_SOSYAL_ALAN_GENEL_İCMAL-ADI"/>
      <sheetName val="HİDROFOR_ODASI_İCMAL-ADI"/>
      <sheetName val="HİDROFOR_ODASI-ADI"/>
      <sheetName val="SİTE_YÖNETİM_İCMAL-ADI"/>
      <sheetName val="SİTE_YÖNETİM-ADI"/>
      <sheetName val="SOSYAL_TESİS_SPOR_İCMAL-ADI"/>
      <sheetName val="SOSYAL_TESİS_SPOR-ADI"/>
      <sheetName val="SOSYAL_TESİS_CAFE_İCMAL-ADI"/>
      <sheetName val="SOSYAL_TESİS_CAFE-ADI"/>
      <sheetName val="GÜVENLİK_VE_SÜS_HAV-İCMAL-ADI"/>
      <sheetName val="GÜVENLİK_VE_SÜS_HAVUZU-ADI"/>
      <sheetName val="4_İCMAL_ALTYAPI-ADI"/>
      <sheetName val="A10_ŞANTİYE_GELEN_GİDER"/>
      <sheetName val="GÜVENLİK_KLÜBELERİ"/>
      <sheetName val="4_-Механика"/>
      <sheetName val="masraf yeri"/>
      <sheetName val="imalat iç sayfa"/>
      <sheetName val="TABLO-3"/>
      <sheetName val="TCMB"/>
      <sheetName val="rayıc"/>
      <sheetName val="Sheet1"/>
      <sheetName val="Finansal tamamlanma Eğrisi"/>
      <sheetName val="Teklif_2"/>
      <sheetName val="Faturanızı_Özelleştirin"/>
      <sheetName val="BILGI_GIR"/>
      <sheetName val="Teklif_2_xls"/>
      <sheetName val="Veri_Tabanı"/>
      <sheetName val="Y_D"/>
      <sheetName val="masraf_yeri"/>
      <sheetName val="Kur"/>
      <sheetName val="pencere merkezi ys ab"/>
      <sheetName val="kule pencere merk"/>
      <sheetName val="imalat_iç_sayfa"/>
      <sheetName val="BLOK-KE__F"/>
      <sheetName val="TES_SAT"/>
      <sheetName val="_CMAL"/>
      <sheetName val="katsay_lar"/>
      <sheetName val="KALIP"/>
      <sheetName val="HKED.KEŞFİ İmalat"/>
      <sheetName val="YEŞİL DEFTER-İmalat"/>
      <sheetName val="Sayfa1"/>
      <sheetName val="LOB"/>
      <sheetName val="FitOutConfCentre"/>
      <sheetName val="7İŞGÜCÜ-DAĞILIM"/>
      <sheetName val="Rate Analysis"/>
      <sheetName val="info "/>
      <sheetName val="AC"/>
      <sheetName val="FILTER SCH"/>
      <sheetName val="CONVECTOR"/>
      <sheetName val="FCU "/>
      <sheetName val="37"/>
      <sheetName val="FİRMALAR"/>
      <sheetName val="Demir Fiyat Farkı KD"/>
      <sheetName val="LİSTS"/>
      <sheetName val="Sayfa2"/>
      <sheetName val="13-İŞGÜCÜ.HİSTOGRAM'03"/>
      <sheetName val="Veri"/>
      <sheetName val="ELKTRİK_13"/>
      <sheetName val="NAKİT_DEĞERLENDİRME3"/>
      <sheetName val="BF-EK_(ATTIRILMIŞ)3"/>
      <sheetName val="KEŞİF-fiz_(2)3"/>
      <sheetName val="KEŞİF-fiz_(3)3"/>
      <sheetName val="MAHAL_LİSTESİ3"/>
      <sheetName val="KİR-KAR_(2)3"/>
      <sheetName val="ÖDEME-36-kredili_(2)3"/>
      <sheetName val="ÖDEME-36-kredili_(3)3"/>
      <sheetName val="Faturanızı_Özelleştirin1"/>
      <sheetName val="BILGI_GIR1"/>
      <sheetName val="BUTÇE_ÖZET1"/>
      <sheetName val="PROJE_MUKAYESE1"/>
      <sheetName val="İCMAL_BÜTÇE1"/>
      <sheetName val="GERÇEKLEŞEN_BÜTÇE_1"/>
      <sheetName val="GERÇEKLEŞEN_BÜTÇE1"/>
      <sheetName val="HEDEF_BÜTÇE1"/>
      <sheetName val="A09_PEYZAJ_TT-EK1_1"/>
      <sheetName val="A01_TOPRAK_İŞLERİ1"/>
      <sheetName val="A01_İNKLINOMETRE1"/>
      <sheetName val="A02_OZBEK_AS1"/>
      <sheetName val="A02_OZBEK_ADI1"/>
      <sheetName val="A02__OZBEK_ADA_DISI1"/>
      <sheetName val="A03_KABA_YAPI1"/>
      <sheetName val="A04_TUGRA_AS1"/>
      <sheetName val="A04_TUGRA_ADI1"/>
      <sheetName val="A04_İnce_İşler_Keşif1"/>
      <sheetName val="A04_P-LINE1"/>
      <sheetName val="A04_KAPLAMA1"/>
      <sheetName val="A04_SOSYAL_TESİSLER1"/>
      <sheetName val="A04_SERAMİK1"/>
      <sheetName val="A04_MERMER_KEŞİF1"/>
      <sheetName val="MERMER_METRAJ1"/>
      <sheetName val="A04_ALÜMİNYUM1"/>
      <sheetName val="A04_ÇELİK_KAPI1"/>
      <sheetName val="A04_İÇ_KAPI1"/>
      <sheetName val="A04_SAC_KAPI1"/>
      <sheetName val="A04_SAC_KAPI_METRAJ1"/>
      <sheetName val="A04_PVC1"/>
      <sheetName val="PVC_METRAJI1"/>
      <sheetName val="A04_MOBİLYA1"/>
      <sheetName val="A04_VİTRİFİYE1"/>
      <sheetName val="A05_CEPHE1"/>
      <sheetName val="A05_DIŞ_KABA_SIVA1"/>
      <sheetName val="A03-04-06_ÇATI_1"/>
      <sheetName val="A06_PLINE1"/>
      <sheetName val="A07_MEK_EROGLU1"/>
      <sheetName val="A07_MEK_AS1"/>
      <sheetName val="SIHHİ_TESİSAT_AS1"/>
      <sheetName val="KLİMA_TESİSATI_AS1"/>
      <sheetName val="TEST,_AYAR,_İŞL_AS1"/>
      <sheetName val="A07_MEK_ADI1"/>
      <sheetName val="SIHHİ_TESİSAT_ADI1"/>
      <sheetName val="KLİMA_TESİSATI_ADI1"/>
      <sheetName val="TEST,_AYAR,_İŞL_ADI1"/>
      <sheetName val="A08_ELK_EROĞLU1"/>
      <sheetName val="A08_AS__AS1"/>
      <sheetName val="A08_AS_ADI1"/>
      <sheetName val="A08_ELK_AS1"/>
      <sheetName val="2_BLOK_İCMAL-AS1"/>
      <sheetName val="_BL_ORTAK_ALANLAR-AS1"/>
      <sheetName val="BL_DAİRE_İÇLER-AS1"/>
      <sheetName val="3_SOSYAL_ALAN_GENEL_İCMAL-AS1"/>
      <sheetName val="HİDROFOR_ODASI_İCMAL-AS1"/>
      <sheetName val="HİDROFOR_ODASI-AS1"/>
      <sheetName val="SİTE_YÖNETİM_İCMAL-AS1"/>
      <sheetName val="SİTE_YÖNETİM-AS1"/>
      <sheetName val="SOSYAL_TESİS_SPOR_İCMAL-AS1"/>
      <sheetName val="SOSYAL_TESİS_SPOR-AS1"/>
      <sheetName val="SOSYAL_TESİS_CAFE_İCMAL-AS1"/>
      <sheetName val="SOSYAL_TESİS_CAFE-AS1"/>
      <sheetName val="GÜVENLİK_VE_SÜS_HAVUZU_İCMAL-A1"/>
      <sheetName val="GÜVENLİK_VE_SÜS_HAVUZU1"/>
      <sheetName val="4_İCMAL_ALTYAPI-AS1"/>
      <sheetName val="A08_ELK_ADI_1"/>
      <sheetName val="2_BLOK_İCMAL-ADI1"/>
      <sheetName val="_BL_ORTAK_ALANLAR-ADI1"/>
      <sheetName val="BL_DAİRE_İÇLERİ-ADI1"/>
      <sheetName val="3_SOSYAL_ALAN_GENEL_İCMAL-ADI1"/>
      <sheetName val="HİDROFOR_ODASI_İCMAL-ADI1"/>
      <sheetName val="HİDROFOR_ODASI-ADI1"/>
      <sheetName val="SİTE_YÖNETİM_İCMAL-ADI1"/>
      <sheetName val="SİTE_YÖNETİM-ADI1"/>
      <sheetName val="SOSYAL_TESİS_SPOR_İCMAL-ADI1"/>
      <sheetName val="SOSYAL_TESİS_SPOR-ADI1"/>
      <sheetName val="SOSYAL_TESİS_CAFE_İCMAL-ADI1"/>
      <sheetName val="SOSYAL_TESİS_CAFE-ADI1"/>
      <sheetName val="GÜVENLİK_VE_SÜS_HAV-İCMAL-ADI1"/>
      <sheetName val="GÜVENLİK_VE_SÜS_HAVUZU-ADI1"/>
      <sheetName val="4_İCMAL_ALTYAPI-ADI1"/>
      <sheetName val="A10_ŞANTİYE_GELEN_GİDER1"/>
      <sheetName val="GÜVENLİK_KLÜBELERİ1"/>
      <sheetName val="Teklif_21"/>
      <sheetName val="Teklif_2_xls1"/>
      <sheetName val="imalat_iç_sayfa1"/>
      <sheetName val="HKED_KEŞFİ_İmalat"/>
      <sheetName val="YEŞİL_DEFTER-İmalat"/>
      <sheetName val="Finansal_tamamlanma_Eğrisi"/>
      <sheetName val="Demir_Fiyat_Farkı_KD"/>
      <sheetName val="YK Nat. Gas (Off-site)"/>
      <sheetName val="B. Fiyatlar"/>
      <sheetName val="Общий итог"/>
      <sheetName val="TAŞERON"/>
      <sheetName val="Data - Alt Kategori"/>
      <sheetName val="ELKTRİK_14"/>
      <sheetName val="NAKİT_DEĞERLENDİRME4"/>
      <sheetName val="BF-EK_(ATTIRILMIŞ)4"/>
      <sheetName val="KEŞİF-fiz_(2)4"/>
      <sheetName val="KEŞİF-fiz_(3)4"/>
      <sheetName val="MAHAL_LİSTESİ4"/>
      <sheetName val="KİR-KAR_(2)4"/>
      <sheetName val="ÖDEME-36-kredili_(2)4"/>
      <sheetName val="ÖDEME-36-kredili_(3)4"/>
      <sheetName val="Faturanızı_Özelleştirin2"/>
      <sheetName val="BILGI_GIR2"/>
      <sheetName val="Teklif_22"/>
      <sheetName val="BUTÇE_ÖZET2"/>
      <sheetName val="PROJE_MUKAYESE2"/>
      <sheetName val="İCMAL_BÜTÇE2"/>
      <sheetName val="GERÇEKLEŞEN_BÜTÇE_2"/>
      <sheetName val="GERÇEKLEŞEN_BÜTÇE2"/>
      <sheetName val="HEDEF_BÜTÇE2"/>
      <sheetName val="A09_PEYZAJ_TT-EK1_2"/>
      <sheetName val="A01_TOPRAK_İŞLERİ2"/>
      <sheetName val="A01_İNKLINOMETRE2"/>
      <sheetName val="A02_OZBEK_AS2"/>
      <sheetName val="A02_OZBEK_ADI2"/>
      <sheetName val="A02__OZBEK_ADA_DISI2"/>
      <sheetName val="A03_KABA_YAPI2"/>
      <sheetName val="A04_TUGRA_AS2"/>
      <sheetName val="A04_TUGRA_ADI2"/>
      <sheetName val="A04_İnce_İşler_Keşif2"/>
      <sheetName val="A04_P-LINE2"/>
      <sheetName val="A04_KAPLAMA2"/>
      <sheetName val="A04_SOSYAL_TESİSLER2"/>
      <sheetName val="A04_SERAMİK2"/>
      <sheetName val="A04_MERMER_KEŞİF2"/>
      <sheetName val="MERMER_METRAJ2"/>
      <sheetName val="A04_ALÜMİNYUM2"/>
      <sheetName val="A04_ÇELİK_KAPI2"/>
      <sheetName val="A04_İÇ_KAPI2"/>
      <sheetName val="A04_SAC_KAPI2"/>
      <sheetName val="A04_SAC_KAPI_METRAJ2"/>
      <sheetName val="A04_PVC2"/>
      <sheetName val="PVC_METRAJI2"/>
      <sheetName val="A04_MOBİLYA2"/>
      <sheetName val="A04_VİTRİFİYE2"/>
      <sheetName val="A05_CEPHE2"/>
      <sheetName val="A05_DIŞ_KABA_SIVA2"/>
      <sheetName val="A03-04-06_ÇATI_2"/>
      <sheetName val="A06_PLINE2"/>
      <sheetName val="A07_MEK_EROGLU2"/>
      <sheetName val="A07_MEK_AS2"/>
      <sheetName val="SIHHİ_TESİSAT_AS2"/>
      <sheetName val="KLİMA_TESİSATI_AS2"/>
      <sheetName val="TEST,_AYAR,_İŞL_AS2"/>
      <sheetName val="A07_MEK_ADI2"/>
      <sheetName val="SIHHİ_TESİSAT_ADI2"/>
      <sheetName val="KLİMA_TESİSATI_ADI2"/>
      <sheetName val="TEST,_AYAR,_İŞL_ADI2"/>
      <sheetName val="A08_ELK_EROĞLU2"/>
      <sheetName val="A08_AS__AS2"/>
      <sheetName val="A08_AS_ADI2"/>
      <sheetName val="A08_ELK_AS2"/>
      <sheetName val="2_BLOK_İCMAL-AS2"/>
      <sheetName val="_BL_ORTAK_ALANLAR-AS2"/>
      <sheetName val="BL_DAİRE_İÇLER-AS2"/>
      <sheetName val="3_SOSYAL_ALAN_GENEL_İCMAL-AS2"/>
      <sheetName val="HİDROFOR_ODASI_İCMAL-AS2"/>
      <sheetName val="HİDROFOR_ODASI-AS2"/>
      <sheetName val="SİTE_YÖNETİM_İCMAL-AS2"/>
      <sheetName val="SİTE_YÖNETİM-AS2"/>
      <sheetName val="SOSYAL_TESİS_SPOR_İCMAL-AS2"/>
      <sheetName val="SOSYAL_TESİS_SPOR-AS2"/>
      <sheetName val="SOSYAL_TESİS_CAFE_İCMAL-AS2"/>
      <sheetName val="SOSYAL_TESİS_CAFE-AS2"/>
      <sheetName val="GÜVENLİK_VE_SÜS_HAVUZU_İCMAL-A2"/>
      <sheetName val="GÜVENLİK_VE_SÜS_HAVUZU2"/>
      <sheetName val="4_İCMAL_ALTYAPI-AS2"/>
      <sheetName val="A08_ELK_ADI_2"/>
      <sheetName val="2_BLOK_İCMAL-ADI2"/>
      <sheetName val="_BL_ORTAK_ALANLAR-ADI2"/>
      <sheetName val="BL_DAİRE_İÇLERİ-ADI2"/>
      <sheetName val="3_SOSYAL_ALAN_GENEL_İCMAL-ADI2"/>
      <sheetName val="HİDROFOR_ODASI_İCMAL-ADI2"/>
      <sheetName val="HİDROFOR_ODASI-ADI2"/>
      <sheetName val="SİTE_YÖNETİM_İCMAL-ADI2"/>
      <sheetName val="SİTE_YÖNETİM-ADI2"/>
      <sheetName val="SOSYAL_TESİS_SPOR_İCMAL-ADI2"/>
      <sheetName val="SOSYAL_TESİS_SPOR-ADI2"/>
      <sheetName val="SOSYAL_TESİS_CAFE_İCMAL-ADI2"/>
      <sheetName val="SOSYAL_TESİS_CAFE-ADI2"/>
      <sheetName val="GÜVENLİK_VE_SÜS_HAV-İCMAL-ADI2"/>
      <sheetName val="GÜVENLİK_VE_SÜS_HAVUZU-ADI2"/>
      <sheetName val="4_İCMAL_ALTYAPI-ADI2"/>
      <sheetName val="A10_ŞANTİYE_GELEN_GİDER2"/>
      <sheetName val="GÜVENLİK_KLÜBELERİ2"/>
      <sheetName val="Teklif_2_xls2"/>
      <sheetName val="4_-Механика1"/>
      <sheetName val="imalat_iç_sayfa2"/>
      <sheetName val="Veri_Tabanı1"/>
      <sheetName val="HKED_KEŞFİ_İmalat1"/>
      <sheetName val="YEŞİL_DEFTER-İmalat1"/>
      <sheetName val="Y_D1"/>
      <sheetName val="Finansal_tamamlanma_Eğrisi1"/>
      <sheetName val="Demir_Fiyat_Farkı_KD1"/>
      <sheetName val="masraf_yeri1"/>
      <sheetName val="İhzar"/>
      <sheetName val="ESCON"/>
      <sheetName val="DATA"/>
      <sheetName val="1.11.b"/>
      <sheetName val="Ictas (SPV ve ICA) detay"/>
      <sheetName val="Personel Maliyet Ictas on SPV"/>
      <sheetName val="ELKTRİK_17"/>
      <sheetName val="NAKİT_DEĞERLENDİRME7"/>
      <sheetName val="BF-EK_(ATTIRILMIŞ)7"/>
      <sheetName val="KEŞİF-fiz_(2)7"/>
      <sheetName val="KEŞİF-fiz_(3)7"/>
      <sheetName val="MAHAL_LİSTESİ7"/>
      <sheetName val="KİR-KAR_(2)7"/>
      <sheetName val="ÖDEME-36-kredili_(2)7"/>
      <sheetName val="ÖDEME-36-kredili_(3)7"/>
      <sheetName val="Faturanızı_Özelleştirin5"/>
      <sheetName val="BILGI_GIR5"/>
      <sheetName val="Teklif_25"/>
      <sheetName val="BUTÇE_ÖZET5"/>
      <sheetName val="PROJE_MUKAYESE5"/>
      <sheetName val="İCMAL_BÜTÇE5"/>
      <sheetName val="GERÇEKLEŞEN_BÜTÇE_5"/>
      <sheetName val="GERÇEKLEŞEN_BÜTÇE5"/>
      <sheetName val="HEDEF_BÜTÇE5"/>
      <sheetName val="A09_PEYZAJ_TT-EK1_5"/>
      <sheetName val="A01_TOPRAK_İŞLERİ5"/>
      <sheetName val="A01_İNKLINOMETRE5"/>
      <sheetName val="A02_OZBEK_AS5"/>
      <sheetName val="A02_OZBEK_ADI5"/>
      <sheetName val="A02__OZBEK_ADA_DISI5"/>
      <sheetName val="A03_KABA_YAPI5"/>
      <sheetName val="A04_TUGRA_AS5"/>
      <sheetName val="A04_TUGRA_ADI5"/>
      <sheetName val="A04_İnce_İşler_Keşif5"/>
      <sheetName val="A04_P-LINE5"/>
      <sheetName val="A04_KAPLAMA5"/>
      <sheetName val="A04_SOSYAL_TESİSLER5"/>
      <sheetName val="A04_SERAMİK5"/>
      <sheetName val="A04_MERMER_KEŞİF5"/>
      <sheetName val="MERMER_METRAJ5"/>
      <sheetName val="A04_ALÜMİNYUM5"/>
      <sheetName val="A04_ÇELİK_KAPI5"/>
      <sheetName val="A04_İÇ_KAPI5"/>
      <sheetName val="A04_SAC_KAPI5"/>
      <sheetName val="A04_SAC_KAPI_METRAJ5"/>
      <sheetName val="A04_PVC5"/>
      <sheetName val="PVC_METRAJI5"/>
      <sheetName val="A04_MOBİLYA5"/>
      <sheetName val="A04_VİTRİFİYE5"/>
      <sheetName val="A05_CEPHE5"/>
      <sheetName val="A05_DIŞ_KABA_SIVA5"/>
      <sheetName val="A03-04-06_ÇATI_5"/>
      <sheetName val="A06_PLINE5"/>
      <sheetName val="A07_MEK_EROGLU5"/>
      <sheetName val="A07_MEK_AS5"/>
      <sheetName val="SIHHİ_TESİSAT_AS5"/>
      <sheetName val="KLİMA_TESİSATI_AS5"/>
      <sheetName val="TEST,_AYAR,_İŞL_AS5"/>
      <sheetName val="A07_MEK_ADI5"/>
      <sheetName val="SIHHİ_TESİSAT_ADI5"/>
      <sheetName val="KLİMA_TESİSATI_ADI5"/>
      <sheetName val="TEST,_AYAR,_İŞL_ADI5"/>
      <sheetName val="A08_ELK_EROĞLU5"/>
      <sheetName val="A08_AS__AS5"/>
      <sheetName val="A08_AS_ADI5"/>
      <sheetName val="A08_ELK_AS5"/>
      <sheetName val="2_BLOK_İCMAL-AS5"/>
      <sheetName val="_BL_ORTAK_ALANLAR-AS5"/>
      <sheetName val="BL_DAİRE_İÇLER-AS5"/>
      <sheetName val="3_SOSYAL_ALAN_GENEL_İCMAL-AS5"/>
      <sheetName val="HİDROFOR_ODASI_İCMAL-AS5"/>
      <sheetName val="HİDROFOR_ODASI-AS5"/>
      <sheetName val="SİTE_YÖNETİM_İCMAL-AS5"/>
      <sheetName val="SİTE_YÖNETİM-AS5"/>
      <sheetName val="SOSYAL_TESİS_SPOR_İCMAL-AS5"/>
      <sheetName val="SOSYAL_TESİS_SPOR-AS5"/>
      <sheetName val="SOSYAL_TESİS_CAFE_İCMAL-AS5"/>
      <sheetName val="SOSYAL_TESİS_CAFE-AS5"/>
      <sheetName val="GÜVENLİK_VE_SÜS_HAVUZU_İCMAL-A5"/>
      <sheetName val="GÜVENLİK_VE_SÜS_HAVUZU5"/>
      <sheetName val="4_İCMAL_ALTYAPI-AS5"/>
      <sheetName val="A08_ELK_ADI_5"/>
      <sheetName val="2_BLOK_İCMAL-ADI5"/>
      <sheetName val="_BL_ORTAK_ALANLAR-ADI5"/>
      <sheetName val="BL_DAİRE_İÇLERİ-ADI5"/>
      <sheetName val="3_SOSYAL_ALAN_GENEL_İCMAL-ADI5"/>
      <sheetName val="HİDROFOR_ODASI_İCMAL-ADI5"/>
      <sheetName val="HİDROFOR_ODASI-ADI5"/>
      <sheetName val="SİTE_YÖNETİM_İCMAL-ADI5"/>
      <sheetName val="SİTE_YÖNETİM-ADI5"/>
      <sheetName val="SOSYAL_TESİS_SPOR_İCMAL-ADI5"/>
      <sheetName val="SOSYAL_TESİS_SPOR-ADI5"/>
      <sheetName val="SOSYAL_TESİS_CAFE_İCMAL-ADI5"/>
      <sheetName val="SOSYAL_TESİS_CAFE-ADI5"/>
      <sheetName val="GÜVENLİK_VE_SÜS_HAV-İCMAL-ADI5"/>
      <sheetName val="GÜVENLİK_VE_SÜS_HAVUZU-ADI5"/>
      <sheetName val="4_İCMAL_ALTYAPI-ADI5"/>
      <sheetName val="A10_ŞANTİYE_GELEN_GİDER5"/>
      <sheetName val="GÜVENLİK_KLÜBELERİ5"/>
      <sheetName val="Teklif_2_xls5"/>
      <sheetName val="4_-Механика4"/>
      <sheetName val="imalat_iç_sayfa5"/>
      <sheetName val="Veri_Tabanı4"/>
      <sheetName val="HKED_KEŞFİ_İmalat4"/>
      <sheetName val="YEŞİL_DEFTER-İmalat4"/>
      <sheetName val="Y_D4"/>
      <sheetName val="Finansal_tamamlanma_Eğrisi4"/>
      <sheetName val="Demir_Fiyat_Farkı_KD4"/>
      <sheetName val="masraf_yeri4"/>
      <sheetName val="B__Fiyatlar2"/>
      <sheetName val="ELKTRİK_15"/>
      <sheetName val="NAKİT_DEĞERLENDİRME5"/>
      <sheetName val="BF-EK_(ATTIRILMIŞ)5"/>
      <sheetName val="KEŞİF-fiz_(2)5"/>
      <sheetName val="KEŞİF-fiz_(3)5"/>
      <sheetName val="MAHAL_LİSTESİ5"/>
      <sheetName val="KİR-KAR_(2)5"/>
      <sheetName val="ÖDEME-36-kredili_(2)5"/>
      <sheetName val="ÖDEME-36-kredili_(3)5"/>
      <sheetName val="Faturanızı_Özelleştirin3"/>
      <sheetName val="BILGI_GIR3"/>
      <sheetName val="Teklif_23"/>
      <sheetName val="BUTÇE_ÖZET3"/>
      <sheetName val="PROJE_MUKAYESE3"/>
      <sheetName val="İCMAL_BÜTÇE3"/>
      <sheetName val="GERÇEKLEŞEN_BÜTÇE_3"/>
      <sheetName val="GERÇEKLEŞEN_BÜTÇE3"/>
      <sheetName val="HEDEF_BÜTÇE3"/>
      <sheetName val="A09_PEYZAJ_TT-EK1_3"/>
      <sheetName val="A01_TOPRAK_İŞLERİ3"/>
      <sheetName val="A01_İNKLINOMETRE3"/>
      <sheetName val="A02_OZBEK_AS3"/>
      <sheetName val="A02_OZBEK_ADI3"/>
      <sheetName val="A02__OZBEK_ADA_DISI3"/>
      <sheetName val="A03_KABA_YAPI3"/>
      <sheetName val="A04_TUGRA_AS3"/>
      <sheetName val="A04_TUGRA_ADI3"/>
      <sheetName val="A04_İnce_İşler_Keşif3"/>
      <sheetName val="A04_P-LINE3"/>
      <sheetName val="A04_KAPLAMA3"/>
      <sheetName val="A04_SOSYAL_TESİSLER3"/>
      <sheetName val="A04_SERAMİK3"/>
      <sheetName val="A04_MERMER_KEŞİF3"/>
      <sheetName val="MERMER_METRAJ3"/>
      <sheetName val="A04_ALÜMİNYUM3"/>
      <sheetName val="A04_ÇELİK_KAPI3"/>
      <sheetName val="A04_İÇ_KAPI3"/>
      <sheetName val="A04_SAC_KAPI3"/>
      <sheetName val="A04_SAC_KAPI_METRAJ3"/>
      <sheetName val="A04_PVC3"/>
      <sheetName val="PVC_METRAJI3"/>
      <sheetName val="A04_MOBİLYA3"/>
      <sheetName val="A04_VİTRİFİYE3"/>
      <sheetName val="A05_CEPHE3"/>
      <sheetName val="A05_DIŞ_KABA_SIVA3"/>
      <sheetName val="A03-04-06_ÇATI_3"/>
      <sheetName val="A06_PLINE3"/>
      <sheetName val="A07_MEK_EROGLU3"/>
      <sheetName val="A07_MEK_AS3"/>
      <sheetName val="SIHHİ_TESİSAT_AS3"/>
      <sheetName val="KLİMA_TESİSATI_AS3"/>
      <sheetName val="TEST,_AYAR,_İŞL_AS3"/>
      <sheetName val="A07_MEK_ADI3"/>
      <sheetName val="SIHHİ_TESİSAT_ADI3"/>
      <sheetName val="KLİMA_TESİSATI_ADI3"/>
      <sheetName val="TEST,_AYAR,_İŞL_ADI3"/>
      <sheetName val="A08_ELK_EROĞLU3"/>
      <sheetName val="A08_AS__AS3"/>
      <sheetName val="A08_AS_ADI3"/>
      <sheetName val="A08_ELK_AS3"/>
      <sheetName val="2_BLOK_İCMAL-AS3"/>
      <sheetName val="_BL_ORTAK_ALANLAR-AS3"/>
      <sheetName val="BL_DAİRE_İÇLER-AS3"/>
      <sheetName val="3_SOSYAL_ALAN_GENEL_İCMAL-AS3"/>
      <sheetName val="HİDROFOR_ODASI_İCMAL-AS3"/>
      <sheetName val="HİDROFOR_ODASI-AS3"/>
      <sheetName val="SİTE_YÖNETİM_İCMAL-AS3"/>
      <sheetName val="SİTE_YÖNETİM-AS3"/>
      <sheetName val="SOSYAL_TESİS_SPOR_İCMAL-AS3"/>
      <sheetName val="SOSYAL_TESİS_SPOR-AS3"/>
      <sheetName val="SOSYAL_TESİS_CAFE_İCMAL-AS3"/>
      <sheetName val="SOSYAL_TESİS_CAFE-AS3"/>
      <sheetName val="GÜVENLİK_VE_SÜS_HAVUZU_İCMAL-A3"/>
      <sheetName val="GÜVENLİK_VE_SÜS_HAVUZU3"/>
      <sheetName val="4_İCMAL_ALTYAPI-AS3"/>
      <sheetName val="A08_ELK_ADI_3"/>
      <sheetName val="2_BLOK_İCMAL-ADI3"/>
      <sheetName val="_BL_ORTAK_ALANLAR-ADI3"/>
      <sheetName val="BL_DAİRE_İÇLERİ-ADI3"/>
      <sheetName val="3_SOSYAL_ALAN_GENEL_İCMAL-ADI3"/>
      <sheetName val="HİDROFOR_ODASI_İCMAL-ADI3"/>
      <sheetName val="HİDROFOR_ODASI-ADI3"/>
      <sheetName val="SİTE_YÖNETİM_İCMAL-ADI3"/>
      <sheetName val="SİTE_YÖNETİM-ADI3"/>
      <sheetName val="SOSYAL_TESİS_SPOR_İCMAL-ADI3"/>
      <sheetName val="SOSYAL_TESİS_SPOR-ADI3"/>
      <sheetName val="SOSYAL_TESİS_CAFE_İCMAL-ADI3"/>
      <sheetName val="SOSYAL_TESİS_CAFE-ADI3"/>
      <sheetName val="GÜVENLİK_VE_SÜS_HAV-İCMAL-ADI3"/>
      <sheetName val="GÜVENLİK_VE_SÜS_HAVUZU-ADI3"/>
      <sheetName val="4_İCMAL_ALTYAPI-ADI3"/>
      <sheetName val="A10_ŞANTİYE_GELEN_GİDER3"/>
      <sheetName val="GÜVENLİK_KLÜBELERİ3"/>
      <sheetName val="Teklif_2_xls3"/>
      <sheetName val="4_-Механика2"/>
      <sheetName val="imalat_iç_sayfa3"/>
      <sheetName val="Veri_Tabanı2"/>
      <sheetName val="HKED_KEŞFİ_İmalat2"/>
      <sheetName val="YEŞİL_DEFTER-İmalat2"/>
      <sheetName val="masraf_yeri2"/>
      <sheetName val="Finansal_tamamlanma_Eğrisi2"/>
      <sheetName val="Demir_Fiyat_Farkı_KD2"/>
      <sheetName val="Y_D2"/>
      <sheetName val="B__Fiyatlar"/>
      <sheetName val="ELKTRİK_16"/>
      <sheetName val="NAKİT_DEĞERLENDİRME6"/>
      <sheetName val="BF-EK_(ATTIRILMIŞ)6"/>
      <sheetName val="KEŞİF-fiz_(2)6"/>
      <sheetName val="KEŞİF-fiz_(3)6"/>
      <sheetName val="MAHAL_LİSTESİ6"/>
      <sheetName val="KİR-KAR_(2)6"/>
      <sheetName val="ÖDEME-36-kredili_(2)6"/>
      <sheetName val="ÖDEME-36-kredili_(3)6"/>
      <sheetName val="Faturanızı_Özelleştirin4"/>
      <sheetName val="BILGI_GIR4"/>
      <sheetName val="Teklif_24"/>
      <sheetName val="BUTÇE_ÖZET4"/>
      <sheetName val="PROJE_MUKAYESE4"/>
      <sheetName val="İCMAL_BÜTÇE4"/>
      <sheetName val="GERÇEKLEŞEN_BÜTÇE_4"/>
      <sheetName val="GERÇEKLEŞEN_BÜTÇE4"/>
      <sheetName val="HEDEF_BÜTÇE4"/>
      <sheetName val="A09_PEYZAJ_TT-EK1_4"/>
      <sheetName val="A01_TOPRAK_İŞLERİ4"/>
      <sheetName val="A01_İNKLINOMETRE4"/>
      <sheetName val="A02_OZBEK_AS4"/>
      <sheetName val="A02_OZBEK_ADI4"/>
      <sheetName val="A02__OZBEK_ADA_DISI4"/>
      <sheetName val="A03_KABA_YAPI4"/>
      <sheetName val="A04_TUGRA_AS4"/>
      <sheetName val="A04_TUGRA_ADI4"/>
      <sheetName val="A04_İnce_İşler_Keşif4"/>
      <sheetName val="A04_P-LINE4"/>
      <sheetName val="A04_KAPLAMA4"/>
      <sheetName val="A04_SOSYAL_TESİSLER4"/>
      <sheetName val="A04_SERAMİK4"/>
      <sheetName val="A04_MERMER_KEŞİF4"/>
      <sheetName val="MERMER_METRAJ4"/>
      <sheetName val="A04_ALÜMİNYUM4"/>
      <sheetName val="A04_ÇELİK_KAPI4"/>
      <sheetName val="A04_İÇ_KAPI4"/>
      <sheetName val="A04_SAC_KAPI4"/>
      <sheetName val="A04_SAC_KAPI_METRAJ4"/>
      <sheetName val="A04_PVC4"/>
      <sheetName val="PVC_METRAJI4"/>
      <sheetName val="A04_MOBİLYA4"/>
      <sheetName val="A04_VİTRİFİYE4"/>
      <sheetName val="A05_CEPHE4"/>
      <sheetName val="A05_DIŞ_KABA_SIVA4"/>
      <sheetName val="A03-04-06_ÇATI_4"/>
      <sheetName val="A06_PLINE4"/>
      <sheetName val="A07_MEK_EROGLU4"/>
      <sheetName val="A07_MEK_AS4"/>
      <sheetName val="SIHHİ_TESİSAT_AS4"/>
      <sheetName val="KLİMA_TESİSATI_AS4"/>
      <sheetName val="TEST,_AYAR,_İŞL_AS4"/>
      <sheetName val="A07_MEK_ADI4"/>
      <sheetName val="SIHHİ_TESİSAT_ADI4"/>
      <sheetName val="KLİMA_TESİSATI_ADI4"/>
      <sheetName val="TEST,_AYAR,_İŞL_ADI4"/>
      <sheetName val="A08_ELK_EROĞLU4"/>
      <sheetName val="A08_AS__AS4"/>
      <sheetName val="A08_AS_ADI4"/>
      <sheetName val="A08_ELK_AS4"/>
      <sheetName val="2_BLOK_İCMAL-AS4"/>
      <sheetName val="_BL_ORTAK_ALANLAR-AS4"/>
      <sheetName val="BL_DAİRE_İÇLER-AS4"/>
      <sheetName val="3_SOSYAL_ALAN_GENEL_İCMAL-AS4"/>
      <sheetName val="HİDROFOR_ODASI_İCMAL-AS4"/>
      <sheetName val="HİDROFOR_ODASI-AS4"/>
      <sheetName val="SİTE_YÖNETİM_İCMAL-AS4"/>
      <sheetName val="SİTE_YÖNETİM-AS4"/>
      <sheetName val="SOSYAL_TESİS_SPOR_İCMAL-AS4"/>
      <sheetName val="SOSYAL_TESİS_SPOR-AS4"/>
      <sheetName val="SOSYAL_TESİS_CAFE_İCMAL-AS4"/>
      <sheetName val="SOSYAL_TESİS_CAFE-AS4"/>
      <sheetName val="GÜVENLİK_VE_SÜS_HAVUZU_İCMAL-A4"/>
      <sheetName val="GÜVENLİK_VE_SÜS_HAVUZU4"/>
      <sheetName val="4_İCMAL_ALTYAPI-AS4"/>
      <sheetName val="A08_ELK_ADI_4"/>
      <sheetName val="2_BLOK_İCMAL-ADI4"/>
      <sheetName val="_BL_ORTAK_ALANLAR-ADI4"/>
      <sheetName val="BL_DAİRE_İÇLERİ-ADI4"/>
      <sheetName val="3_SOSYAL_ALAN_GENEL_İCMAL-ADI4"/>
      <sheetName val="HİDROFOR_ODASI_İCMAL-ADI4"/>
      <sheetName val="HİDROFOR_ODASI-ADI4"/>
      <sheetName val="SİTE_YÖNETİM_İCMAL-ADI4"/>
      <sheetName val="SİTE_YÖNETİM-ADI4"/>
      <sheetName val="SOSYAL_TESİS_SPOR_İCMAL-ADI4"/>
      <sheetName val="SOSYAL_TESİS_SPOR-ADI4"/>
      <sheetName val="SOSYAL_TESİS_CAFE_İCMAL-ADI4"/>
      <sheetName val="SOSYAL_TESİS_CAFE-ADI4"/>
      <sheetName val="GÜVENLİK_VE_SÜS_HAV-İCMAL-ADI4"/>
      <sheetName val="GÜVENLİK_VE_SÜS_HAVUZU-ADI4"/>
      <sheetName val="4_İCMAL_ALTYAPI-ADI4"/>
      <sheetName val="A10_ŞANTİYE_GELEN_GİDER4"/>
      <sheetName val="GÜVENLİK_KLÜBELERİ4"/>
      <sheetName val="Teklif_2_xls4"/>
      <sheetName val="4_-Механика3"/>
      <sheetName val="imalat_iç_sayfa4"/>
      <sheetName val="Veri_Tabanı3"/>
      <sheetName val="HKED_KEŞFİ_İmalat3"/>
      <sheetName val="YEŞİL_DEFTER-İmalat3"/>
      <sheetName val="masraf_yeri3"/>
      <sheetName val="Finansal_tamamlanma_Eğrisi3"/>
      <sheetName val="Demir_Fiyat_Farkı_KD3"/>
      <sheetName val="Y_D3"/>
      <sheetName val="B__Fiyatlar1"/>
      <sheetName val="ELKTRİK_18"/>
      <sheetName val="NAKİT_DEĞERLENDİRME8"/>
      <sheetName val="BF-EK_(ATTIRILMIŞ)8"/>
      <sheetName val="KEŞİF-fiz_(2)8"/>
      <sheetName val="KEŞİF-fiz_(3)8"/>
      <sheetName val="MAHAL_LİSTESİ8"/>
      <sheetName val="KİR-KAR_(2)8"/>
      <sheetName val="ÖDEME-36-kredili_(2)8"/>
      <sheetName val="ÖDEME-36-kredili_(3)8"/>
      <sheetName val="Faturanızı_Özelleştirin6"/>
      <sheetName val="BILGI_GIR6"/>
      <sheetName val="Teklif_26"/>
      <sheetName val="BUTÇE_ÖZET6"/>
      <sheetName val="PROJE_MUKAYESE6"/>
      <sheetName val="İCMAL_BÜTÇE6"/>
      <sheetName val="GERÇEKLEŞEN_BÜTÇE_6"/>
      <sheetName val="GERÇEKLEŞEN_BÜTÇE6"/>
      <sheetName val="HEDEF_BÜTÇE6"/>
      <sheetName val="A09_PEYZAJ_TT-EK1_6"/>
      <sheetName val="A01_TOPRAK_İŞLERİ6"/>
      <sheetName val="A01_İNKLINOMETRE6"/>
      <sheetName val="A02_OZBEK_AS6"/>
      <sheetName val="A02_OZBEK_ADI6"/>
      <sheetName val="A02__OZBEK_ADA_DISI6"/>
      <sheetName val="A03_KABA_YAPI6"/>
      <sheetName val="A04_TUGRA_AS6"/>
      <sheetName val="A04_TUGRA_ADI6"/>
      <sheetName val="A04_İnce_İşler_Keşif6"/>
      <sheetName val="A04_P-LINE6"/>
      <sheetName val="A04_KAPLAMA6"/>
      <sheetName val="A04_SOSYAL_TESİSLER6"/>
      <sheetName val="A04_SERAMİK6"/>
      <sheetName val="A04_MERMER_KEŞİF6"/>
      <sheetName val="MERMER_METRAJ6"/>
      <sheetName val="A04_ALÜMİNYUM6"/>
      <sheetName val="A04_ÇELİK_KAPI6"/>
      <sheetName val="A04_İÇ_KAPI6"/>
      <sheetName val="A04_SAC_KAPI6"/>
      <sheetName val="A04_SAC_KAPI_METRAJ6"/>
      <sheetName val="A04_PVC6"/>
      <sheetName val="PVC_METRAJI6"/>
      <sheetName val="A04_MOBİLYA6"/>
      <sheetName val="A04_VİTRİFİYE6"/>
      <sheetName val="A05_CEPHE6"/>
      <sheetName val="A05_DIŞ_KABA_SIVA6"/>
      <sheetName val="A03-04-06_ÇATI_6"/>
      <sheetName val="A06_PLINE6"/>
      <sheetName val="A07_MEK_EROGLU6"/>
      <sheetName val="A07_MEK_AS6"/>
      <sheetName val="SIHHİ_TESİSAT_AS6"/>
      <sheetName val="KLİMA_TESİSATI_AS6"/>
      <sheetName val="TEST,_AYAR,_İŞL_AS6"/>
      <sheetName val="A07_MEK_ADI6"/>
      <sheetName val="SIHHİ_TESİSAT_ADI6"/>
      <sheetName val="KLİMA_TESİSATI_ADI6"/>
      <sheetName val="TEST,_AYAR,_İŞL_ADI6"/>
      <sheetName val="A08_ELK_EROĞLU6"/>
      <sheetName val="A08_AS__AS6"/>
      <sheetName val="A08_AS_ADI6"/>
      <sheetName val="A08_ELK_AS6"/>
      <sheetName val="2_BLOK_İCMAL-AS6"/>
      <sheetName val="_BL_ORTAK_ALANLAR-AS6"/>
      <sheetName val="BL_DAİRE_İÇLER-AS6"/>
      <sheetName val="3_SOSYAL_ALAN_GENEL_İCMAL-AS6"/>
      <sheetName val="HİDROFOR_ODASI_İCMAL-AS6"/>
      <sheetName val="HİDROFOR_ODASI-AS6"/>
      <sheetName val="SİTE_YÖNETİM_İCMAL-AS6"/>
      <sheetName val="SİTE_YÖNETİM-AS6"/>
      <sheetName val="SOSYAL_TESİS_SPOR_İCMAL-AS6"/>
      <sheetName val="SOSYAL_TESİS_SPOR-AS6"/>
      <sheetName val="SOSYAL_TESİS_CAFE_İCMAL-AS6"/>
      <sheetName val="SOSYAL_TESİS_CAFE-AS6"/>
      <sheetName val="GÜVENLİK_VE_SÜS_HAVUZU_İCMAL-A6"/>
      <sheetName val="GÜVENLİK_VE_SÜS_HAVUZU6"/>
      <sheetName val="4_İCMAL_ALTYAPI-AS6"/>
      <sheetName val="A08_ELK_ADI_6"/>
      <sheetName val="2_BLOK_İCMAL-ADI6"/>
      <sheetName val="_BL_ORTAK_ALANLAR-ADI6"/>
      <sheetName val="BL_DAİRE_İÇLERİ-ADI6"/>
      <sheetName val="3_SOSYAL_ALAN_GENEL_İCMAL-ADI6"/>
      <sheetName val="HİDROFOR_ODASI_İCMAL-ADI6"/>
      <sheetName val="HİDROFOR_ODASI-ADI6"/>
      <sheetName val="SİTE_YÖNETİM_İCMAL-ADI6"/>
      <sheetName val="SİTE_YÖNETİM-ADI6"/>
      <sheetName val="SOSYAL_TESİS_SPOR_İCMAL-ADI6"/>
      <sheetName val="SOSYAL_TESİS_SPOR-ADI6"/>
      <sheetName val="SOSYAL_TESİS_CAFE_İCMAL-ADI6"/>
      <sheetName val="SOSYAL_TESİS_CAFE-ADI6"/>
      <sheetName val="GÜVENLİK_VE_SÜS_HAV-İCMAL-ADI6"/>
      <sheetName val="GÜVENLİK_VE_SÜS_HAVUZU-ADI6"/>
      <sheetName val="4_İCMAL_ALTYAPI-ADI6"/>
      <sheetName val="A10_ŞANTİYE_GELEN_GİDER6"/>
      <sheetName val="GÜVENLİK_KLÜBELERİ6"/>
      <sheetName val="Teklif_2_xls6"/>
      <sheetName val="4_-Механика5"/>
      <sheetName val="imalat_iç_sayfa6"/>
      <sheetName val="Veri_Tabanı5"/>
      <sheetName val="HKED_KEŞFİ_İmalat5"/>
      <sheetName val="YEŞİL_DEFTER-İmalat5"/>
      <sheetName val="Y_D5"/>
      <sheetName val="Finansal_tamamlanma_Eğrisi5"/>
      <sheetName val="masraf_yeri5"/>
      <sheetName val="Demir_Fiyat_Farkı_KD5"/>
      <sheetName val="B__Fiyatlar3"/>
      <sheetName val="Bilgi"/>
      <sheetName val="ELKTRİK_19"/>
      <sheetName val="NAKİT_DEĞERLENDİRME9"/>
      <sheetName val="BF-EK_(ATTIRILMIŞ)9"/>
      <sheetName val="KEŞİF-fiz_(2)9"/>
      <sheetName val="KEŞİF-fiz_(3)9"/>
      <sheetName val="MAHAL_LİSTESİ9"/>
      <sheetName val="KİR-KAR_(2)9"/>
      <sheetName val="ÖDEME-36-kredili_(2)9"/>
      <sheetName val="ÖDEME-36-kredili_(3)9"/>
      <sheetName val="Faturanızı_Özelleştirin7"/>
      <sheetName val="BILGI_GIR7"/>
      <sheetName val="Teklif_27"/>
      <sheetName val="BUTÇE_ÖZET7"/>
      <sheetName val="PROJE_MUKAYESE7"/>
      <sheetName val="İCMAL_BÜTÇE7"/>
      <sheetName val="GERÇEKLEŞEN_BÜTÇE_7"/>
      <sheetName val="GERÇEKLEŞEN_BÜTÇE7"/>
      <sheetName val="HEDEF_BÜTÇE7"/>
      <sheetName val="A09_PEYZAJ_TT-EK1_7"/>
      <sheetName val="A01_TOPRAK_İŞLERİ7"/>
      <sheetName val="A01_İNKLINOMETRE7"/>
      <sheetName val="A02_OZBEK_AS7"/>
      <sheetName val="A02_OZBEK_ADI7"/>
      <sheetName val="A02__OZBEK_ADA_DISI7"/>
      <sheetName val="A03_KABA_YAPI7"/>
      <sheetName val="A04_TUGRA_AS7"/>
      <sheetName val="A04_TUGRA_ADI7"/>
      <sheetName val="A04_İnce_İşler_Keşif7"/>
      <sheetName val="A04_P-LINE7"/>
      <sheetName val="A04_KAPLAMA7"/>
      <sheetName val="A04_SOSYAL_TESİSLER7"/>
      <sheetName val="A04_SERAMİK7"/>
      <sheetName val="A04_MERMER_KEŞİF7"/>
      <sheetName val="MERMER_METRAJ7"/>
      <sheetName val="A04_ALÜMİNYUM7"/>
      <sheetName val="A04_ÇELİK_KAPI7"/>
      <sheetName val="A04_İÇ_KAPI7"/>
      <sheetName val="A04_SAC_KAPI7"/>
      <sheetName val="A04_SAC_KAPI_METRAJ7"/>
      <sheetName val="A04_PVC7"/>
      <sheetName val="PVC_METRAJI7"/>
      <sheetName val="A04_MOBİLYA7"/>
      <sheetName val="A04_VİTRİFİYE7"/>
      <sheetName val="A05_CEPHE7"/>
      <sheetName val="A05_DIŞ_KABA_SIVA7"/>
      <sheetName val="A03-04-06_ÇATI_7"/>
      <sheetName val="A06_PLINE7"/>
      <sheetName val="A07_MEK_EROGLU7"/>
      <sheetName val="A07_MEK_AS7"/>
      <sheetName val="SIHHİ_TESİSAT_AS7"/>
      <sheetName val="KLİMA_TESİSATI_AS7"/>
      <sheetName val="TEST,_AYAR,_İŞL_AS7"/>
      <sheetName val="A07_MEK_ADI7"/>
      <sheetName val="SIHHİ_TESİSAT_ADI7"/>
      <sheetName val="KLİMA_TESİSATI_ADI7"/>
      <sheetName val="TEST,_AYAR,_İŞL_ADI7"/>
      <sheetName val="A08_ELK_EROĞLU7"/>
      <sheetName val="A08_AS__AS7"/>
      <sheetName val="A08_AS_ADI7"/>
      <sheetName val="A08_ELK_AS7"/>
      <sheetName val="2_BLOK_İCMAL-AS7"/>
      <sheetName val="_BL_ORTAK_ALANLAR-AS7"/>
      <sheetName val="BL_DAİRE_İÇLER-AS7"/>
      <sheetName val="3_SOSYAL_ALAN_GENEL_İCMAL-AS7"/>
      <sheetName val="HİDROFOR_ODASI_İCMAL-AS7"/>
      <sheetName val="HİDROFOR_ODASI-AS7"/>
      <sheetName val="SİTE_YÖNETİM_İCMAL-AS7"/>
      <sheetName val="SİTE_YÖNETİM-AS7"/>
      <sheetName val="SOSYAL_TESİS_SPOR_İCMAL-AS7"/>
      <sheetName val="SOSYAL_TESİS_SPOR-AS7"/>
      <sheetName val="SOSYAL_TESİS_CAFE_İCMAL-AS7"/>
      <sheetName val="SOSYAL_TESİS_CAFE-AS7"/>
      <sheetName val="GÜVENLİK_VE_SÜS_HAVUZU_İCMAL-A7"/>
      <sheetName val="GÜVENLİK_VE_SÜS_HAVUZU7"/>
      <sheetName val="4_İCMAL_ALTYAPI-AS7"/>
      <sheetName val="A08_ELK_ADI_7"/>
      <sheetName val="2_BLOK_İCMAL-ADI7"/>
      <sheetName val="_BL_ORTAK_ALANLAR-ADI7"/>
      <sheetName val="BL_DAİRE_İÇLERİ-ADI7"/>
      <sheetName val="3_SOSYAL_ALAN_GENEL_İCMAL-ADI7"/>
      <sheetName val="HİDROFOR_ODASI_İCMAL-ADI7"/>
      <sheetName val="HİDROFOR_ODASI-ADI7"/>
      <sheetName val="SİTE_YÖNETİM_İCMAL-ADI7"/>
      <sheetName val="SİTE_YÖNETİM-ADI7"/>
      <sheetName val="SOSYAL_TESİS_SPOR_İCMAL-ADI7"/>
      <sheetName val="SOSYAL_TESİS_SPOR-ADI7"/>
      <sheetName val="SOSYAL_TESİS_CAFE_İCMAL-ADI7"/>
      <sheetName val="SOSYAL_TESİS_CAFE-ADI7"/>
      <sheetName val="GÜVENLİK_VE_SÜS_HAV-İCMAL-ADI7"/>
      <sheetName val="GÜVENLİK_VE_SÜS_HAVUZU-ADI7"/>
      <sheetName val="4_İCMAL_ALTYAPI-ADI7"/>
      <sheetName val="A10_ŞANTİYE_GELEN_GİDER7"/>
      <sheetName val="GÜVENLİK_KLÜBELERİ7"/>
      <sheetName val="Teklif_2_xls7"/>
      <sheetName val="4_-Механика6"/>
      <sheetName val="imalat_iç_sayfa7"/>
      <sheetName val="Veri_Tabanı6"/>
      <sheetName val="HKED_KEŞFİ_İmalat6"/>
      <sheetName val="YEŞİL_DEFTER-İmalat6"/>
      <sheetName val="Y_D6"/>
      <sheetName val="Finansal_tamamlanma_Eğrisi6"/>
      <sheetName val="Demir_Fiyat_Farkı_KD6"/>
      <sheetName val="masraf_yeri6"/>
      <sheetName val="B__Fiyatlar4"/>
      <sheetName val="ELKTRİK_111"/>
      <sheetName val="NAKİT_DEĞERLENDİRME11"/>
      <sheetName val="BF-EK_(ATTIRILMIŞ)11"/>
      <sheetName val="KEŞİF-fiz_(2)11"/>
      <sheetName val="KEŞİF-fiz_(3)11"/>
      <sheetName val="MAHAL_LİSTESİ11"/>
      <sheetName val="KİR-KAR_(2)11"/>
      <sheetName val="ÖDEME-36-kredili_(2)11"/>
      <sheetName val="ÖDEME-36-kredili_(3)11"/>
      <sheetName val="Faturanızı_Özelleştirin9"/>
      <sheetName val="BILGI_GIR9"/>
      <sheetName val="Teklif_29"/>
      <sheetName val="BUTÇE_ÖZET9"/>
      <sheetName val="PROJE_MUKAYESE9"/>
      <sheetName val="İCMAL_BÜTÇE9"/>
      <sheetName val="GERÇEKLEŞEN_BÜTÇE_9"/>
      <sheetName val="GERÇEKLEŞEN_BÜTÇE9"/>
      <sheetName val="HEDEF_BÜTÇE9"/>
      <sheetName val="A09_PEYZAJ_TT-EK1_9"/>
      <sheetName val="A01_TOPRAK_İŞLERİ9"/>
      <sheetName val="A01_İNKLINOMETRE9"/>
      <sheetName val="A02_OZBEK_AS9"/>
      <sheetName val="A02_OZBEK_ADI9"/>
      <sheetName val="A02__OZBEK_ADA_DISI9"/>
      <sheetName val="A03_KABA_YAPI9"/>
      <sheetName val="A04_TUGRA_AS9"/>
      <sheetName val="A04_TUGRA_ADI9"/>
      <sheetName val="A04_İnce_İşler_Keşif9"/>
      <sheetName val="A04_P-LINE9"/>
      <sheetName val="A04_KAPLAMA9"/>
      <sheetName val="A04_SOSYAL_TESİSLER9"/>
      <sheetName val="A04_SERAMİK9"/>
      <sheetName val="A04_MERMER_KEŞİF9"/>
      <sheetName val="MERMER_METRAJ9"/>
      <sheetName val="A04_ALÜMİNYUM9"/>
      <sheetName val="A04_ÇELİK_KAPI9"/>
      <sheetName val="A04_İÇ_KAPI9"/>
      <sheetName val="A04_SAC_KAPI9"/>
      <sheetName val="A04_SAC_KAPI_METRAJ9"/>
      <sheetName val="A04_PVC9"/>
      <sheetName val="PVC_METRAJI9"/>
      <sheetName val="A04_MOBİLYA9"/>
      <sheetName val="A04_VİTRİFİYE9"/>
      <sheetName val="A05_CEPHE9"/>
      <sheetName val="A05_DIŞ_KABA_SIVA9"/>
      <sheetName val="A03-04-06_ÇATI_9"/>
      <sheetName val="A06_PLINE9"/>
      <sheetName val="A07_MEK_EROGLU9"/>
      <sheetName val="A07_MEK_AS9"/>
      <sheetName val="SIHHİ_TESİSAT_AS9"/>
      <sheetName val="KLİMA_TESİSATI_AS9"/>
      <sheetName val="TEST,_AYAR,_İŞL_AS9"/>
      <sheetName val="A07_MEK_ADI9"/>
      <sheetName val="SIHHİ_TESİSAT_ADI9"/>
      <sheetName val="KLİMA_TESİSATI_ADI9"/>
      <sheetName val="TEST,_AYAR,_İŞL_ADI9"/>
      <sheetName val="A08_ELK_EROĞLU9"/>
      <sheetName val="A08_AS__AS9"/>
      <sheetName val="A08_AS_ADI9"/>
      <sheetName val="A08_ELK_AS9"/>
      <sheetName val="2_BLOK_İCMAL-AS9"/>
      <sheetName val="_BL_ORTAK_ALANLAR-AS9"/>
      <sheetName val="BL_DAİRE_İÇLER-AS9"/>
      <sheetName val="3_SOSYAL_ALAN_GENEL_İCMAL-AS9"/>
      <sheetName val="HİDROFOR_ODASI_İCMAL-AS9"/>
      <sheetName val="HİDROFOR_ODASI-AS9"/>
      <sheetName val="SİTE_YÖNETİM_İCMAL-AS9"/>
      <sheetName val="SİTE_YÖNETİM-AS9"/>
      <sheetName val="SOSYAL_TESİS_SPOR_İCMAL-AS9"/>
      <sheetName val="SOSYAL_TESİS_SPOR-AS9"/>
      <sheetName val="SOSYAL_TESİS_CAFE_İCMAL-AS9"/>
      <sheetName val="SOSYAL_TESİS_CAFE-AS9"/>
      <sheetName val="GÜVENLİK_VE_SÜS_HAVUZU_İCMAL-A9"/>
      <sheetName val="GÜVENLİK_VE_SÜS_HAVUZU9"/>
      <sheetName val="4_İCMAL_ALTYAPI-AS9"/>
      <sheetName val="A08_ELK_ADI_9"/>
      <sheetName val="2_BLOK_İCMAL-ADI9"/>
      <sheetName val="_BL_ORTAK_ALANLAR-ADI9"/>
      <sheetName val="BL_DAİRE_İÇLERİ-ADI9"/>
      <sheetName val="3_SOSYAL_ALAN_GENEL_İCMAL-ADI9"/>
      <sheetName val="HİDROFOR_ODASI_İCMAL-ADI9"/>
      <sheetName val="HİDROFOR_ODASI-ADI9"/>
      <sheetName val="SİTE_YÖNETİM_İCMAL-ADI9"/>
      <sheetName val="SİTE_YÖNETİM-ADI9"/>
      <sheetName val="SOSYAL_TESİS_SPOR_İCMAL-ADI9"/>
      <sheetName val="SOSYAL_TESİS_SPOR-ADI9"/>
      <sheetName val="SOSYAL_TESİS_CAFE_İCMAL-ADI9"/>
      <sheetName val="SOSYAL_TESİS_CAFE-ADI9"/>
      <sheetName val="GÜVENLİK_VE_SÜS_HAV-İCMAL-ADI9"/>
      <sheetName val="GÜVENLİK_VE_SÜS_HAVUZU-ADI9"/>
      <sheetName val="4_İCMAL_ALTYAPI-ADI9"/>
      <sheetName val="A10_ŞANTİYE_GELEN_GİDER9"/>
      <sheetName val="GÜVENLİK_KLÜBELERİ9"/>
      <sheetName val="Teklif_2_xls9"/>
      <sheetName val="4_-Механика8"/>
      <sheetName val="imalat_iç_sayfa9"/>
      <sheetName val="Veri_Tabanı8"/>
      <sheetName val="HKED_KEŞFİ_İmalat8"/>
      <sheetName val="YEŞİL_DEFTER-İmalat8"/>
      <sheetName val="Y_D8"/>
      <sheetName val="Finansal_tamamlanma_Eğrisi8"/>
      <sheetName val="Demir_Fiyat_Farkı_KD8"/>
      <sheetName val="masraf_yeri8"/>
      <sheetName val="B__Fiyatlar5"/>
      <sheetName val="ELKTRİK_110"/>
      <sheetName val="NAKİT_DEĞERLENDİRME10"/>
      <sheetName val="BF-EK_(ATTIRILMIŞ)10"/>
      <sheetName val="KEŞİF-fiz_(2)10"/>
      <sheetName val="KEŞİF-fiz_(3)10"/>
      <sheetName val="MAHAL_LİSTESİ10"/>
      <sheetName val="KİR-KAR_(2)10"/>
      <sheetName val="ÖDEME-36-kredili_(2)10"/>
      <sheetName val="ÖDEME-36-kredili_(3)10"/>
      <sheetName val="Faturanızı_Özelleştirin8"/>
      <sheetName val="BILGI_GIR8"/>
      <sheetName val="Teklif_28"/>
      <sheetName val="BUTÇE_ÖZET8"/>
      <sheetName val="PROJE_MUKAYESE8"/>
      <sheetName val="İCMAL_BÜTÇE8"/>
      <sheetName val="GERÇEKLEŞEN_BÜTÇE_8"/>
      <sheetName val="GERÇEKLEŞEN_BÜTÇE8"/>
      <sheetName val="HEDEF_BÜTÇE8"/>
      <sheetName val="A09_PEYZAJ_TT-EK1_8"/>
      <sheetName val="A01_TOPRAK_İŞLERİ8"/>
      <sheetName val="A01_İNKLINOMETRE8"/>
      <sheetName val="A02_OZBEK_AS8"/>
      <sheetName val="A02_OZBEK_ADI8"/>
      <sheetName val="A02__OZBEK_ADA_DISI8"/>
      <sheetName val="A03_KABA_YAPI8"/>
      <sheetName val="A04_TUGRA_AS8"/>
      <sheetName val="A04_TUGRA_ADI8"/>
      <sheetName val="A04_İnce_İşler_Keşif8"/>
      <sheetName val="A04_P-LINE8"/>
      <sheetName val="A04_KAPLAMA8"/>
      <sheetName val="A04_SOSYAL_TESİSLER8"/>
      <sheetName val="A04_SERAMİK8"/>
      <sheetName val="A04_MERMER_KEŞİF8"/>
      <sheetName val="MERMER_METRAJ8"/>
      <sheetName val="A04_ALÜMİNYUM8"/>
      <sheetName val="A04_ÇELİK_KAPI8"/>
      <sheetName val="A04_İÇ_KAPI8"/>
      <sheetName val="A04_SAC_KAPI8"/>
      <sheetName val="A04_SAC_KAPI_METRAJ8"/>
      <sheetName val="A04_PVC8"/>
      <sheetName val="PVC_METRAJI8"/>
      <sheetName val="A04_MOBİLYA8"/>
      <sheetName val="A04_VİTRİFİYE8"/>
      <sheetName val="A05_CEPHE8"/>
      <sheetName val="A05_DIŞ_KABA_SIVA8"/>
      <sheetName val="A03-04-06_ÇATI_8"/>
      <sheetName val="A06_PLINE8"/>
      <sheetName val="A07_MEK_EROGLU8"/>
      <sheetName val="A07_MEK_AS8"/>
      <sheetName val="SIHHİ_TESİSAT_AS8"/>
      <sheetName val="KLİMA_TESİSATI_AS8"/>
      <sheetName val="TEST,_AYAR,_İŞL_AS8"/>
      <sheetName val="A07_MEK_ADI8"/>
      <sheetName val="SIHHİ_TESİSAT_ADI8"/>
      <sheetName val="KLİMA_TESİSATI_ADI8"/>
      <sheetName val="TEST,_AYAR,_İŞL_ADI8"/>
      <sheetName val="A08_ELK_EROĞLU8"/>
      <sheetName val="A08_AS__AS8"/>
      <sheetName val="A08_AS_ADI8"/>
      <sheetName val="A08_ELK_AS8"/>
      <sheetName val="2_BLOK_İCMAL-AS8"/>
      <sheetName val="_BL_ORTAK_ALANLAR-AS8"/>
      <sheetName val="BL_DAİRE_İÇLER-AS8"/>
      <sheetName val="3_SOSYAL_ALAN_GENEL_İCMAL-AS8"/>
      <sheetName val="HİDROFOR_ODASI_İCMAL-AS8"/>
      <sheetName val="HİDROFOR_ODASI-AS8"/>
      <sheetName val="SİTE_YÖNETİM_İCMAL-AS8"/>
      <sheetName val="SİTE_YÖNETİM-AS8"/>
      <sheetName val="SOSYAL_TESİS_SPOR_İCMAL-AS8"/>
      <sheetName val="SOSYAL_TESİS_SPOR-AS8"/>
      <sheetName val="SOSYAL_TESİS_CAFE_İCMAL-AS8"/>
      <sheetName val="SOSYAL_TESİS_CAFE-AS8"/>
      <sheetName val="GÜVENLİK_VE_SÜS_HAVUZU_İCMAL-A8"/>
      <sheetName val="GÜVENLİK_VE_SÜS_HAVUZU8"/>
      <sheetName val="4_İCMAL_ALTYAPI-AS8"/>
      <sheetName val="A08_ELK_ADI_8"/>
      <sheetName val="2_BLOK_İCMAL-ADI8"/>
      <sheetName val="_BL_ORTAK_ALANLAR-ADI8"/>
      <sheetName val="BL_DAİRE_İÇLERİ-ADI8"/>
      <sheetName val="3_SOSYAL_ALAN_GENEL_İCMAL-ADI8"/>
      <sheetName val="HİDROFOR_ODASI_İCMAL-ADI8"/>
      <sheetName val="HİDROFOR_ODASI-ADI8"/>
      <sheetName val="SİTE_YÖNETİM_İCMAL-ADI8"/>
      <sheetName val="SİTE_YÖNETİM-ADI8"/>
      <sheetName val="SOSYAL_TESİS_SPOR_İCMAL-ADI8"/>
      <sheetName val="SOSYAL_TESİS_SPOR-ADI8"/>
      <sheetName val="SOSYAL_TESİS_CAFE_İCMAL-ADI8"/>
      <sheetName val="SOSYAL_TESİS_CAFE-ADI8"/>
      <sheetName val="GÜVENLİK_VE_SÜS_HAV-İCMAL-ADI8"/>
      <sheetName val="GÜVENLİK_VE_SÜS_HAVUZU-ADI8"/>
      <sheetName val="4_İCMAL_ALTYAPI-ADI8"/>
      <sheetName val="A10_ŞANTİYE_GELEN_GİDER8"/>
      <sheetName val="GÜVENLİK_KLÜBELERİ8"/>
      <sheetName val="Teklif_2_xls8"/>
      <sheetName val="4_-Механика7"/>
      <sheetName val="imalat_iç_sayfa8"/>
      <sheetName val="Veri_Tabanı7"/>
      <sheetName val="HKED_KEŞFİ_İmalat7"/>
      <sheetName val="YEŞİL_DEFTER-İmalat7"/>
      <sheetName val="Y_D7"/>
      <sheetName val="Finansal_tamamlanma_Eğrisi7"/>
      <sheetName val="Demir_Fiyat_Farkı_KD7"/>
      <sheetName val="masraf_yeri7"/>
      <sheetName val="Tut 1"/>
      <sheetName val="HAKEDİŞ KEŞFİ"/>
      <sheetName val="SIVA"/>
      <sheetName val="Finansal t. Eğrisi"/>
      <sheetName val="analizler"/>
      <sheetName val="pencere_merkezi_ys_ab"/>
      <sheetName val="kule_pencere_merk"/>
      <sheetName val="info_"/>
      <sheetName val="pencere_merkezi_ys_ab1"/>
      <sheetName val="kule_pencere_merk1"/>
      <sheetName val="LİSTE"/>
      <sheetName val="sarf"/>
      <sheetName val="eryamankeşif"/>
      <sheetName val="YK_Nat__Gas_(Off-site)"/>
      <sheetName val="209"/>
      <sheetName val="210"/>
      <sheetName val="211"/>
      <sheetName val="214"/>
      <sheetName val="215"/>
      <sheetName val="216"/>
      <sheetName val="218"/>
      <sheetName val="221"/>
      <sheetName val="222"/>
      <sheetName val="223"/>
      <sheetName val="224"/>
      <sheetName val="236"/>
      <sheetName val="209a"/>
      <sheetName val="pencere_merkezi_ys_ab2"/>
      <sheetName val="kule_pencere_merk2"/>
      <sheetName val="info_1"/>
      <sheetName val="pencere_merkezi_ys_ab3"/>
      <sheetName val="kule_pencere_merk3"/>
      <sheetName val="info_2"/>
      <sheetName val="pencere_merkezi_ys_ab5"/>
      <sheetName val="kule_pencere_merk5"/>
      <sheetName val="info_4"/>
      <sheetName val="pencere_merkezi_ys_ab4"/>
      <sheetName val="kule_pencere_merk4"/>
      <sheetName val="info_3"/>
      <sheetName val=" N Finansal Eğri"/>
      <sheetName val="AOP Summary-2"/>
      <sheetName val="COST-TZ"/>
      <sheetName val="TASK"/>
      <sheetName val="BOQ "/>
      <sheetName val="MALZEME VE İŞÇİLİK"/>
      <sheetName val="KABULLER"/>
      <sheetName val="BUTCE KURLARI"/>
      <sheetName val="asansör-tr"/>
      <sheetName val="Grafik_Altlık"/>
      <sheetName val="ÖN KAPAK"/>
      <sheetName val="RAPOR1_İMALAT İLERLEME"/>
      <sheetName val="Top Sheet"/>
      <sheetName val="Haftalık.Rapor"/>
      <sheetName val="Kapak"/>
      <sheetName val="PURS ORJİNAL"/>
      <sheetName val="ISTDUV_KUR"/>
      <sheetName val="BRIM_ICMAL"/>
      <sheetName val="TELBAĞ_KUR"/>
      <sheetName val="yoca_kur"/>
      <sheetName val="TESKAN_KUR"/>
      <sheetName val="ISITES_KUR"/>
      <sheetName val="POZLAR"/>
      <sheetName val="YOLOT_KUR"/>
      <sheetName val="BF2001"/>
      <sheetName val="bsat muflu"/>
      <sheetName val="171_02_4 u hangar"/>
      <sheetName val="GENEL KESIF"/>
      <sheetName val="Summary"/>
      <sheetName val="keşif özeti"/>
      <sheetName val="degisken"/>
      <sheetName val="(G)"/>
      <sheetName val="Spread"/>
      <sheetName val="dýsýplýn"/>
      <sheetName val="Sheet2"/>
      <sheetName val="PE-F-42 Rev 01 Manpower"/>
      <sheetName val="arka kapak"/>
      <sheetName val="8) FATURA"/>
      <sheetName val="ISITMA"/>
      <sheetName val="KOD"/>
      <sheetName val="CASHFLOWS"/>
      <sheetName val="ek bina metraj"/>
      <sheetName val="Katsayı"/>
      <sheetName val="TEI"/>
      <sheetName val="PURS"/>
      <sheetName val="İNŞAAT"/>
      <sheetName val="Rapor"/>
      <sheetName val="Опции"/>
      <sheetName val="Проект"/>
      <sheetName val="Анализ"/>
      <sheetName val="Indirects"/>
      <sheetName val="Indr_Dağıtım"/>
      <sheetName val="1,100"/>
      <sheetName val="1,200"/>
      <sheetName val="3,000"/>
      <sheetName val="4,000"/>
      <sheetName val="6,000"/>
      <sheetName val="8,000"/>
      <sheetName val="DİZİN"/>
      <sheetName val="KESİNTİLER"/>
      <sheetName val="sal"/>
      <sheetName val="04.Özet"/>
      <sheetName val="B03"/>
      <sheetName val="ÖDEME-36-kredili_뀁崔퐃㦨"/>
      <sheetName val="ÖDEME-36-kredili_뀀䨔퐃⚨"/>
      <sheetName val="ÖDEME-36-kredili_퐃⚨적췉"/>
      <sheetName val="ÖDEME-36-kredili_𢡊_x001f__x0000_"/>
      <sheetName val="Sebepler"/>
      <sheetName val="MAHFİL KAT"/>
      <sheetName val="ÖDEME-36-kredili_吃ᒘꀁ堮"/>
      <sheetName val="ÖDEME-36-kredili_吂⚘적"/>
      <sheetName val="ÖDEME-36-kredili_Ȁ_x0000_쀀暘"/>
      <sheetName val="ÖDEME-36-kredili_䀀上脂ₙ"/>
      <sheetName val="ÖDEME-36-kredili_脂ₙﰼ"/>
      <sheetName val="MAHAL LİSTELERİ"/>
      <sheetName val="Лист1"/>
      <sheetName val="9.Taşeron"/>
      <sheetName val="bank"/>
      <sheetName val="sheet3"/>
      <sheetName val="HARFLER"/>
      <sheetName val="22 A BLOK YEVMİYE TUTANAĞI"/>
      <sheetName val="TEKLİF İCMALİ"/>
      <sheetName val="İNCE İŞLER"/>
      <sheetName val="1.1"/>
      <sheetName val="1.2"/>
      <sheetName val="1.3"/>
      <sheetName val="1.4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2.10"/>
      <sheetName val="2.11"/>
      <sheetName val="2.12"/>
      <sheetName val="3.1"/>
      <sheetName val="3.2"/>
      <sheetName val="3.3"/>
      <sheetName val="3.4"/>
      <sheetName val="3.5"/>
      <sheetName val="3.6"/>
      <sheetName val="3.7"/>
      <sheetName val="3.8"/>
      <sheetName val="3.9"/>
      <sheetName val="4.1"/>
      <sheetName val="4.2"/>
      <sheetName val="4.3"/>
      <sheetName val="4.4"/>
      <sheetName val="4.5"/>
      <sheetName val="4.6"/>
      <sheetName val="4.7"/>
      <sheetName val="4.8"/>
      <sheetName val="4.9"/>
      <sheetName val="4.10"/>
      <sheetName val="5.1"/>
      <sheetName val="5.2"/>
      <sheetName val="5.3"/>
      <sheetName val="5.4"/>
      <sheetName val="6.1"/>
      <sheetName val="6.2"/>
      <sheetName val="6.3"/>
      <sheetName val="6.4"/>
      <sheetName val="6.5"/>
      <sheetName val="6.6"/>
      <sheetName val="6.7"/>
      <sheetName val="6.8"/>
      <sheetName val="6.9"/>
      <sheetName val="6.10"/>
      <sheetName val="6.11"/>
      <sheetName val="7.1"/>
      <sheetName val="7.2"/>
      <sheetName val="7.3"/>
      <sheetName val="7.4"/>
      <sheetName val="7.5"/>
      <sheetName val="Sayfa7"/>
      <sheetName val="ICMAL"/>
      <sheetName val="bfk2002"/>
      <sheetName val="ÖDEME-36-kredili_Ȁ"/>
      <sheetName val="bfk2000"/>
      <sheetName val="227"/>
      <sheetName val="228"/>
      <sheetName val="231"/>
      <sheetName val="233"/>
      <sheetName val="234"/>
      <sheetName val="ELKTRİK_112"/>
      <sheetName val="NAKİT_DEĞERLENDİRME12"/>
      <sheetName val="BF-EK_(ATTIRILMIŞ)12"/>
      <sheetName val="KEŞİF-fiz_(2)12"/>
      <sheetName val="KEŞİF-fiz_(3)12"/>
      <sheetName val="MAHAL_LİSTESİ12"/>
      <sheetName val="KİR-KAR_(2)12"/>
      <sheetName val="ÖDEME-36-kredili_(2)12"/>
      <sheetName val="ÖDEME-36-kredili_(3)12"/>
      <sheetName val="Faturanızı_Özelleştirin10"/>
      <sheetName val="BILGI_GIR10"/>
      <sheetName val="BUTÇE_ÖZET10"/>
      <sheetName val="PROJE_MUKAYESE10"/>
      <sheetName val="İCMAL_BÜTÇE10"/>
      <sheetName val="GERÇEKLEŞEN_BÜTÇE_10"/>
      <sheetName val="GERÇEKLEŞEN_BÜTÇE10"/>
      <sheetName val="HEDEF_BÜTÇE10"/>
      <sheetName val="A09_PEYZAJ_TT-EK1_10"/>
      <sheetName val="A01_TOPRAK_İŞLERİ10"/>
      <sheetName val="A01_İNKLINOMETRE10"/>
      <sheetName val="A02_OZBEK_AS10"/>
      <sheetName val="A02_OZBEK_ADI10"/>
      <sheetName val="A02__OZBEK_ADA_DISI10"/>
      <sheetName val="A03_KABA_YAPI10"/>
      <sheetName val="A04_TUGRA_AS10"/>
      <sheetName val="A04_TUGRA_ADI10"/>
      <sheetName val="A04_İnce_İşler_Keşif10"/>
      <sheetName val="A04_P-LINE10"/>
      <sheetName val="A04_KAPLAMA10"/>
      <sheetName val="A04_SOSYAL_TESİSLER10"/>
      <sheetName val="A04_SERAMİK10"/>
      <sheetName val="A04_MERMER_KEŞİF10"/>
      <sheetName val="MERMER_METRAJ10"/>
      <sheetName val="A04_ALÜMİNYUM10"/>
      <sheetName val="A04_ÇELİK_KAPI10"/>
      <sheetName val="A04_İÇ_KAPI10"/>
      <sheetName val="A04_SAC_KAPI10"/>
      <sheetName val="A04_SAC_KAPI_METRAJ10"/>
      <sheetName val="A04_PVC10"/>
      <sheetName val="PVC_METRAJI10"/>
      <sheetName val="A04_MOBİLYA10"/>
      <sheetName val="A04_VİTRİFİYE10"/>
      <sheetName val="A05_CEPHE10"/>
      <sheetName val="A05_DIŞ_KABA_SIVA10"/>
      <sheetName val="A03-04-06_ÇATI_10"/>
      <sheetName val="A06_PLINE10"/>
      <sheetName val="A07_MEK_EROGLU10"/>
      <sheetName val="A07_MEK_AS10"/>
      <sheetName val="SIHHİ_TESİSAT_AS10"/>
      <sheetName val="KLİMA_TESİSATI_AS10"/>
      <sheetName val="TEST,_AYAR,_İŞL_AS10"/>
      <sheetName val="A07_MEK_ADI10"/>
      <sheetName val="SIHHİ_TESİSAT_ADI10"/>
      <sheetName val="KLİMA_TESİSATI_ADI10"/>
      <sheetName val="TEST,_AYAR,_İŞL_ADI10"/>
      <sheetName val="A08_ELK_EROĞLU10"/>
      <sheetName val="A08_AS__AS10"/>
      <sheetName val="A08_AS_ADI10"/>
      <sheetName val="A08_ELK_AS10"/>
      <sheetName val="2_BLOK_İCMAL-AS10"/>
      <sheetName val="_BL_ORTAK_ALANLAR-AS10"/>
      <sheetName val="BL_DAİRE_İÇLER-AS10"/>
      <sheetName val="3_SOSYAL_ALAN_GENEL_İCMAL-AS10"/>
      <sheetName val="HİDROFOR_ODASI_İCMAL-AS10"/>
      <sheetName val="HİDROFOR_ODASI-AS10"/>
      <sheetName val="SİTE_YÖNETİM_İCMAL-AS10"/>
      <sheetName val="SİTE_YÖNETİM-AS10"/>
      <sheetName val="SOSYAL_TESİS_SPOR_İCMAL-AS10"/>
      <sheetName val="SOSYAL_TESİS_SPOR-AS10"/>
      <sheetName val="SOSYAL_TESİS_CAFE_İCMAL-AS10"/>
      <sheetName val="SOSYAL_TESİS_CAFE-AS10"/>
      <sheetName val="GÜVENLİK_VE_SÜS_HAVUZU_İCMAL-10"/>
      <sheetName val="GÜVENLİK_VE_SÜS_HAVUZU10"/>
      <sheetName val="4_İCMAL_ALTYAPI-AS10"/>
      <sheetName val="A08_ELK_ADI_10"/>
      <sheetName val="2_BLOK_İCMAL-ADI10"/>
      <sheetName val="_BL_ORTAK_ALANLAR-ADI10"/>
      <sheetName val="BL_DAİRE_İÇLERİ-ADI10"/>
      <sheetName val="3_SOSYAL_ALAN_GENEL_İCMAL-ADI10"/>
      <sheetName val="HİDROFOR_ODASI_İCMAL-ADI10"/>
      <sheetName val="HİDROFOR_ODASI-ADI10"/>
      <sheetName val="SİTE_YÖNETİM_İCMAL-ADI10"/>
      <sheetName val="SİTE_YÖNETİM-ADI10"/>
      <sheetName val="SOSYAL_TESİS_SPOR_İCMAL-ADI10"/>
      <sheetName val="SOSYAL_TESİS_SPOR-ADI10"/>
      <sheetName val="SOSYAL_TESİS_CAFE_İCMAL-ADI10"/>
      <sheetName val="SOSYAL_TESİS_CAFE-ADI10"/>
      <sheetName val="GÜVENLİK_VE_SÜS_HAV-İCMAL-ADI10"/>
      <sheetName val="GÜVENLİK_VE_SÜS_HAVUZU-ADI10"/>
      <sheetName val="4_İCMAL_ALTYAPI-ADI10"/>
      <sheetName val="A10_ŞANTİYE_GELEN_GİDER10"/>
      <sheetName val="GÜVENLİK_KLÜBELERİ10"/>
      <sheetName val="Teklif_210"/>
      <sheetName val="Teklif_2_xls10"/>
      <sheetName val="imalat_iç_sayfa10"/>
      <sheetName val="4_-Механика9"/>
      <sheetName val="Veri_Tabanı9"/>
      <sheetName val="HKED_KEŞFİ_İmalat9"/>
      <sheetName val="YEŞİL_DEFTER-İmalat9"/>
      <sheetName val="Finansal_tamamlanma_Eğrisi9"/>
      <sheetName val="Demir_Fiyat_Farkı_KD9"/>
      <sheetName val="Y_D9"/>
      <sheetName val="masraf_yeri9"/>
      <sheetName val="YK_Nat__Gas_(Off-site)1"/>
      <sheetName val="B__Fiyatlar6"/>
      <sheetName val="Общий_итог"/>
      <sheetName val="pencere_merkezi_ys_ab6"/>
      <sheetName val="kule_pencere_merk6"/>
      <sheetName val="HAKEDİŞ_KEŞFİ"/>
      <sheetName val="info_5"/>
      <sheetName val="_N_Finansal_Eğri"/>
      <sheetName val="AOP_Summary-2"/>
      <sheetName val="BUTCE_KURLARI"/>
      <sheetName val="Data_-_Alt_Kategori"/>
      <sheetName val="13-İŞGÜCÜ_HİSTOGRAM'03"/>
      <sheetName val="Rate_Analysis"/>
      <sheetName val="FILTER_SCH"/>
      <sheetName val="FCU_"/>
      <sheetName val="bsat_muflu"/>
      <sheetName val="MALZEME_VE_İŞÇİLİK"/>
      <sheetName val="ÖN_KAPAK"/>
      <sheetName val="171_02_4_u_hangar"/>
      <sheetName val="GENEL_KESIF"/>
      <sheetName val="RAPOR1_İMALAT_İLERLEME"/>
      <sheetName val="Ictas_(SPV_ve_ICA)_detay"/>
      <sheetName val="Personel_Maliyet_Ictas_on_SPV"/>
      <sheetName val="1_11_b"/>
      <sheetName val="keşif_özeti"/>
      <sheetName val="arka_kapak"/>
      <sheetName val="Finansal_t__Eğrisi"/>
      <sheetName val="Tut_1"/>
      <sheetName val="Top_Sheet"/>
      <sheetName val="Haftalık_Rapor"/>
      <sheetName val="PURS_ORJİNAL"/>
      <sheetName val="ek_bina_metraj"/>
      <sheetName val="8)_FATURA"/>
      <sheetName val="PE-F-42_Rev_01_Manpower"/>
      <sheetName val="ÖDEME-36-kredili_𢡊"/>
      <sheetName val="04_Özet"/>
      <sheetName val="BOQ_"/>
      <sheetName val="ELKTRİK_113"/>
      <sheetName val="NAKİT_DEĞERLENDİRME13"/>
      <sheetName val="BF-EK_(ATTIRILMIŞ)13"/>
      <sheetName val="KEŞİF-fiz_(2)13"/>
      <sheetName val="KEŞİF-fiz_(3)13"/>
      <sheetName val="MAHAL_LİSTESİ13"/>
      <sheetName val="KİR-KAR_(2)13"/>
      <sheetName val="ÖDEME-36-kredili_(2)13"/>
      <sheetName val="ÖDEME-36-kredili_(3)13"/>
      <sheetName val="Faturanızı_Özelleştirin11"/>
      <sheetName val="BILGI_GIR11"/>
      <sheetName val="BUTÇE_ÖZET11"/>
      <sheetName val="PROJE_MUKAYESE11"/>
      <sheetName val="İCMAL_BÜTÇE11"/>
      <sheetName val="GERÇEKLEŞEN_BÜTÇE_11"/>
      <sheetName val="GERÇEKLEŞEN_BÜTÇE11"/>
      <sheetName val="HEDEF_BÜTÇE11"/>
      <sheetName val="A09_PEYZAJ_TT-EK1_11"/>
      <sheetName val="A01_TOPRAK_İŞLERİ11"/>
      <sheetName val="A01_İNKLINOMETRE11"/>
      <sheetName val="A02_OZBEK_AS11"/>
      <sheetName val="A02_OZBEK_ADI11"/>
      <sheetName val="A02__OZBEK_ADA_DISI11"/>
      <sheetName val="A03_KABA_YAPI11"/>
      <sheetName val="A04_TUGRA_AS11"/>
      <sheetName val="A04_TUGRA_ADI11"/>
      <sheetName val="A04_İnce_İşler_Keşif11"/>
      <sheetName val="A04_P-LINE11"/>
      <sheetName val="A04_KAPLAMA11"/>
      <sheetName val="A04_SOSYAL_TESİSLER11"/>
      <sheetName val="A04_SERAMİK11"/>
      <sheetName val="A04_MERMER_KEŞİF11"/>
      <sheetName val="MERMER_METRAJ11"/>
      <sheetName val="A04_ALÜMİNYUM11"/>
      <sheetName val="A04_ÇELİK_KAPI11"/>
      <sheetName val="A04_İÇ_KAPI11"/>
      <sheetName val="A04_SAC_KAPI11"/>
      <sheetName val="A04_SAC_KAPI_METRAJ11"/>
      <sheetName val="A04_PVC11"/>
      <sheetName val="PVC_METRAJI11"/>
      <sheetName val="A04_MOBİLYA11"/>
      <sheetName val="A04_VİTRİFİYE11"/>
      <sheetName val="A05_CEPHE11"/>
      <sheetName val="A05_DIŞ_KABA_SIVA11"/>
      <sheetName val="A03-04-06_ÇATI_11"/>
      <sheetName val="A06_PLINE11"/>
      <sheetName val="A07_MEK_EROGLU11"/>
      <sheetName val="A07_MEK_AS11"/>
      <sheetName val="SIHHİ_TESİSAT_AS11"/>
      <sheetName val="KLİMA_TESİSATI_AS11"/>
      <sheetName val="TEST,_AYAR,_İŞL_AS11"/>
      <sheetName val="A07_MEK_ADI11"/>
      <sheetName val="SIHHİ_TESİSAT_ADI11"/>
      <sheetName val="KLİMA_TESİSATI_ADI11"/>
      <sheetName val="TEST,_AYAR,_İŞL_ADI11"/>
      <sheetName val="A08_ELK_EROĞLU11"/>
      <sheetName val="A08_AS__AS11"/>
      <sheetName val="A08_AS_ADI11"/>
      <sheetName val="A08_ELK_AS11"/>
      <sheetName val="2_BLOK_İCMAL-AS11"/>
      <sheetName val="_BL_ORTAK_ALANLAR-AS11"/>
      <sheetName val="BL_DAİRE_İÇLER-AS11"/>
      <sheetName val="3_SOSYAL_ALAN_GENEL_İCMAL-AS11"/>
      <sheetName val="HİDROFOR_ODASI_İCMAL-AS11"/>
      <sheetName val="HİDROFOR_ODASI-AS11"/>
      <sheetName val="SİTE_YÖNETİM_İCMAL-AS11"/>
      <sheetName val="SİTE_YÖNETİM-AS11"/>
      <sheetName val="SOSYAL_TESİS_SPOR_İCMAL-AS11"/>
      <sheetName val="SOSYAL_TESİS_SPOR-AS11"/>
      <sheetName val="SOSYAL_TESİS_CAFE_İCMAL-AS11"/>
      <sheetName val="SOSYAL_TESİS_CAFE-AS11"/>
      <sheetName val="GÜVENLİK_VE_SÜS_HAVUZU_İCMAL-11"/>
      <sheetName val="GÜVENLİK_VE_SÜS_HAVUZU11"/>
      <sheetName val="4_İCMAL_ALTYAPI-AS11"/>
      <sheetName val="A08_ELK_ADI_11"/>
      <sheetName val="2_BLOK_İCMAL-ADI11"/>
      <sheetName val="_BL_ORTAK_ALANLAR-ADI11"/>
      <sheetName val="BL_DAİRE_İÇLERİ-ADI11"/>
      <sheetName val="3_SOSYAL_ALAN_GENEL_İCMAL-ADI11"/>
      <sheetName val="HİDROFOR_ODASI_İCMAL-ADI11"/>
      <sheetName val="HİDROFOR_ODASI-ADI11"/>
      <sheetName val="SİTE_YÖNETİM_İCMAL-ADI11"/>
      <sheetName val="SİTE_YÖNETİM-ADI11"/>
      <sheetName val="SOSYAL_TESİS_SPOR_İCMAL-ADI11"/>
      <sheetName val="SOSYAL_TESİS_SPOR-ADI11"/>
      <sheetName val="SOSYAL_TESİS_CAFE_İCMAL-ADI11"/>
      <sheetName val="SOSYAL_TESİS_CAFE-ADI11"/>
      <sheetName val="GÜVENLİK_VE_SÜS_HAV-İCMAL-ADI11"/>
      <sheetName val="GÜVENLİK_VE_SÜS_HAVUZU-ADI11"/>
      <sheetName val="4_İCMAL_ALTYAPI-ADI11"/>
      <sheetName val="A10_ŞANTİYE_GELEN_GİDER11"/>
      <sheetName val="GÜVENLİK_KLÜBELERİ11"/>
      <sheetName val="Teklif_211"/>
      <sheetName val="Teklif_2_xls11"/>
      <sheetName val="imalat_iç_sayfa11"/>
      <sheetName val="4_-Механика10"/>
      <sheetName val="Veri_Tabanı10"/>
      <sheetName val="HKED_KEŞFİ_İmalat10"/>
      <sheetName val="YEŞİL_DEFTER-İmalat10"/>
      <sheetName val="Finansal_tamamlanma_Eğrisi10"/>
      <sheetName val="Demir_Fiyat_Farkı_KD10"/>
      <sheetName val="Y_D10"/>
      <sheetName val="masraf_yeri10"/>
      <sheetName val="B__Fiyatlar7"/>
      <sheetName val="YK_Nat__Gas_(Off-site)2"/>
      <sheetName val="Общий_итог1"/>
      <sheetName val="pencere_merkezi_ys_ab7"/>
      <sheetName val="kule_pencere_merk7"/>
      <sheetName val="HAKEDİŞ_KEŞFİ1"/>
      <sheetName val="info_6"/>
      <sheetName val="_N_Finansal_Eğri1"/>
      <sheetName val="AOP_Summary-21"/>
      <sheetName val="BUTCE_KURLARI1"/>
      <sheetName val="Data_-_Alt_Kategori1"/>
      <sheetName val="13-İŞGÜCÜ_HİSTOGRAM'031"/>
      <sheetName val="Rate_Analysis1"/>
      <sheetName val="FILTER_SCH1"/>
      <sheetName val="FCU_1"/>
      <sheetName val="bsat_muflu1"/>
      <sheetName val="MALZEME_VE_İŞÇİLİK1"/>
      <sheetName val="ÖN_KAPAK1"/>
      <sheetName val="RAPOR1_İMALAT_İLERLEME1"/>
      <sheetName val="171_02_4_u_hangar1"/>
      <sheetName val="GENEL_KESIF1"/>
      <sheetName val="Ictas_(SPV_ve_ICA)_detay1"/>
      <sheetName val="Personel_Maliyet_Ictas_on_SPV1"/>
      <sheetName val="1_11_b1"/>
      <sheetName val="arka_kapak1"/>
      <sheetName val="keşif_özeti1"/>
      <sheetName val="Finansal_t__Eğrisi1"/>
      <sheetName val="Tut_11"/>
      <sheetName val="Top_Sheet1"/>
      <sheetName val="Haftalık_Rapor1"/>
      <sheetName val="PURS_ORJİNAL1"/>
      <sheetName val="ek_bina_metraj1"/>
      <sheetName val="8)_FATURA1"/>
      <sheetName val="PE-F-42_Rev_01_Manpower1"/>
      <sheetName val="04_Özet1"/>
      <sheetName val="BOQ_1"/>
      <sheetName val="MAHFİL_KAT"/>
      <sheetName val="ELKTRİK_115"/>
      <sheetName val="NAKİT_DEĞERLENDİRME15"/>
      <sheetName val="BF-EK_(ATTIRILMIŞ)15"/>
      <sheetName val="KEŞİF-fiz_(2)15"/>
      <sheetName val="KEŞİF-fiz_(3)15"/>
      <sheetName val="MAHAL_LİSTESİ15"/>
      <sheetName val="KİR-KAR_(2)15"/>
      <sheetName val="ÖDEME-36-kredili_(2)15"/>
      <sheetName val="ÖDEME-36-kredili_(3)15"/>
      <sheetName val="Faturanızı_Özelleştirin13"/>
      <sheetName val="BILGI_GIR13"/>
      <sheetName val="BUTÇE_ÖZET13"/>
      <sheetName val="PROJE_MUKAYESE13"/>
      <sheetName val="İCMAL_BÜTÇE13"/>
      <sheetName val="GERÇEKLEŞEN_BÜTÇE_13"/>
      <sheetName val="GERÇEKLEŞEN_BÜTÇE13"/>
      <sheetName val="HEDEF_BÜTÇE13"/>
      <sheetName val="A09_PEYZAJ_TT-EK1_13"/>
      <sheetName val="A01_TOPRAK_İŞLERİ13"/>
      <sheetName val="A01_İNKLINOMETRE13"/>
      <sheetName val="A02_OZBEK_AS13"/>
      <sheetName val="A02_OZBEK_ADI13"/>
      <sheetName val="A02__OZBEK_ADA_DISI13"/>
      <sheetName val="A03_KABA_YAPI13"/>
      <sheetName val="A04_TUGRA_AS13"/>
      <sheetName val="A04_TUGRA_ADI13"/>
      <sheetName val="A04_İnce_İşler_Keşif13"/>
      <sheetName val="A04_P-LINE13"/>
      <sheetName val="A04_KAPLAMA13"/>
      <sheetName val="A04_SOSYAL_TESİSLER13"/>
      <sheetName val="A04_SERAMİK13"/>
      <sheetName val="A04_MERMER_KEŞİF13"/>
      <sheetName val="MERMER_METRAJ13"/>
      <sheetName val="A04_ALÜMİNYUM13"/>
      <sheetName val="A04_ÇELİK_KAPI13"/>
      <sheetName val="A04_İÇ_KAPI13"/>
      <sheetName val="A04_SAC_KAPI13"/>
      <sheetName val="A04_SAC_KAPI_METRAJ13"/>
      <sheetName val="A04_PVC13"/>
      <sheetName val="PVC_METRAJI13"/>
      <sheetName val="A04_MOBİLYA13"/>
      <sheetName val="A04_VİTRİFİYE13"/>
      <sheetName val="A05_CEPHE13"/>
      <sheetName val="A05_DIŞ_KABA_SIVA13"/>
      <sheetName val="A03-04-06_ÇATI_13"/>
      <sheetName val="A06_PLINE13"/>
      <sheetName val="A07_MEK_EROGLU13"/>
      <sheetName val="A07_MEK_AS13"/>
      <sheetName val="SIHHİ_TESİSAT_AS13"/>
      <sheetName val="KLİMA_TESİSATI_AS13"/>
      <sheetName val="TEST,_AYAR,_İŞL_AS13"/>
      <sheetName val="A07_MEK_ADI13"/>
      <sheetName val="SIHHİ_TESİSAT_ADI13"/>
      <sheetName val="KLİMA_TESİSATI_ADI13"/>
      <sheetName val="TEST,_AYAR,_İŞL_ADI13"/>
      <sheetName val="A08_ELK_EROĞLU13"/>
      <sheetName val="A08_AS__AS13"/>
      <sheetName val="A08_AS_ADI13"/>
      <sheetName val="A08_ELK_AS13"/>
      <sheetName val="2_BLOK_İCMAL-AS13"/>
      <sheetName val="_BL_ORTAK_ALANLAR-AS13"/>
      <sheetName val="BL_DAİRE_İÇLER-AS13"/>
      <sheetName val="3_SOSYAL_ALAN_GENEL_İCMAL-AS13"/>
      <sheetName val="HİDROFOR_ODASI_İCMAL-AS13"/>
      <sheetName val="HİDROFOR_ODASI-AS13"/>
      <sheetName val="SİTE_YÖNETİM_İCMAL-AS13"/>
      <sheetName val="SİTE_YÖNETİM-AS13"/>
      <sheetName val="SOSYAL_TESİS_SPOR_İCMAL-AS13"/>
      <sheetName val="SOSYAL_TESİS_SPOR-AS13"/>
      <sheetName val="SOSYAL_TESİS_CAFE_İCMAL-AS13"/>
      <sheetName val="SOSYAL_TESİS_CAFE-AS13"/>
      <sheetName val="GÜVENLİK_VE_SÜS_HAVUZU_İCMAL-13"/>
      <sheetName val="GÜVENLİK_VE_SÜS_HAVUZU13"/>
      <sheetName val="4_İCMAL_ALTYAPI-AS13"/>
      <sheetName val="A08_ELK_ADI_13"/>
      <sheetName val="2_BLOK_İCMAL-ADI13"/>
      <sheetName val="_BL_ORTAK_ALANLAR-ADI13"/>
      <sheetName val="BL_DAİRE_İÇLERİ-ADI13"/>
      <sheetName val="3_SOSYAL_ALAN_GENEL_İCMAL-ADI13"/>
      <sheetName val="HİDROFOR_ODASI_İCMAL-ADI13"/>
      <sheetName val="HİDROFOR_ODASI-ADI13"/>
      <sheetName val="SİTE_YÖNETİM_İCMAL-ADI13"/>
      <sheetName val="SİTE_YÖNETİM-ADI13"/>
      <sheetName val="SOSYAL_TESİS_SPOR_İCMAL-ADI13"/>
      <sheetName val="SOSYAL_TESİS_SPOR-ADI13"/>
      <sheetName val="SOSYAL_TESİS_CAFE_İCMAL-ADI13"/>
      <sheetName val="SOSYAL_TESİS_CAFE-ADI13"/>
      <sheetName val="GÜVENLİK_VE_SÜS_HAV-İCMAL-ADI13"/>
      <sheetName val="GÜVENLİK_VE_SÜS_HAVUZU-ADI13"/>
      <sheetName val="4_İCMAL_ALTYAPI-ADI13"/>
      <sheetName val="A10_ŞANTİYE_GELEN_GİDER13"/>
      <sheetName val="GÜVENLİK_KLÜBELERİ13"/>
      <sheetName val="Teklif_213"/>
      <sheetName val="Teklif_2_xls13"/>
      <sheetName val="imalat_iç_sayfa13"/>
      <sheetName val="Veri_Tabanı12"/>
      <sheetName val="4_-Механика12"/>
      <sheetName val="HKED_KEŞFİ_İmalat12"/>
      <sheetName val="YEŞİL_DEFTER-İmalat12"/>
      <sheetName val="Finansal_tamamlanma_Eğrisi12"/>
      <sheetName val="Demir_Fiyat_Farkı_KD12"/>
      <sheetName val="Y_D12"/>
      <sheetName val="masraf_yeri12"/>
      <sheetName val="B__Fiyatlar9"/>
      <sheetName val="YK_Nat__Gas_(Off-site)4"/>
      <sheetName val="Общий_итог3"/>
      <sheetName val="pencere_merkezi_ys_ab9"/>
      <sheetName val="kule_pencere_merk9"/>
      <sheetName val="HAKEDİŞ_KEŞFİ3"/>
      <sheetName val="info_8"/>
      <sheetName val="_N_Finansal_Eğri3"/>
      <sheetName val="AOP_Summary-23"/>
      <sheetName val="BUTCE_KURLARI3"/>
      <sheetName val="Rate_Analysis3"/>
      <sheetName val="FILTER_SCH3"/>
      <sheetName val="FCU_3"/>
      <sheetName val="Data_-_Alt_Kategori3"/>
      <sheetName val="13-İŞGÜCÜ_HİSTOGRAM'033"/>
      <sheetName val="bsat_muflu3"/>
      <sheetName val="MALZEME_VE_İŞÇİLİK3"/>
      <sheetName val="ÖN_KAPAK3"/>
      <sheetName val="171_02_4_u_hangar3"/>
      <sheetName val="GENEL_KESIF3"/>
      <sheetName val="RAPOR1_İMALAT_İLERLEME3"/>
      <sheetName val="Ictas_(SPV_ve_ICA)_detay3"/>
      <sheetName val="Personel_Maliyet_Ictas_on_SPV3"/>
      <sheetName val="1_11_b3"/>
      <sheetName val="PURS_ORJİNAL3"/>
      <sheetName val="arka_kapak3"/>
      <sheetName val="keşif_özeti3"/>
      <sheetName val="Finansal_t__Eğrisi3"/>
      <sheetName val="Tut_13"/>
      <sheetName val="Top_Sheet3"/>
      <sheetName val="Haftalık_Rapor3"/>
      <sheetName val="ek_bina_metraj3"/>
      <sheetName val="8)_FATURA3"/>
      <sheetName val="PE-F-42_Rev_01_Manpower3"/>
      <sheetName val="04_Özet3"/>
      <sheetName val="BOQ_3"/>
      <sheetName val="ELKTRİK_114"/>
      <sheetName val="NAKİT_DEĞERLENDİRME14"/>
      <sheetName val="BF-EK_(ATTIRILMIŞ)14"/>
      <sheetName val="KEŞİF-fiz_(2)14"/>
      <sheetName val="KEŞİF-fiz_(3)14"/>
      <sheetName val="MAHAL_LİSTESİ14"/>
      <sheetName val="KİR-KAR_(2)14"/>
      <sheetName val="ÖDEME-36-kredili_(2)14"/>
      <sheetName val="ÖDEME-36-kredili_(3)14"/>
      <sheetName val="Faturanızı_Özelleştirin12"/>
      <sheetName val="BILGI_GIR12"/>
      <sheetName val="BUTÇE_ÖZET12"/>
      <sheetName val="PROJE_MUKAYESE12"/>
      <sheetName val="İCMAL_BÜTÇE12"/>
      <sheetName val="GERÇEKLEŞEN_BÜTÇE_12"/>
      <sheetName val="GERÇEKLEŞEN_BÜTÇE12"/>
      <sheetName val="HEDEF_BÜTÇE12"/>
      <sheetName val="A09_PEYZAJ_TT-EK1_12"/>
      <sheetName val="A01_TOPRAK_İŞLERİ12"/>
      <sheetName val="A01_İNKLINOMETRE12"/>
      <sheetName val="A02_OZBEK_AS12"/>
      <sheetName val="A02_OZBEK_ADI12"/>
      <sheetName val="A02__OZBEK_ADA_DISI12"/>
      <sheetName val="A03_KABA_YAPI12"/>
      <sheetName val="A04_TUGRA_AS12"/>
      <sheetName val="A04_TUGRA_ADI12"/>
      <sheetName val="A04_İnce_İşler_Keşif12"/>
      <sheetName val="A04_P-LINE12"/>
      <sheetName val="A04_KAPLAMA12"/>
      <sheetName val="A04_SOSYAL_TESİSLER12"/>
      <sheetName val="A04_SERAMİK12"/>
      <sheetName val="A04_MERMER_KEŞİF12"/>
      <sheetName val="MERMER_METRAJ12"/>
      <sheetName val="A04_ALÜMİNYUM12"/>
      <sheetName val="A04_ÇELİK_KAPI12"/>
      <sheetName val="A04_İÇ_KAPI12"/>
      <sheetName val="A04_SAC_KAPI12"/>
      <sheetName val="A04_SAC_KAPI_METRAJ12"/>
      <sheetName val="A04_PVC12"/>
      <sheetName val="PVC_METRAJI12"/>
      <sheetName val="A04_MOBİLYA12"/>
      <sheetName val="A04_VİTRİFİYE12"/>
      <sheetName val="A05_CEPHE12"/>
      <sheetName val="A05_DIŞ_KABA_SIVA12"/>
      <sheetName val="A03-04-06_ÇATI_12"/>
      <sheetName val="A06_PLINE12"/>
      <sheetName val="A07_MEK_EROGLU12"/>
      <sheetName val="A07_MEK_AS12"/>
      <sheetName val="SIHHİ_TESİSAT_AS12"/>
      <sheetName val="KLİMA_TESİSATI_AS12"/>
      <sheetName val="TEST,_AYAR,_İŞL_AS12"/>
      <sheetName val="A07_MEK_ADI12"/>
      <sheetName val="SIHHİ_TESİSAT_ADI12"/>
      <sheetName val="KLİMA_TESİSATI_ADI12"/>
      <sheetName val="TEST,_AYAR,_İŞL_ADI12"/>
      <sheetName val="A08_ELK_EROĞLU12"/>
      <sheetName val="A08_AS__AS12"/>
      <sheetName val="A08_AS_ADI12"/>
      <sheetName val="A08_ELK_AS12"/>
      <sheetName val="2_BLOK_İCMAL-AS12"/>
      <sheetName val="_BL_ORTAK_ALANLAR-AS12"/>
      <sheetName val="BL_DAİRE_İÇLER-AS12"/>
      <sheetName val="3_SOSYAL_ALAN_GENEL_İCMAL-AS12"/>
      <sheetName val="HİDROFOR_ODASI_İCMAL-AS12"/>
      <sheetName val="HİDROFOR_ODASI-AS12"/>
      <sheetName val="SİTE_YÖNETİM_İCMAL-AS12"/>
      <sheetName val="SİTE_YÖNETİM-AS12"/>
      <sheetName val="SOSYAL_TESİS_SPOR_İCMAL-AS12"/>
      <sheetName val="SOSYAL_TESİS_SPOR-AS12"/>
      <sheetName val="SOSYAL_TESİS_CAFE_İCMAL-AS12"/>
      <sheetName val="SOSYAL_TESİS_CAFE-AS12"/>
      <sheetName val="GÜVENLİK_VE_SÜS_HAVUZU_İCMAL-12"/>
      <sheetName val="GÜVENLİK_VE_SÜS_HAVUZU12"/>
      <sheetName val="4_İCMAL_ALTYAPI-AS12"/>
      <sheetName val="A08_ELK_ADI_12"/>
      <sheetName val="2_BLOK_İCMAL-ADI12"/>
      <sheetName val="_BL_ORTAK_ALANLAR-ADI12"/>
      <sheetName val="BL_DAİRE_İÇLERİ-ADI12"/>
      <sheetName val="3_SOSYAL_ALAN_GENEL_İCMAL-ADI12"/>
      <sheetName val="HİDROFOR_ODASI_İCMAL-ADI12"/>
      <sheetName val="HİDROFOR_ODASI-ADI12"/>
      <sheetName val="SİTE_YÖNETİM_İCMAL-ADI12"/>
      <sheetName val="SİTE_YÖNETİM-ADI12"/>
      <sheetName val="SOSYAL_TESİS_SPOR_İCMAL-ADI12"/>
      <sheetName val="SOSYAL_TESİS_SPOR-ADI12"/>
      <sheetName val="SOSYAL_TESİS_CAFE_İCMAL-ADI12"/>
      <sheetName val="SOSYAL_TESİS_CAFE-ADI12"/>
      <sheetName val="GÜVENLİK_VE_SÜS_HAV-İCMAL-ADI12"/>
      <sheetName val="GÜVENLİK_VE_SÜS_HAVUZU-ADI12"/>
      <sheetName val="4_İCMAL_ALTYAPI-ADI12"/>
      <sheetName val="A10_ŞANTİYE_GELEN_GİDER12"/>
      <sheetName val="GÜVENLİK_KLÜBELERİ12"/>
      <sheetName val="Teklif_212"/>
      <sheetName val="Teklif_2_xls12"/>
      <sheetName val="imalat_iç_sayfa12"/>
      <sheetName val="Veri_Tabanı11"/>
      <sheetName val="4_-Механика11"/>
      <sheetName val="HKED_KEŞFİ_İmalat11"/>
      <sheetName val="YEŞİL_DEFTER-İmalat11"/>
      <sheetName val="Finansal_tamamlanma_Eğrisi11"/>
      <sheetName val="Demir_Fiyat_Farkı_KD11"/>
      <sheetName val="Y_D11"/>
      <sheetName val="masraf_yeri11"/>
      <sheetName val="B__Fiyatlar8"/>
      <sheetName val="YK_Nat__Gas_(Off-site)3"/>
      <sheetName val="Общий_итог2"/>
      <sheetName val="pencere_merkezi_ys_ab8"/>
      <sheetName val="kule_pencere_merk8"/>
      <sheetName val="HAKEDİŞ_KEŞFİ2"/>
      <sheetName val="info_7"/>
      <sheetName val="_N_Finansal_Eğri2"/>
      <sheetName val="AOP_Summary-22"/>
      <sheetName val="BUTCE_KURLARI2"/>
      <sheetName val="Rate_Analysis2"/>
      <sheetName val="FILTER_SCH2"/>
      <sheetName val="FCU_2"/>
      <sheetName val="Data_-_Alt_Kategori2"/>
      <sheetName val="13-İŞGÜCÜ_HİSTOGRAM'032"/>
      <sheetName val="bsat_muflu2"/>
      <sheetName val="MALZEME_VE_İŞÇİLİK2"/>
      <sheetName val="ÖN_KAPAK2"/>
      <sheetName val="171_02_4_u_hangar2"/>
      <sheetName val="GENEL_KESIF2"/>
      <sheetName val="RAPOR1_İMALAT_İLERLEME2"/>
      <sheetName val="Ictas_(SPV_ve_ICA)_detay2"/>
      <sheetName val="Personel_Maliyet_Ictas_on_SPV2"/>
      <sheetName val="1_11_b2"/>
      <sheetName val="PURS_ORJİNAL2"/>
      <sheetName val="arka_kapak2"/>
      <sheetName val="keşif_özeti2"/>
      <sheetName val="Finansal_t__Eğrisi2"/>
      <sheetName val="Tut_12"/>
      <sheetName val="Top_Sheet2"/>
      <sheetName val="Haftalık_Rapor2"/>
      <sheetName val="ek_bina_metraj2"/>
      <sheetName val="8)_FATURA2"/>
      <sheetName val="PE-F-42_Rev_01_Manpower2"/>
      <sheetName val="04_Özet2"/>
      <sheetName val="BOQ_2"/>
      <sheetName val="ELKTRİK_116"/>
      <sheetName val="NAKİT_DEĞERLENDİRME16"/>
      <sheetName val="BF-EK_(ATTIRILMIŞ)16"/>
      <sheetName val="KEŞİF-fiz_(2)16"/>
      <sheetName val="KEŞİF-fiz_(3)16"/>
      <sheetName val="MAHAL_LİSTESİ16"/>
      <sheetName val="KİR-KAR_(2)16"/>
      <sheetName val="ÖDEME-36-kredili_(2)16"/>
      <sheetName val="ÖDEME-36-kredili_(3)16"/>
      <sheetName val="Faturanızı_Özelleştirin14"/>
      <sheetName val="BILGI_GIR14"/>
      <sheetName val="BUTÇE_ÖZET14"/>
      <sheetName val="PROJE_MUKAYESE14"/>
      <sheetName val="İCMAL_BÜTÇE14"/>
      <sheetName val="GERÇEKLEŞEN_BÜTÇE_14"/>
      <sheetName val="GERÇEKLEŞEN_BÜTÇE14"/>
      <sheetName val="HEDEF_BÜTÇE14"/>
      <sheetName val="A09_PEYZAJ_TT-EK1_14"/>
      <sheetName val="A01_TOPRAK_İŞLERİ14"/>
      <sheetName val="A01_İNKLINOMETRE14"/>
      <sheetName val="A02_OZBEK_AS14"/>
      <sheetName val="A02_OZBEK_ADI14"/>
      <sheetName val="A02__OZBEK_ADA_DISI14"/>
      <sheetName val="A03_KABA_YAPI14"/>
      <sheetName val="A04_TUGRA_AS14"/>
      <sheetName val="A04_TUGRA_ADI14"/>
      <sheetName val="A04_İnce_İşler_Keşif14"/>
      <sheetName val="A04_P-LINE14"/>
      <sheetName val="A04_KAPLAMA14"/>
      <sheetName val="A04_SOSYAL_TESİSLER14"/>
      <sheetName val="A04_SERAMİK14"/>
      <sheetName val="A04_MERMER_KEŞİF14"/>
      <sheetName val="MERMER_METRAJ14"/>
      <sheetName val="A04_ALÜMİNYUM14"/>
      <sheetName val="A04_ÇELİK_KAPI14"/>
      <sheetName val="A04_İÇ_KAPI14"/>
      <sheetName val="A04_SAC_KAPI14"/>
      <sheetName val="A04_SAC_KAPI_METRAJ14"/>
      <sheetName val="A04_PVC14"/>
      <sheetName val="PVC_METRAJI14"/>
      <sheetName val="A04_MOBİLYA14"/>
      <sheetName val="A04_VİTRİFİYE14"/>
      <sheetName val="A05_CEPHE14"/>
      <sheetName val="A05_DIŞ_KABA_SIVA14"/>
      <sheetName val="A03-04-06_ÇATI_14"/>
      <sheetName val="A06_PLINE14"/>
      <sheetName val="A07_MEK_EROGLU14"/>
      <sheetName val="A07_MEK_AS14"/>
      <sheetName val="SIHHİ_TESİSAT_AS14"/>
      <sheetName val="KLİMA_TESİSATI_AS14"/>
      <sheetName val="TEST,_AYAR,_İŞL_AS14"/>
      <sheetName val="A07_MEK_ADI14"/>
      <sheetName val="SIHHİ_TESİSAT_ADI14"/>
      <sheetName val="KLİMA_TESİSATI_ADI14"/>
      <sheetName val="TEST,_AYAR,_İŞL_ADI14"/>
      <sheetName val="A08_ELK_EROĞLU14"/>
      <sheetName val="A08_AS__AS14"/>
      <sheetName val="A08_AS_ADI14"/>
      <sheetName val="A08_ELK_AS14"/>
      <sheetName val="2_BLOK_İCMAL-AS14"/>
      <sheetName val="_BL_ORTAK_ALANLAR-AS14"/>
      <sheetName val="BL_DAİRE_İÇLER-AS14"/>
      <sheetName val="3_SOSYAL_ALAN_GENEL_İCMAL-AS14"/>
      <sheetName val="HİDROFOR_ODASI_İCMAL-AS14"/>
      <sheetName val="HİDROFOR_ODASI-AS14"/>
      <sheetName val="SİTE_YÖNETİM_İCMAL-AS14"/>
      <sheetName val="SİTE_YÖNETİM-AS14"/>
      <sheetName val="SOSYAL_TESİS_SPOR_İCMAL-AS14"/>
      <sheetName val="SOSYAL_TESİS_SPOR-AS14"/>
      <sheetName val="SOSYAL_TESİS_CAFE_İCMAL-AS14"/>
      <sheetName val="SOSYAL_TESİS_CAFE-AS14"/>
      <sheetName val="GÜVENLİK_VE_SÜS_HAVUZU_İCMAL-14"/>
      <sheetName val="GÜVENLİK_VE_SÜS_HAVUZU14"/>
      <sheetName val="4_İCMAL_ALTYAPI-AS14"/>
      <sheetName val="A08_ELK_ADI_14"/>
      <sheetName val="2_BLOK_İCMAL-ADI14"/>
      <sheetName val="_BL_ORTAK_ALANLAR-ADI14"/>
      <sheetName val="BL_DAİRE_İÇLERİ-ADI14"/>
      <sheetName val="3_SOSYAL_ALAN_GENEL_İCMAL-ADI14"/>
      <sheetName val="HİDROFOR_ODASI_İCMAL-ADI14"/>
      <sheetName val="HİDROFOR_ODASI-ADI14"/>
      <sheetName val="SİTE_YÖNETİM_İCMAL-ADI14"/>
      <sheetName val="SİTE_YÖNETİM-ADI14"/>
      <sheetName val="SOSYAL_TESİS_SPOR_İCMAL-ADI14"/>
      <sheetName val="SOSYAL_TESİS_SPOR-ADI14"/>
      <sheetName val="SOSYAL_TESİS_CAFE_İCMAL-ADI14"/>
      <sheetName val="SOSYAL_TESİS_CAFE-ADI14"/>
      <sheetName val="GÜVENLİK_VE_SÜS_HAV-İCMAL-ADI14"/>
      <sheetName val="GÜVENLİK_VE_SÜS_HAVUZU-ADI14"/>
      <sheetName val="4_İCMAL_ALTYAPI-ADI14"/>
      <sheetName val="A10_ŞANTİYE_GELEN_GİDER14"/>
      <sheetName val="GÜVENLİK_KLÜBELERİ14"/>
      <sheetName val="Teklif_214"/>
      <sheetName val="Teklif_2_xls14"/>
      <sheetName val="imalat_iç_sayfa14"/>
      <sheetName val="Veri_Tabanı13"/>
      <sheetName val="4_-Механика13"/>
      <sheetName val="HKED_KEŞFİ_İmalat13"/>
      <sheetName val="YEŞİL_DEFTER-İmalat13"/>
      <sheetName val="Finansal_tamamlanma_Eğrisi13"/>
      <sheetName val="Demir_Fiyat_Farkı_KD13"/>
      <sheetName val="Y_D13"/>
      <sheetName val="masraf_yeri13"/>
      <sheetName val="B__Fiyatlar10"/>
      <sheetName val="YK_Nat__Gas_(Off-site)5"/>
      <sheetName val="Общий_итог4"/>
      <sheetName val="pencere_merkezi_ys_ab10"/>
      <sheetName val="kule_pencere_merk10"/>
      <sheetName val="HAKEDİŞ_KEŞFİ4"/>
      <sheetName val="info_9"/>
      <sheetName val="_N_Finansal_Eğri4"/>
      <sheetName val="AOP_Summary-24"/>
      <sheetName val="BUTCE_KURLARI4"/>
      <sheetName val="Rate_Analysis4"/>
      <sheetName val="FILTER_SCH4"/>
      <sheetName val="FCU_4"/>
      <sheetName val="Data_-_Alt_Kategori4"/>
      <sheetName val="13-İŞGÜCÜ_HİSTOGRAM'034"/>
      <sheetName val="bsat_muflu4"/>
      <sheetName val="MALZEME_VE_İŞÇİLİK4"/>
      <sheetName val="ÖN_KAPAK4"/>
      <sheetName val="171_02_4_u_hangar4"/>
      <sheetName val="GENEL_KESIF4"/>
      <sheetName val="RAPOR1_İMALAT_İLERLEME4"/>
      <sheetName val="Ictas_(SPV_ve_ICA)_detay4"/>
      <sheetName val="Personel_Maliyet_Ictas_on_SPV4"/>
      <sheetName val="1_11_b4"/>
      <sheetName val="PURS_ORJİNAL4"/>
      <sheetName val="arka_kapak4"/>
      <sheetName val="keşif_özeti4"/>
      <sheetName val="Finansal_t__Eğrisi4"/>
      <sheetName val="Tut_14"/>
      <sheetName val="Top_Sheet4"/>
      <sheetName val="Haftalık_Rapor4"/>
      <sheetName val="ek_bina_metraj4"/>
      <sheetName val="8)_FATURA4"/>
      <sheetName val="PE-F-42_Rev_01_Manpower4"/>
      <sheetName val="04_Özet4"/>
      <sheetName val="BOQ_4"/>
      <sheetName val="ELKTRİK_117"/>
      <sheetName val="NAKİT_DEĞERLENDİRME17"/>
      <sheetName val="BF-EK_(ATTIRILMIŞ)17"/>
      <sheetName val="KEŞİF-fiz_(2)17"/>
      <sheetName val="KEŞİF-fiz_(3)17"/>
      <sheetName val="MAHAL_LİSTESİ17"/>
      <sheetName val="KİR-KAR_(2)17"/>
      <sheetName val="ÖDEME-36-kredili_(2)17"/>
      <sheetName val="ÖDEME-36-kredili_(3)17"/>
      <sheetName val="Faturanızı_Özelleştirin15"/>
      <sheetName val="BILGI_GIR15"/>
      <sheetName val="BUTÇE_ÖZET15"/>
      <sheetName val="PROJE_MUKAYESE15"/>
      <sheetName val="İCMAL_BÜTÇE15"/>
      <sheetName val="GERÇEKLEŞEN_BÜTÇE_15"/>
      <sheetName val="GERÇEKLEŞEN_BÜTÇE15"/>
      <sheetName val="HEDEF_BÜTÇE15"/>
      <sheetName val="A09_PEYZAJ_TT-EK1_15"/>
      <sheetName val="A01_TOPRAK_İŞLERİ15"/>
      <sheetName val="A01_İNKLINOMETRE15"/>
      <sheetName val="A02_OZBEK_AS15"/>
      <sheetName val="A02_OZBEK_ADI15"/>
      <sheetName val="A02__OZBEK_ADA_DISI15"/>
      <sheetName val="A03_KABA_YAPI15"/>
      <sheetName val="A04_TUGRA_AS15"/>
      <sheetName val="A04_TUGRA_ADI15"/>
      <sheetName val="A04_İnce_İşler_Keşif15"/>
      <sheetName val="A04_P-LINE15"/>
      <sheetName val="A04_KAPLAMA15"/>
      <sheetName val="A04_SOSYAL_TESİSLER15"/>
      <sheetName val="A04_SERAMİK15"/>
      <sheetName val="A04_MERMER_KEŞİF15"/>
      <sheetName val="MERMER_METRAJ15"/>
      <sheetName val="A04_ALÜMİNYUM15"/>
      <sheetName val="A04_ÇELİK_KAPI15"/>
      <sheetName val="A04_İÇ_KAPI15"/>
      <sheetName val="A04_SAC_KAPI15"/>
      <sheetName val="A04_SAC_KAPI_METRAJ15"/>
      <sheetName val="A04_PVC15"/>
      <sheetName val="PVC_METRAJI15"/>
      <sheetName val="A04_MOBİLYA15"/>
      <sheetName val="A04_VİTRİFİYE15"/>
      <sheetName val="A05_CEPHE15"/>
      <sheetName val="A05_DIŞ_KABA_SIVA15"/>
      <sheetName val="A03-04-06_ÇATI_15"/>
      <sheetName val="A06_PLINE15"/>
      <sheetName val="A07_MEK_EROGLU15"/>
      <sheetName val="A07_MEK_AS15"/>
      <sheetName val="SIHHİ_TESİSAT_AS15"/>
      <sheetName val="KLİMA_TESİSATI_AS15"/>
      <sheetName val="TEST,_AYAR,_İŞL_AS15"/>
      <sheetName val="A07_MEK_ADI15"/>
      <sheetName val="SIHHİ_TESİSAT_ADI15"/>
      <sheetName val="KLİMA_TESİSATI_ADI15"/>
      <sheetName val="TEST,_AYAR,_İŞL_ADI15"/>
      <sheetName val="A08_ELK_EROĞLU15"/>
      <sheetName val="A08_AS__AS15"/>
      <sheetName val="A08_AS_ADI15"/>
      <sheetName val="A08_ELK_AS15"/>
      <sheetName val="2_BLOK_İCMAL-AS15"/>
      <sheetName val="_BL_ORTAK_ALANLAR-AS15"/>
      <sheetName val="BL_DAİRE_İÇLER-AS15"/>
      <sheetName val="3_SOSYAL_ALAN_GENEL_İCMAL-AS15"/>
      <sheetName val="HİDROFOR_ODASI_İCMAL-AS15"/>
      <sheetName val="HİDROFOR_ODASI-AS15"/>
      <sheetName val="SİTE_YÖNETİM_İCMAL-AS15"/>
      <sheetName val="SİTE_YÖNETİM-AS15"/>
      <sheetName val="SOSYAL_TESİS_SPOR_İCMAL-AS15"/>
      <sheetName val="SOSYAL_TESİS_SPOR-AS15"/>
      <sheetName val="SOSYAL_TESİS_CAFE_İCMAL-AS15"/>
      <sheetName val="SOSYAL_TESİS_CAFE-AS15"/>
      <sheetName val="GÜVENLİK_VE_SÜS_HAVUZU_İCMAL-15"/>
      <sheetName val="GÜVENLİK_VE_SÜS_HAVUZU15"/>
      <sheetName val="4_İCMAL_ALTYAPI-AS15"/>
      <sheetName val="A08_ELK_ADI_15"/>
      <sheetName val="2_BLOK_İCMAL-ADI15"/>
      <sheetName val="_BL_ORTAK_ALANLAR-ADI15"/>
      <sheetName val="BL_DAİRE_İÇLERİ-ADI15"/>
      <sheetName val="3_SOSYAL_ALAN_GENEL_İCMAL-ADI15"/>
      <sheetName val="HİDROFOR_ODASI_İCMAL-ADI15"/>
      <sheetName val="HİDROFOR_ODASI-ADI15"/>
      <sheetName val="SİTE_YÖNETİM_İCMAL-ADI15"/>
      <sheetName val="SİTE_YÖNETİM-ADI15"/>
      <sheetName val="SOSYAL_TESİS_SPOR_İCMAL-ADI15"/>
      <sheetName val="SOSYAL_TESİS_SPOR-ADI15"/>
      <sheetName val="SOSYAL_TESİS_CAFE_İCMAL-ADI15"/>
      <sheetName val="SOSYAL_TESİS_CAFE-ADI15"/>
      <sheetName val="GÜVENLİK_VE_SÜS_HAV-İCMAL-ADI15"/>
      <sheetName val="GÜVENLİK_VE_SÜS_HAVUZU-ADI15"/>
      <sheetName val="4_İCMAL_ALTYAPI-ADI15"/>
      <sheetName val="A10_ŞANTİYE_GELEN_GİDER15"/>
      <sheetName val="GÜVENLİK_KLÜBELERİ15"/>
      <sheetName val="Teklif_215"/>
      <sheetName val="Teklif_2_xls15"/>
      <sheetName val="imalat_iç_sayfa15"/>
      <sheetName val="Veri_Tabanı14"/>
      <sheetName val="4_-Механика14"/>
      <sheetName val="HKED_KEŞFİ_İmalat14"/>
      <sheetName val="YEŞİL_DEFTER-İmalat14"/>
      <sheetName val="Finansal_tamamlanma_Eğrisi14"/>
      <sheetName val="Demir_Fiyat_Farkı_KD14"/>
      <sheetName val="Y_D14"/>
      <sheetName val="masraf_yeri14"/>
      <sheetName val="B__Fiyatlar11"/>
      <sheetName val="YK_Nat__Gas_(Off-site)6"/>
      <sheetName val="Общий_итог5"/>
      <sheetName val="pencere_merkezi_ys_ab11"/>
      <sheetName val="kule_pencere_merk11"/>
      <sheetName val="HAKEDİŞ_KEŞFİ5"/>
      <sheetName val="info_10"/>
      <sheetName val="_N_Finansal_Eğri5"/>
      <sheetName val="AOP_Summary-25"/>
      <sheetName val="BUTCE_KURLARI5"/>
      <sheetName val="Rate_Analysis5"/>
      <sheetName val="FILTER_SCH5"/>
      <sheetName val="FCU_5"/>
      <sheetName val="Data_-_Alt_Kategori5"/>
      <sheetName val="13-İŞGÜCÜ_HİSTOGRAM'035"/>
      <sheetName val="bsat_muflu5"/>
      <sheetName val="MALZEME_VE_İŞÇİLİK5"/>
      <sheetName val="ÖN_KAPAK5"/>
      <sheetName val="171_02_4_u_hangar5"/>
      <sheetName val="GENEL_KESIF5"/>
      <sheetName val="RAPOR1_İMALAT_İLERLEME5"/>
      <sheetName val="Ictas_(SPV_ve_ICA)_detay5"/>
      <sheetName val="Personel_Maliyet_Ictas_on_SPV5"/>
      <sheetName val="1_11_b5"/>
      <sheetName val="PURS_ORJİNAL5"/>
      <sheetName val="arka_kapak5"/>
      <sheetName val="keşif_özeti5"/>
      <sheetName val="Finansal_t__Eğrisi5"/>
      <sheetName val="Tut_15"/>
      <sheetName val="Top_Sheet5"/>
      <sheetName val="Haftalık_Rapor5"/>
      <sheetName val="ek_bina_metraj5"/>
      <sheetName val="8)_FATURA5"/>
      <sheetName val="PE-F-42_Rev_01_Manpower5"/>
      <sheetName val="04_Özet5"/>
      <sheetName val="BOQ_5"/>
      <sheetName val="TEKLİF ANA TABLO (TOPSHEET)"/>
      <sheetName val="ENDİREK MASRAF TABLOSU"/>
      <sheetName val="Personel"/>
      <sheetName val="Personel (2)"/>
      <sheetName val="Makina Ekipman"/>
      <sheetName val="SIHHİ"/>
      <sheetName val="ISITMA VE SOĞUTMA"/>
      <sheetName val="KLİMA - HAVALANDIRMA"/>
      <sheetName val="YANGINDAN KORUNMA"/>
      <sheetName val="DGAZ"/>
      <sheetName val="SISMIK KORUMA"/>
      <sheetName val="PASİF YANGIN"/>
      <sheetName val="TEST BALANS DEVREYE ALMA"/>
      <sheetName val="MAMUL STOK AMBARI"/>
      <sheetName val="KARTON STRAFOR AMBARI"/>
      <sheetName val="ELT ODALARI"/>
      <sheetName val="GKK OFİSLERİ"/>
      <sheetName val="TEST VE İLK ÖRNEK ODALARI"/>
      <sheetName val="ARGE LABORATUVARI"/>
      <sheetName val="KALİTE KUMANDA ODALARI"/>
      <sheetName val="TEKNİK ALANLAR VE KORİDOR"/>
      <sheetName val="MAMUL AMBAR"/>
      <sheetName val="HAM MADDE SİLOSU"/>
      <sheetName val="POMPA ODASI BASINÇ DÜŞÜRÜCÜ "/>
      <sheetName val="ELZ_Grafik_Altlik"/>
      <sheetName val="İTT_Elazığ_KPK"/>
      <sheetName val="BRS_Grafik_Altlik"/>
      <sheetName val="İTT_Bursa_KPK"/>
      <sheetName val="Mal Talep-F01"/>
      <sheetName val="Firma Davet-F03"/>
      <sheetName val="Firma Onay-F04"/>
      <sheetName val="Teklif Deg. Tablo-F05"/>
      <sheetName val="Teklif Deg. Tutanak-F11"/>
      <sheetName val="Kaybeden Sonuc-F07"/>
      <sheetName val="Kazanan Sonuc-F10"/>
      <sheetName val="Satinalma Bildirim-F08"/>
      <sheetName val="Mal Alim Degerlendirme-F09"/>
      <sheetName val="UE Degerlendirme-F02"/>
      <sheetName val="Şirket Tanıtım Dosya Talep-F13"/>
      <sheetName val="Satinalma Tutanak F06"/>
      <sheetName val="TABLO"/>
      <sheetName val="Birim Fiyat Tablosu"/>
      <sheetName val="B.F 11 "/>
      <sheetName val="B.F 001"/>
      <sheetName val="B.F 002"/>
      <sheetName val="B.F 003"/>
      <sheetName val="B.F 004"/>
      <sheetName val="B.F 005"/>
      <sheetName val="B.F 007"/>
      <sheetName val="B.F 008"/>
      <sheetName val="B.F 009"/>
      <sheetName val="B.F 010"/>
      <sheetName val="B.F 011"/>
      <sheetName val="B.F 012"/>
      <sheetName val="B.F 013"/>
      <sheetName val="B.F 014"/>
      <sheetName val="B.F 015"/>
      <sheetName val="B.F 016"/>
      <sheetName val="B.F 017"/>
      <sheetName val="B.F 020"/>
      <sheetName val="B.F 021"/>
      <sheetName val="B.F 022"/>
      <sheetName val="VERİ KOLARI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4">
          <cell r="C4">
            <v>36130</v>
          </cell>
        </row>
      </sheetData>
      <sheetData sheetId="44">
        <row r="4">
          <cell r="C4">
            <v>36130</v>
          </cell>
        </row>
      </sheetData>
      <sheetData sheetId="45">
        <row r="4">
          <cell r="C4">
            <v>36130</v>
          </cell>
        </row>
      </sheetData>
      <sheetData sheetId="46">
        <row r="4">
          <cell r="C4">
            <v>36130</v>
          </cell>
        </row>
      </sheetData>
      <sheetData sheetId="47">
        <row r="4">
          <cell r="C4">
            <v>36130</v>
          </cell>
        </row>
      </sheetData>
      <sheetData sheetId="48">
        <row r="4">
          <cell r="C4">
            <v>36130</v>
          </cell>
        </row>
      </sheetData>
      <sheetData sheetId="49">
        <row r="4">
          <cell r="C4">
            <v>36130</v>
          </cell>
        </row>
      </sheetData>
      <sheetData sheetId="50">
        <row r="4">
          <cell r="C4">
            <v>36130</v>
          </cell>
        </row>
      </sheetData>
      <sheetData sheetId="51">
        <row r="4">
          <cell r="C4">
            <v>36130</v>
          </cell>
        </row>
      </sheetData>
      <sheetData sheetId="52">
        <row r="4">
          <cell r="C4">
            <v>36130</v>
          </cell>
        </row>
      </sheetData>
      <sheetData sheetId="53">
        <row r="4">
          <cell r="C4">
            <v>36130</v>
          </cell>
        </row>
      </sheetData>
      <sheetData sheetId="54">
        <row r="4">
          <cell r="C4">
            <v>36130</v>
          </cell>
        </row>
      </sheetData>
      <sheetData sheetId="55">
        <row r="4">
          <cell r="C4">
            <v>36130</v>
          </cell>
        </row>
      </sheetData>
      <sheetData sheetId="56">
        <row r="4">
          <cell r="C4">
            <v>36130</v>
          </cell>
        </row>
      </sheetData>
      <sheetData sheetId="57">
        <row r="4">
          <cell r="C4">
            <v>36130</v>
          </cell>
        </row>
      </sheetData>
      <sheetData sheetId="58">
        <row r="4">
          <cell r="C4">
            <v>36130</v>
          </cell>
        </row>
      </sheetData>
      <sheetData sheetId="59">
        <row r="4">
          <cell r="C4">
            <v>36130</v>
          </cell>
        </row>
      </sheetData>
      <sheetData sheetId="60">
        <row r="4">
          <cell r="C4">
            <v>36130</v>
          </cell>
        </row>
      </sheetData>
      <sheetData sheetId="61">
        <row r="4">
          <cell r="C4">
            <v>36130</v>
          </cell>
        </row>
      </sheetData>
      <sheetData sheetId="62">
        <row r="4">
          <cell r="C4">
            <v>36130</v>
          </cell>
        </row>
      </sheetData>
      <sheetData sheetId="63">
        <row r="4">
          <cell r="C4">
            <v>36130</v>
          </cell>
        </row>
      </sheetData>
      <sheetData sheetId="64">
        <row r="4">
          <cell r="C4">
            <v>36130</v>
          </cell>
        </row>
      </sheetData>
      <sheetData sheetId="65">
        <row r="4">
          <cell r="C4">
            <v>36130</v>
          </cell>
        </row>
      </sheetData>
      <sheetData sheetId="66">
        <row r="4">
          <cell r="C4">
            <v>36130</v>
          </cell>
        </row>
      </sheetData>
      <sheetData sheetId="67">
        <row r="4">
          <cell r="C4">
            <v>36130</v>
          </cell>
        </row>
      </sheetData>
      <sheetData sheetId="68">
        <row r="4">
          <cell r="C4">
            <v>36130</v>
          </cell>
        </row>
      </sheetData>
      <sheetData sheetId="69">
        <row r="4">
          <cell r="C4">
            <v>36130</v>
          </cell>
        </row>
      </sheetData>
      <sheetData sheetId="70">
        <row r="4">
          <cell r="C4">
            <v>36130</v>
          </cell>
        </row>
      </sheetData>
      <sheetData sheetId="71">
        <row r="4">
          <cell r="C4">
            <v>36130</v>
          </cell>
        </row>
      </sheetData>
      <sheetData sheetId="72">
        <row r="4">
          <cell r="C4">
            <v>36130</v>
          </cell>
        </row>
      </sheetData>
      <sheetData sheetId="73">
        <row r="4">
          <cell r="C4">
            <v>36130</v>
          </cell>
        </row>
      </sheetData>
      <sheetData sheetId="74">
        <row r="4">
          <cell r="C4">
            <v>36130</v>
          </cell>
        </row>
      </sheetData>
      <sheetData sheetId="75">
        <row r="4">
          <cell r="C4">
            <v>36130</v>
          </cell>
        </row>
      </sheetData>
      <sheetData sheetId="76">
        <row r="4">
          <cell r="C4">
            <v>36130</v>
          </cell>
        </row>
      </sheetData>
      <sheetData sheetId="77">
        <row r="4">
          <cell r="C4">
            <v>36130</v>
          </cell>
        </row>
      </sheetData>
      <sheetData sheetId="78">
        <row r="4">
          <cell r="C4">
            <v>36130</v>
          </cell>
        </row>
      </sheetData>
      <sheetData sheetId="79">
        <row r="4">
          <cell r="C4">
            <v>36130</v>
          </cell>
        </row>
      </sheetData>
      <sheetData sheetId="80">
        <row r="4">
          <cell r="C4">
            <v>36130</v>
          </cell>
        </row>
      </sheetData>
      <sheetData sheetId="81">
        <row r="4">
          <cell r="C4">
            <v>36130</v>
          </cell>
        </row>
      </sheetData>
      <sheetData sheetId="82">
        <row r="4">
          <cell r="C4">
            <v>36130</v>
          </cell>
        </row>
      </sheetData>
      <sheetData sheetId="83">
        <row r="4">
          <cell r="C4">
            <v>36130</v>
          </cell>
        </row>
      </sheetData>
      <sheetData sheetId="84">
        <row r="4">
          <cell r="C4">
            <v>36130</v>
          </cell>
        </row>
      </sheetData>
      <sheetData sheetId="85">
        <row r="4">
          <cell r="C4">
            <v>36130</v>
          </cell>
        </row>
      </sheetData>
      <sheetData sheetId="86">
        <row r="4">
          <cell r="C4">
            <v>36130</v>
          </cell>
        </row>
      </sheetData>
      <sheetData sheetId="87">
        <row r="4">
          <cell r="C4">
            <v>36130</v>
          </cell>
        </row>
      </sheetData>
      <sheetData sheetId="88">
        <row r="4">
          <cell r="C4">
            <v>36130</v>
          </cell>
        </row>
      </sheetData>
      <sheetData sheetId="89">
        <row r="4">
          <cell r="C4">
            <v>36130</v>
          </cell>
        </row>
      </sheetData>
      <sheetData sheetId="90">
        <row r="4">
          <cell r="C4">
            <v>36130</v>
          </cell>
        </row>
      </sheetData>
      <sheetData sheetId="91">
        <row r="4">
          <cell r="C4">
            <v>36130</v>
          </cell>
        </row>
      </sheetData>
      <sheetData sheetId="92">
        <row r="4">
          <cell r="C4">
            <v>36130</v>
          </cell>
        </row>
      </sheetData>
      <sheetData sheetId="93">
        <row r="4">
          <cell r="C4">
            <v>36130</v>
          </cell>
        </row>
      </sheetData>
      <sheetData sheetId="94">
        <row r="4">
          <cell r="C4">
            <v>36130</v>
          </cell>
        </row>
      </sheetData>
      <sheetData sheetId="95">
        <row r="4">
          <cell r="C4">
            <v>36130</v>
          </cell>
        </row>
      </sheetData>
      <sheetData sheetId="96">
        <row r="4">
          <cell r="C4">
            <v>36130</v>
          </cell>
        </row>
      </sheetData>
      <sheetData sheetId="97">
        <row r="4">
          <cell r="C4">
            <v>36130</v>
          </cell>
        </row>
      </sheetData>
      <sheetData sheetId="98">
        <row r="4">
          <cell r="C4">
            <v>36130</v>
          </cell>
        </row>
      </sheetData>
      <sheetData sheetId="99">
        <row r="4">
          <cell r="C4">
            <v>36130</v>
          </cell>
        </row>
      </sheetData>
      <sheetData sheetId="100">
        <row r="4">
          <cell r="C4">
            <v>36130</v>
          </cell>
        </row>
      </sheetData>
      <sheetData sheetId="101">
        <row r="4">
          <cell r="C4">
            <v>36130</v>
          </cell>
        </row>
      </sheetData>
      <sheetData sheetId="102">
        <row r="4">
          <cell r="C4">
            <v>36130</v>
          </cell>
        </row>
      </sheetData>
      <sheetData sheetId="103">
        <row r="4">
          <cell r="C4">
            <v>36130</v>
          </cell>
        </row>
      </sheetData>
      <sheetData sheetId="104">
        <row r="4">
          <cell r="C4">
            <v>36130</v>
          </cell>
        </row>
      </sheetData>
      <sheetData sheetId="105">
        <row r="4">
          <cell r="C4">
            <v>36130</v>
          </cell>
        </row>
      </sheetData>
      <sheetData sheetId="106">
        <row r="4">
          <cell r="C4">
            <v>36130</v>
          </cell>
        </row>
      </sheetData>
      <sheetData sheetId="107">
        <row r="4">
          <cell r="C4">
            <v>36130</v>
          </cell>
        </row>
      </sheetData>
      <sheetData sheetId="108">
        <row r="4">
          <cell r="C4">
            <v>36130</v>
          </cell>
        </row>
      </sheetData>
      <sheetData sheetId="109">
        <row r="4">
          <cell r="C4">
            <v>36130</v>
          </cell>
        </row>
      </sheetData>
      <sheetData sheetId="110">
        <row r="4">
          <cell r="C4">
            <v>36130</v>
          </cell>
        </row>
      </sheetData>
      <sheetData sheetId="111">
        <row r="4">
          <cell r="C4">
            <v>36130</v>
          </cell>
        </row>
      </sheetData>
      <sheetData sheetId="112">
        <row r="4">
          <cell r="C4">
            <v>36130</v>
          </cell>
        </row>
      </sheetData>
      <sheetData sheetId="113">
        <row r="4">
          <cell r="C4">
            <v>36130</v>
          </cell>
        </row>
      </sheetData>
      <sheetData sheetId="114">
        <row r="4">
          <cell r="C4">
            <v>36130</v>
          </cell>
        </row>
      </sheetData>
      <sheetData sheetId="115">
        <row r="4">
          <cell r="C4">
            <v>36130</v>
          </cell>
        </row>
      </sheetData>
      <sheetData sheetId="116">
        <row r="4">
          <cell r="C4">
            <v>36130</v>
          </cell>
        </row>
      </sheetData>
      <sheetData sheetId="117">
        <row r="4">
          <cell r="C4">
            <v>36130</v>
          </cell>
        </row>
      </sheetData>
      <sheetData sheetId="118">
        <row r="4">
          <cell r="C4">
            <v>36130</v>
          </cell>
        </row>
      </sheetData>
      <sheetData sheetId="119">
        <row r="4">
          <cell r="C4">
            <v>36130</v>
          </cell>
        </row>
      </sheetData>
      <sheetData sheetId="120">
        <row r="4">
          <cell r="C4">
            <v>36130</v>
          </cell>
        </row>
      </sheetData>
      <sheetData sheetId="121">
        <row r="4">
          <cell r="C4">
            <v>36130</v>
          </cell>
        </row>
      </sheetData>
      <sheetData sheetId="122">
        <row r="4">
          <cell r="C4">
            <v>36130</v>
          </cell>
        </row>
      </sheetData>
      <sheetData sheetId="123">
        <row r="4">
          <cell r="C4">
            <v>36130</v>
          </cell>
        </row>
      </sheetData>
      <sheetData sheetId="124">
        <row r="4">
          <cell r="C4">
            <v>36130</v>
          </cell>
        </row>
      </sheetData>
      <sheetData sheetId="125">
        <row r="4">
          <cell r="C4">
            <v>36130</v>
          </cell>
        </row>
      </sheetData>
      <sheetData sheetId="126">
        <row r="4">
          <cell r="C4">
            <v>36130</v>
          </cell>
        </row>
      </sheetData>
      <sheetData sheetId="127">
        <row r="4">
          <cell r="C4">
            <v>36130</v>
          </cell>
        </row>
      </sheetData>
      <sheetData sheetId="128">
        <row r="4">
          <cell r="C4">
            <v>36130</v>
          </cell>
        </row>
      </sheetData>
      <sheetData sheetId="129">
        <row r="4">
          <cell r="C4">
            <v>36130</v>
          </cell>
        </row>
      </sheetData>
      <sheetData sheetId="130">
        <row r="4">
          <cell r="C4">
            <v>36130</v>
          </cell>
        </row>
      </sheetData>
      <sheetData sheetId="131">
        <row r="4">
          <cell r="C4">
            <v>36130</v>
          </cell>
        </row>
      </sheetData>
      <sheetData sheetId="132">
        <row r="4">
          <cell r="C4">
            <v>36130</v>
          </cell>
        </row>
      </sheetData>
      <sheetData sheetId="133">
        <row r="4">
          <cell r="C4">
            <v>36130</v>
          </cell>
        </row>
      </sheetData>
      <sheetData sheetId="134">
        <row r="4">
          <cell r="C4">
            <v>36130</v>
          </cell>
        </row>
      </sheetData>
      <sheetData sheetId="135">
        <row r="4">
          <cell r="C4">
            <v>36130</v>
          </cell>
        </row>
      </sheetData>
      <sheetData sheetId="136">
        <row r="4">
          <cell r="C4">
            <v>36130</v>
          </cell>
        </row>
      </sheetData>
      <sheetData sheetId="137">
        <row r="4">
          <cell r="C4">
            <v>36130</v>
          </cell>
        </row>
      </sheetData>
      <sheetData sheetId="138">
        <row r="4">
          <cell r="C4">
            <v>36130</v>
          </cell>
        </row>
      </sheetData>
      <sheetData sheetId="139">
        <row r="4">
          <cell r="C4">
            <v>36130</v>
          </cell>
        </row>
      </sheetData>
      <sheetData sheetId="140" refreshError="1"/>
      <sheetData sheetId="141" refreshError="1"/>
      <sheetData sheetId="142">
        <row r="4">
          <cell r="C4">
            <v>36130</v>
          </cell>
        </row>
      </sheetData>
      <sheetData sheetId="143">
        <row r="4">
          <cell r="C4">
            <v>36130</v>
          </cell>
        </row>
      </sheetData>
      <sheetData sheetId="144">
        <row r="4">
          <cell r="C4">
            <v>36130</v>
          </cell>
        </row>
      </sheetData>
      <sheetData sheetId="145">
        <row r="4">
          <cell r="C4">
            <v>36130</v>
          </cell>
        </row>
      </sheetData>
      <sheetData sheetId="146">
        <row r="4">
          <cell r="C4">
            <v>36130</v>
          </cell>
        </row>
      </sheetData>
      <sheetData sheetId="147">
        <row r="4">
          <cell r="C4">
            <v>36130</v>
          </cell>
        </row>
      </sheetData>
      <sheetData sheetId="148">
        <row r="4">
          <cell r="C4">
            <v>36130</v>
          </cell>
        </row>
      </sheetData>
      <sheetData sheetId="149">
        <row r="4">
          <cell r="C4">
            <v>36130</v>
          </cell>
        </row>
      </sheetData>
      <sheetData sheetId="150">
        <row r="4">
          <cell r="C4">
            <v>36130</v>
          </cell>
        </row>
      </sheetData>
      <sheetData sheetId="151">
        <row r="4">
          <cell r="C4">
            <v>36130</v>
          </cell>
        </row>
      </sheetData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>
        <row r="4">
          <cell r="C4">
            <v>36130</v>
          </cell>
        </row>
      </sheetData>
      <sheetData sheetId="173">
        <row r="4">
          <cell r="C4">
            <v>36130</v>
          </cell>
        </row>
      </sheetData>
      <sheetData sheetId="174">
        <row r="4">
          <cell r="C4">
            <v>36130</v>
          </cell>
        </row>
      </sheetData>
      <sheetData sheetId="175">
        <row r="4">
          <cell r="C4">
            <v>36130</v>
          </cell>
        </row>
      </sheetData>
      <sheetData sheetId="176">
        <row r="4">
          <cell r="C4">
            <v>36130</v>
          </cell>
        </row>
      </sheetData>
      <sheetData sheetId="177">
        <row r="4">
          <cell r="C4">
            <v>36130</v>
          </cell>
        </row>
      </sheetData>
      <sheetData sheetId="178">
        <row r="4">
          <cell r="C4">
            <v>36130</v>
          </cell>
        </row>
      </sheetData>
      <sheetData sheetId="179">
        <row r="4">
          <cell r="C4">
            <v>36130</v>
          </cell>
        </row>
      </sheetData>
      <sheetData sheetId="180">
        <row r="4">
          <cell r="C4">
            <v>36130</v>
          </cell>
        </row>
      </sheetData>
      <sheetData sheetId="181">
        <row r="4">
          <cell r="C4">
            <v>36130</v>
          </cell>
        </row>
      </sheetData>
      <sheetData sheetId="182">
        <row r="4">
          <cell r="C4">
            <v>36130</v>
          </cell>
        </row>
      </sheetData>
      <sheetData sheetId="183">
        <row r="4">
          <cell r="C4">
            <v>36130</v>
          </cell>
        </row>
      </sheetData>
      <sheetData sheetId="184">
        <row r="4">
          <cell r="C4">
            <v>36130</v>
          </cell>
        </row>
      </sheetData>
      <sheetData sheetId="185">
        <row r="4">
          <cell r="C4">
            <v>36130</v>
          </cell>
        </row>
      </sheetData>
      <sheetData sheetId="186">
        <row r="4">
          <cell r="C4">
            <v>36130</v>
          </cell>
        </row>
      </sheetData>
      <sheetData sheetId="187">
        <row r="4">
          <cell r="C4">
            <v>36130</v>
          </cell>
        </row>
      </sheetData>
      <sheetData sheetId="188">
        <row r="4">
          <cell r="C4">
            <v>36130</v>
          </cell>
        </row>
      </sheetData>
      <sheetData sheetId="189">
        <row r="4">
          <cell r="C4">
            <v>36130</v>
          </cell>
        </row>
      </sheetData>
      <sheetData sheetId="190">
        <row r="4">
          <cell r="C4">
            <v>36130</v>
          </cell>
        </row>
      </sheetData>
      <sheetData sheetId="191">
        <row r="4">
          <cell r="C4">
            <v>36130</v>
          </cell>
        </row>
      </sheetData>
      <sheetData sheetId="192">
        <row r="4">
          <cell r="C4">
            <v>36130</v>
          </cell>
        </row>
      </sheetData>
      <sheetData sheetId="193">
        <row r="4">
          <cell r="C4">
            <v>36130</v>
          </cell>
        </row>
      </sheetData>
      <sheetData sheetId="194">
        <row r="4">
          <cell r="C4">
            <v>36130</v>
          </cell>
        </row>
      </sheetData>
      <sheetData sheetId="195">
        <row r="4">
          <cell r="C4">
            <v>36130</v>
          </cell>
        </row>
      </sheetData>
      <sheetData sheetId="196">
        <row r="4">
          <cell r="C4">
            <v>36130</v>
          </cell>
        </row>
      </sheetData>
      <sheetData sheetId="197">
        <row r="4">
          <cell r="C4">
            <v>36130</v>
          </cell>
        </row>
      </sheetData>
      <sheetData sheetId="198">
        <row r="4">
          <cell r="C4">
            <v>36130</v>
          </cell>
        </row>
      </sheetData>
      <sheetData sheetId="199">
        <row r="4">
          <cell r="C4">
            <v>36130</v>
          </cell>
        </row>
      </sheetData>
      <sheetData sheetId="200">
        <row r="4">
          <cell r="C4">
            <v>36130</v>
          </cell>
        </row>
      </sheetData>
      <sheetData sheetId="201">
        <row r="4">
          <cell r="C4">
            <v>36130</v>
          </cell>
        </row>
      </sheetData>
      <sheetData sheetId="202">
        <row r="4">
          <cell r="C4">
            <v>36130</v>
          </cell>
        </row>
      </sheetData>
      <sheetData sheetId="203">
        <row r="4">
          <cell r="C4">
            <v>36130</v>
          </cell>
        </row>
      </sheetData>
      <sheetData sheetId="204">
        <row r="4">
          <cell r="C4">
            <v>36130</v>
          </cell>
        </row>
      </sheetData>
      <sheetData sheetId="205">
        <row r="4">
          <cell r="C4">
            <v>36130</v>
          </cell>
        </row>
      </sheetData>
      <sheetData sheetId="206">
        <row r="4">
          <cell r="C4">
            <v>36130</v>
          </cell>
        </row>
      </sheetData>
      <sheetData sheetId="207">
        <row r="4">
          <cell r="C4">
            <v>36130</v>
          </cell>
        </row>
      </sheetData>
      <sheetData sheetId="208">
        <row r="4">
          <cell r="C4">
            <v>36130</v>
          </cell>
        </row>
      </sheetData>
      <sheetData sheetId="209">
        <row r="4">
          <cell r="C4">
            <v>36130</v>
          </cell>
        </row>
      </sheetData>
      <sheetData sheetId="210">
        <row r="4">
          <cell r="C4">
            <v>36130</v>
          </cell>
        </row>
      </sheetData>
      <sheetData sheetId="211">
        <row r="4">
          <cell r="C4">
            <v>36130</v>
          </cell>
        </row>
      </sheetData>
      <sheetData sheetId="212">
        <row r="4">
          <cell r="C4">
            <v>36130</v>
          </cell>
        </row>
      </sheetData>
      <sheetData sheetId="213">
        <row r="4">
          <cell r="C4">
            <v>36130</v>
          </cell>
        </row>
      </sheetData>
      <sheetData sheetId="214">
        <row r="4">
          <cell r="C4">
            <v>36130</v>
          </cell>
        </row>
      </sheetData>
      <sheetData sheetId="215">
        <row r="4">
          <cell r="C4">
            <v>36130</v>
          </cell>
        </row>
      </sheetData>
      <sheetData sheetId="216">
        <row r="4">
          <cell r="C4">
            <v>36130</v>
          </cell>
        </row>
      </sheetData>
      <sheetData sheetId="217">
        <row r="4">
          <cell r="C4">
            <v>36130</v>
          </cell>
        </row>
      </sheetData>
      <sheetData sheetId="218">
        <row r="4">
          <cell r="C4">
            <v>36130</v>
          </cell>
        </row>
      </sheetData>
      <sheetData sheetId="219">
        <row r="4">
          <cell r="C4">
            <v>36130</v>
          </cell>
        </row>
      </sheetData>
      <sheetData sheetId="220">
        <row r="4">
          <cell r="C4">
            <v>36130</v>
          </cell>
        </row>
      </sheetData>
      <sheetData sheetId="221">
        <row r="4">
          <cell r="C4">
            <v>36130</v>
          </cell>
        </row>
      </sheetData>
      <sheetData sheetId="222">
        <row r="4">
          <cell r="C4">
            <v>36130</v>
          </cell>
        </row>
      </sheetData>
      <sheetData sheetId="223">
        <row r="4">
          <cell r="C4">
            <v>36130</v>
          </cell>
        </row>
      </sheetData>
      <sheetData sheetId="224">
        <row r="4">
          <cell r="C4">
            <v>36130</v>
          </cell>
        </row>
      </sheetData>
      <sheetData sheetId="225">
        <row r="4">
          <cell r="C4">
            <v>36130</v>
          </cell>
        </row>
      </sheetData>
      <sheetData sheetId="226">
        <row r="4">
          <cell r="C4">
            <v>36130</v>
          </cell>
        </row>
      </sheetData>
      <sheetData sheetId="227">
        <row r="4">
          <cell r="C4">
            <v>36130</v>
          </cell>
        </row>
      </sheetData>
      <sheetData sheetId="228">
        <row r="4">
          <cell r="C4">
            <v>36130</v>
          </cell>
        </row>
      </sheetData>
      <sheetData sheetId="229">
        <row r="4">
          <cell r="C4">
            <v>36130</v>
          </cell>
        </row>
      </sheetData>
      <sheetData sheetId="230">
        <row r="4">
          <cell r="C4">
            <v>36130</v>
          </cell>
        </row>
      </sheetData>
      <sheetData sheetId="231">
        <row r="4">
          <cell r="C4">
            <v>36130</v>
          </cell>
        </row>
      </sheetData>
      <sheetData sheetId="232">
        <row r="4">
          <cell r="C4">
            <v>36130</v>
          </cell>
        </row>
      </sheetData>
      <sheetData sheetId="233">
        <row r="4">
          <cell r="C4">
            <v>36130</v>
          </cell>
        </row>
      </sheetData>
      <sheetData sheetId="234">
        <row r="4">
          <cell r="C4">
            <v>36130</v>
          </cell>
        </row>
      </sheetData>
      <sheetData sheetId="235">
        <row r="4">
          <cell r="C4">
            <v>36130</v>
          </cell>
        </row>
      </sheetData>
      <sheetData sheetId="236">
        <row r="4">
          <cell r="C4">
            <v>36130</v>
          </cell>
        </row>
      </sheetData>
      <sheetData sheetId="237">
        <row r="4">
          <cell r="C4">
            <v>36130</v>
          </cell>
        </row>
      </sheetData>
      <sheetData sheetId="238">
        <row r="4">
          <cell r="C4">
            <v>36130</v>
          </cell>
        </row>
      </sheetData>
      <sheetData sheetId="239">
        <row r="4">
          <cell r="C4">
            <v>36130</v>
          </cell>
        </row>
      </sheetData>
      <sheetData sheetId="240">
        <row r="4">
          <cell r="C4">
            <v>36130</v>
          </cell>
        </row>
      </sheetData>
      <sheetData sheetId="241">
        <row r="4">
          <cell r="C4">
            <v>36130</v>
          </cell>
        </row>
      </sheetData>
      <sheetData sheetId="242">
        <row r="4">
          <cell r="C4">
            <v>36130</v>
          </cell>
        </row>
      </sheetData>
      <sheetData sheetId="243">
        <row r="4">
          <cell r="C4">
            <v>36130</v>
          </cell>
        </row>
      </sheetData>
      <sheetData sheetId="244">
        <row r="4">
          <cell r="C4">
            <v>36130</v>
          </cell>
        </row>
      </sheetData>
      <sheetData sheetId="245">
        <row r="4">
          <cell r="C4">
            <v>36130</v>
          </cell>
        </row>
      </sheetData>
      <sheetData sheetId="246">
        <row r="4">
          <cell r="C4">
            <v>36130</v>
          </cell>
        </row>
      </sheetData>
      <sheetData sheetId="247">
        <row r="4">
          <cell r="C4">
            <v>36130</v>
          </cell>
        </row>
      </sheetData>
      <sheetData sheetId="248">
        <row r="4">
          <cell r="C4">
            <v>36130</v>
          </cell>
        </row>
      </sheetData>
      <sheetData sheetId="249">
        <row r="4">
          <cell r="C4">
            <v>36130</v>
          </cell>
        </row>
      </sheetData>
      <sheetData sheetId="250">
        <row r="4">
          <cell r="C4">
            <v>36130</v>
          </cell>
        </row>
      </sheetData>
      <sheetData sheetId="251">
        <row r="4">
          <cell r="C4">
            <v>36130</v>
          </cell>
        </row>
      </sheetData>
      <sheetData sheetId="252">
        <row r="4">
          <cell r="C4">
            <v>36130</v>
          </cell>
        </row>
      </sheetData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4">
          <cell r="C4">
            <v>36130</v>
          </cell>
        </row>
      </sheetData>
      <sheetData sheetId="271">
        <row r="4">
          <cell r="C4">
            <v>36130</v>
          </cell>
        </row>
      </sheetData>
      <sheetData sheetId="272">
        <row r="4">
          <cell r="C4">
            <v>36130</v>
          </cell>
        </row>
      </sheetData>
      <sheetData sheetId="273">
        <row r="4">
          <cell r="C4">
            <v>36130</v>
          </cell>
        </row>
      </sheetData>
      <sheetData sheetId="274">
        <row r="4">
          <cell r="C4">
            <v>36130</v>
          </cell>
        </row>
      </sheetData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>
        <row r="4">
          <cell r="C4">
            <v>36130</v>
          </cell>
        </row>
      </sheetData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>
        <row r="4">
          <cell r="C4">
            <v>36130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>
        <row r="4">
          <cell r="C4">
            <v>36130</v>
          </cell>
        </row>
      </sheetData>
      <sheetData sheetId="306">
        <row r="4">
          <cell r="C4">
            <v>36130</v>
          </cell>
        </row>
      </sheetData>
      <sheetData sheetId="307">
        <row r="4">
          <cell r="C4">
            <v>36130</v>
          </cell>
        </row>
      </sheetData>
      <sheetData sheetId="308">
        <row r="4">
          <cell r="C4">
            <v>36130</v>
          </cell>
        </row>
      </sheetData>
      <sheetData sheetId="309">
        <row r="4">
          <cell r="C4">
            <v>36130</v>
          </cell>
        </row>
      </sheetData>
      <sheetData sheetId="310">
        <row r="4">
          <cell r="C4">
            <v>36130</v>
          </cell>
        </row>
      </sheetData>
      <sheetData sheetId="311">
        <row r="4">
          <cell r="C4">
            <v>36130</v>
          </cell>
        </row>
      </sheetData>
      <sheetData sheetId="312">
        <row r="4">
          <cell r="C4">
            <v>36130</v>
          </cell>
        </row>
      </sheetData>
      <sheetData sheetId="313">
        <row r="4">
          <cell r="C4">
            <v>36130</v>
          </cell>
        </row>
      </sheetData>
      <sheetData sheetId="314">
        <row r="4">
          <cell r="C4">
            <v>36130</v>
          </cell>
        </row>
      </sheetData>
      <sheetData sheetId="315">
        <row r="4">
          <cell r="C4">
            <v>36130</v>
          </cell>
        </row>
      </sheetData>
      <sheetData sheetId="316">
        <row r="4">
          <cell r="C4">
            <v>36130</v>
          </cell>
        </row>
      </sheetData>
      <sheetData sheetId="317">
        <row r="4">
          <cell r="C4">
            <v>36130</v>
          </cell>
        </row>
      </sheetData>
      <sheetData sheetId="318">
        <row r="4">
          <cell r="C4">
            <v>36130</v>
          </cell>
        </row>
      </sheetData>
      <sheetData sheetId="319">
        <row r="4">
          <cell r="C4">
            <v>36130</v>
          </cell>
        </row>
      </sheetData>
      <sheetData sheetId="320">
        <row r="4">
          <cell r="C4">
            <v>36130</v>
          </cell>
        </row>
      </sheetData>
      <sheetData sheetId="321">
        <row r="4">
          <cell r="C4">
            <v>36130</v>
          </cell>
        </row>
      </sheetData>
      <sheetData sheetId="322">
        <row r="4">
          <cell r="C4">
            <v>36130</v>
          </cell>
        </row>
      </sheetData>
      <sheetData sheetId="323">
        <row r="4">
          <cell r="C4">
            <v>36130</v>
          </cell>
        </row>
      </sheetData>
      <sheetData sheetId="324">
        <row r="4">
          <cell r="C4">
            <v>36130</v>
          </cell>
        </row>
      </sheetData>
      <sheetData sheetId="325">
        <row r="4">
          <cell r="C4">
            <v>36130</v>
          </cell>
        </row>
      </sheetData>
      <sheetData sheetId="326">
        <row r="4">
          <cell r="C4">
            <v>36130</v>
          </cell>
        </row>
      </sheetData>
      <sheetData sheetId="327">
        <row r="4">
          <cell r="C4">
            <v>36130</v>
          </cell>
        </row>
      </sheetData>
      <sheetData sheetId="328">
        <row r="4">
          <cell r="C4">
            <v>36130</v>
          </cell>
        </row>
      </sheetData>
      <sheetData sheetId="329">
        <row r="4">
          <cell r="C4">
            <v>36130</v>
          </cell>
        </row>
      </sheetData>
      <sheetData sheetId="330">
        <row r="4">
          <cell r="C4">
            <v>36130</v>
          </cell>
        </row>
      </sheetData>
      <sheetData sheetId="331">
        <row r="4">
          <cell r="C4">
            <v>36130</v>
          </cell>
        </row>
      </sheetData>
      <sheetData sheetId="332">
        <row r="4">
          <cell r="C4">
            <v>36130</v>
          </cell>
        </row>
      </sheetData>
      <sheetData sheetId="333">
        <row r="4">
          <cell r="C4">
            <v>36130</v>
          </cell>
        </row>
      </sheetData>
      <sheetData sheetId="334">
        <row r="4">
          <cell r="C4">
            <v>36130</v>
          </cell>
        </row>
      </sheetData>
      <sheetData sheetId="335">
        <row r="4">
          <cell r="C4">
            <v>36130</v>
          </cell>
        </row>
      </sheetData>
      <sheetData sheetId="336">
        <row r="4">
          <cell r="C4">
            <v>36130</v>
          </cell>
        </row>
      </sheetData>
      <sheetData sheetId="337">
        <row r="4">
          <cell r="C4">
            <v>36130</v>
          </cell>
        </row>
      </sheetData>
      <sheetData sheetId="338">
        <row r="4">
          <cell r="C4">
            <v>36130</v>
          </cell>
        </row>
      </sheetData>
      <sheetData sheetId="339">
        <row r="4">
          <cell r="C4">
            <v>36130</v>
          </cell>
        </row>
      </sheetData>
      <sheetData sheetId="340">
        <row r="4">
          <cell r="C4">
            <v>36130</v>
          </cell>
        </row>
      </sheetData>
      <sheetData sheetId="341">
        <row r="4">
          <cell r="C4">
            <v>36130</v>
          </cell>
        </row>
      </sheetData>
      <sheetData sheetId="342">
        <row r="4">
          <cell r="C4">
            <v>36130</v>
          </cell>
        </row>
      </sheetData>
      <sheetData sheetId="343">
        <row r="4">
          <cell r="C4">
            <v>36130</v>
          </cell>
        </row>
      </sheetData>
      <sheetData sheetId="344">
        <row r="4">
          <cell r="C4">
            <v>36130</v>
          </cell>
        </row>
      </sheetData>
      <sheetData sheetId="345">
        <row r="4">
          <cell r="C4">
            <v>36130</v>
          </cell>
        </row>
      </sheetData>
      <sheetData sheetId="346">
        <row r="4">
          <cell r="C4">
            <v>36130</v>
          </cell>
        </row>
      </sheetData>
      <sheetData sheetId="347">
        <row r="4">
          <cell r="C4">
            <v>36130</v>
          </cell>
        </row>
      </sheetData>
      <sheetData sheetId="348">
        <row r="4">
          <cell r="C4">
            <v>36130</v>
          </cell>
        </row>
      </sheetData>
      <sheetData sheetId="349">
        <row r="4">
          <cell r="C4">
            <v>36130</v>
          </cell>
        </row>
      </sheetData>
      <sheetData sheetId="350">
        <row r="4">
          <cell r="C4">
            <v>36130</v>
          </cell>
        </row>
      </sheetData>
      <sheetData sheetId="351">
        <row r="4">
          <cell r="C4">
            <v>36130</v>
          </cell>
        </row>
      </sheetData>
      <sheetData sheetId="352">
        <row r="4">
          <cell r="C4">
            <v>36130</v>
          </cell>
        </row>
      </sheetData>
      <sheetData sheetId="353">
        <row r="4">
          <cell r="C4">
            <v>36130</v>
          </cell>
        </row>
      </sheetData>
      <sheetData sheetId="354">
        <row r="4">
          <cell r="C4">
            <v>36130</v>
          </cell>
        </row>
      </sheetData>
      <sheetData sheetId="355">
        <row r="4">
          <cell r="C4">
            <v>36130</v>
          </cell>
        </row>
      </sheetData>
      <sheetData sheetId="356">
        <row r="4">
          <cell r="C4">
            <v>36130</v>
          </cell>
        </row>
      </sheetData>
      <sheetData sheetId="357">
        <row r="4">
          <cell r="C4">
            <v>36130</v>
          </cell>
        </row>
      </sheetData>
      <sheetData sheetId="358">
        <row r="4">
          <cell r="C4">
            <v>36130</v>
          </cell>
        </row>
      </sheetData>
      <sheetData sheetId="359">
        <row r="4">
          <cell r="C4">
            <v>36130</v>
          </cell>
        </row>
      </sheetData>
      <sheetData sheetId="360">
        <row r="4">
          <cell r="C4">
            <v>36130</v>
          </cell>
        </row>
      </sheetData>
      <sheetData sheetId="361">
        <row r="4">
          <cell r="C4">
            <v>36130</v>
          </cell>
        </row>
      </sheetData>
      <sheetData sheetId="362">
        <row r="4">
          <cell r="C4">
            <v>36130</v>
          </cell>
        </row>
      </sheetData>
      <sheetData sheetId="363">
        <row r="4">
          <cell r="C4">
            <v>36130</v>
          </cell>
        </row>
      </sheetData>
      <sheetData sheetId="364">
        <row r="4">
          <cell r="C4">
            <v>36130</v>
          </cell>
        </row>
      </sheetData>
      <sheetData sheetId="365">
        <row r="4">
          <cell r="C4">
            <v>36130</v>
          </cell>
        </row>
      </sheetData>
      <sheetData sheetId="366">
        <row r="4">
          <cell r="C4">
            <v>36130</v>
          </cell>
        </row>
      </sheetData>
      <sheetData sheetId="367">
        <row r="4">
          <cell r="C4">
            <v>36130</v>
          </cell>
        </row>
      </sheetData>
      <sheetData sheetId="368">
        <row r="4">
          <cell r="C4">
            <v>36130</v>
          </cell>
        </row>
      </sheetData>
      <sheetData sheetId="369">
        <row r="4">
          <cell r="C4">
            <v>36130</v>
          </cell>
        </row>
      </sheetData>
      <sheetData sheetId="370">
        <row r="4">
          <cell r="C4">
            <v>36130</v>
          </cell>
        </row>
      </sheetData>
      <sheetData sheetId="371">
        <row r="4">
          <cell r="C4">
            <v>36130</v>
          </cell>
        </row>
      </sheetData>
      <sheetData sheetId="372">
        <row r="4">
          <cell r="C4">
            <v>36130</v>
          </cell>
        </row>
      </sheetData>
      <sheetData sheetId="373">
        <row r="4">
          <cell r="C4">
            <v>36130</v>
          </cell>
        </row>
      </sheetData>
      <sheetData sheetId="374">
        <row r="4">
          <cell r="C4">
            <v>36130</v>
          </cell>
        </row>
      </sheetData>
      <sheetData sheetId="375">
        <row r="4">
          <cell r="C4">
            <v>36130</v>
          </cell>
        </row>
      </sheetData>
      <sheetData sheetId="376">
        <row r="4">
          <cell r="C4">
            <v>36130</v>
          </cell>
        </row>
      </sheetData>
      <sheetData sheetId="377">
        <row r="4">
          <cell r="C4">
            <v>36130</v>
          </cell>
        </row>
      </sheetData>
      <sheetData sheetId="378">
        <row r="4">
          <cell r="C4">
            <v>36130</v>
          </cell>
        </row>
      </sheetData>
      <sheetData sheetId="379">
        <row r="4">
          <cell r="C4">
            <v>36130</v>
          </cell>
        </row>
      </sheetData>
      <sheetData sheetId="380">
        <row r="4">
          <cell r="C4">
            <v>36130</v>
          </cell>
        </row>
      </sheetData>
      <sheetData sheetId="381">
        <row r="4">
          <cell r="C4">
            <v>36130</v>
          </cell>
        </row>
      </sheetData>
      <sheetData sheetId="382">
        <row r="4">
          <cell r="C4">
            <v>36130</v>
          </cell>
        </row>
      </sheetData>
      <sheetData sheetId="383">
        <row r="4">
          <cell r="C4">
            <v>36130</v>
          </cell>
        </row>
      </sheetData>
      <sheetData sheetId="384">
        <row r="4">
          <cell r="C4">
            <v>36130</v>
          </cell>
        </row>
      </sheetData>
      <sheetData sheetId="385">
        <row r="4">
          <cell r="C4">
            <v>36130</v>
          </cell>
        </row>
      </sheetData>
      <sheetData sheetId="386">
        <row r="4">
          <cell r="C4">
            <v>36130</v>
          </cell>
        </row>
      </sheetData>
      <sheetData sheetId="387">
        <row r="4">
          <cell r="C4">
            <v>36130</v>
          </cell>
        </row>
      </sheetData>
      <sheetData sheetId="388">
        <row r="4">
          <cell r="C4">
            <v>36130</v>
          </cell>
        </row>
      </sheetData>
      <sheetData sheetId="389" refreshError="1"/>
      <sheetData sheetId="390">
        <row r="4">
          <cell r="C4">
            <v>36130</v>
          </cell>
        </row>
      </sheetData>
      <sheetData sheetId="391">
        <row r="4">
          <cell r="C4">
            <v>36130</v>
          </cell>
        </row>
      </sheetData>
      <sheetData sheetId="392">
        <row r="4">
          <cell r="C4">
            <v>36130</v>
          </cell>
        </row>
      </sheetData>
      <sheetData sheetId="393">
        <row r="4">
          <cell r="C4">
            <v>36130</v>
          </cell>
        </row>
      </sheetData>
      <sheetData sheetId="394">
        <row r="4">
          <cell r="C4">
            <v>36130</v>
          </cell>
        </row>
      </sheetData>
      <sheetData sheetId="395">
        <row r="4">
          <cell r="C4">
            <v>36130</v>
          </cell>
        </row>
      </sheetData>
      <sheetData sheetId="396" refreshError="1"/>
      <sheetData sheetId="397">
        <row r="4">
          <cell r="C4">
            <v>36130</v>
          </cell>
        </row>
      </sheetData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>
        <row r="4">
          <cell r="C4">
            <v>36130</v>
          </cell>
        </row>
      </sheetData>
      <sheetData sheetId="410">
        <row r="4">
          <cell r="C4">
            <v>36130</v>
          </cell>
        </row>
      </sheetData>
      <sheetData sheetId="411">
        <row r="4">
          <cell r="C4">
            <v>36130</v>
          </cell>
        </row>
      </sheetData>
      <sheetData sheetId="412">
        <row r="4">
          <cell r="C4">
            <v>36130</v>
          </cell>
        </row>
      </sheetData>
      <sheetData sheetId="413">
        <row r="4">
          <cell r="C4">
            <v>36130</v>
          </cell>
        </row>
      </sheetData>
      <sheetData sheetId="414">
        <row r="4">
          <cell r="C4">
            <v>36130</v>
          </cell>
        </row>
      </sheetData>
      <sheetData sheetId="415">
        <row r="4">
          <cell r="C4">
            <v>36130</v>
          </cell>
        </row>
      </sheetData>
      <sheetData sheetId="416">
        <row r="4">
          <cell r="C4">
            <v>36130</v>
          </cell>
        </row>
      </sheetData>
      <sheetData sheetId="417">
        <row r="4">
          <cell r="C4">
            <v>36130</v>
          </cell>
        </row>
      </sheetData>
      <sheetData sheetId="418">
        <row r="4">
          <cell r="C4">
            <v>36130</v>
          </cell>
        </row>
      </sheetData>
      <sheetData sheetId="419">
        <row r="4">
          <cell r="C4">
            <v>36130</v>
          </cell>
        </row>
      </sheetData>
      <sheetData sheetId="420">
        <row r="4">
          <cell r="C4">
            <v>36130</v>
          </cell>
        </row>
      </sheetData>
      <sheetData sheetId="421">
        <row r="4">
          <cell r="C4">
            <v>36130</v>
          </cell>
        </row>
      </sheetData>
      <sheetData sheetId="422">
        <row r="4">
          <cell r="C4">
            <v>36130</v>
          </cell>
        </row>
      </sheetData>
      <sheetData sheetId="423">
        <row r="4">
          <cell r="C4">
            <v>36130</v>
          </cell>
        </row>
      </sheetData>
      <sheetData sheetId="424">
        <row r="4">
          <cell r="C4">
            <v>36130</v>
          </cell>
        </row>
      </sheetData>
      <sheetData sheetId="425">
        <row r="4">
          <cell r="C4">
            <v>36130</v>
          </cell>
        </row>
      </sheetData>
      <sheetData sheetId="426">
        <row r="4">
          <cell r="C4">
            <v>36130</v>
          </cell>
        </row>
      </sheetData>
      <sheetData sheetId="427">
        <row r="4">
          <cell r="C4">
            <v>36130</v>
          </cell>
        </row>
      </sheetData>
      <sheetData sheetId="428">
        <row r="4">
          <cell r="C4">
            <v>36130</v>
          </cell>
        </row>
      </sheetData>
      <sheetData sheetId="429">
        <row r="4">
          <cell r="C4">
            <v>36130</v>
          </cell>
        </row>
      </sheetData>
      <sheetData sheetId="430">
        <row r="4">
          <cell r="C4">
            <v>36130</v>
          </cell>
        </row>
      </sheetData>
      <sheetData sheetId="431">
        <row r="4">
          <cell r="C4">
            <v>36130</v>
          </cell>
        </row>
      </sheetData>
      <sheetData sheetId="432">
        <row r="4">
          <cell r="C4">
            <v>36130</v>
          </cell>
        </row>
      </sheetData>
      <sheetData sheetId="433">
        <row r="4">
          <cell r="C4">
            <v>36130</v>
          </cell>
        </row>
      </sheetData>
      <sheetData sheetId="434">
        <row r="4">
          <cell r="C4">
            <v>36130</v>
          </cell>
        </row>
      </sheetData>
      <sheetData sheetId="435">
        <row r="4">
          <cell r="C4">
            <v>36130</v>
          </cell>
        </row>
      </sheetData>
      <sheetData sheetId="436">
        <row r="4">
          <cell r="C4">
            <v>36130</v>
          </cell>
        </row>
      </sheetData>
      <sheetData sheetId="437">
        <row r="4">
          <cell r="C4">
            <v>36130</v>
          </cell>
        </row>
      </sheetData>
      <sheetData sheetId="438">
        <row r="4">
          <cell r="C4">
            <v>36130</v>
          </cell>
        </row>
      </sheetData>
      <sheetData sheetId="439">
        <row r="4">
          <cell r="C4">
            <v>36130</v>
          </cell>
        </row>
      </sheetData>
      <sheetData sheetId="440">
        <row r="4">
          <cell r="C4">
            <v>36130</v>
          </cell>
        </row>
      </sheetData>
      <sheetData sheetId="441">
        <row r="4">
          <cell r="C4">
            <v>36130</v>
          </cell>
        </row>
      </sheetData>
      <sheetData sheetId="442">
        <row r="4">
          <cell r="C4">
            <v>36130</v>
          </cell>
        </row>
      </sheetData>
      <sheetData sheetId="443">
        <row r="4">
          <cell r="C4">
            <v>36130</v>
          </cell>
        </row>
      </sheetData>
      <sheetData sheetId="444">
        <row r="4">
          <cell r="C4">
            <v>36130</v>
          </cell>
        </row>
      </sheetData>
      <sheetData sheetId="445">
        <row r="4">
          <cell r="C4">
            <v>36130</v>
          </cell>
        </row>
      </sheetData>
      <sheetData sheetId="446">
        <row r="4">
          <cell r="C4">
            <v>36130</v>
          </cell>
        </row>
      </sheetData>
      <sheetData sheetId="447">
        <row r="4">
          <cell r="C4">
            <v>36130</v>
          </cell>
        </row>
      </sheetData>
      <sheetData sheetId="448">
        <row r="4">
          <cell r="C4">
            <v>36130</v>
          </cell>
        </row>
      </sheetData>
      <sheetData sheetId="449">
        <row r="4">
          <cell r="C4">
            <v>36130</v>
          </cell>
        </row>
      </sheetData>
      <sheetData sheetId="450">
        <row r="4">
          <cell r="C4">
            <v>36130</v>
          </cell>
        </row>
      </sheetData>
      <sheetData sheetId="451">
        <row r="4">
          <cell r="C4">
            <v>36130</v>
          </cell>
        </row>
      </sheetData>
      <sheetData sheetId="452">
        <row r="4">
          <cell r="C4">
            <v>36130</v>
          </cell>
        </row>
      </sheetData>
      <sheetData sheetId="453">
        <row r="4">
          <cell r="C4">
            <v>36130</v>
          </cell>
        </row>
      </sheetData>
      <sheetData sheetId="454">
        <row r="4">
          <cell r="C4">
            <v>36130</v>
          </cell>
        </row>
      </sheetData>
      <sheetData sheetId="455">
        <row r="4">
          <cell r="C4">
            <v>36130</v>
          </cell>
        </row>
      </sheetData>
      <sheetData sheetId="456">
        <row r="4">
          <cell r="C4">
            <v>36130</v>
          </cell>
        </row>
      </sheetData>
      <sheetData sheetId="457">
        <row r="4">
          <cell r="C4">
            <v>36130</v>
          </cell>
        </row>
      </sheetData>
      <sheetData sheetId="458">
        <row r="4">
          <cell r="C4">
            <v>36130</v>
          </cell>
        </row>
      </sheetData>
      <sheetData sheetId="459">
        <row r="4">
          <cell r="C4">
            <v>36130</v>
          </cell>
        </row>
      </sheetData>
      <sheetData sheetId="460">
        <row r="4">
          <cell r="C4">
            <v>36130</v>
          </cell>
        </row>
      </sheetData>
      <sheetData sheetId="461">
        <row r="4">
          <cell r="C4">
            <v>36130</v>
          </cell>
        </row>
      </sheetData>
      <sheetData sheetId="462">
        <row r="4">
          <cell r="C4">
            <v>36130</v>
          </cell>
        </row>
      </sheetData>
      <sheetData sheetId="463">
        <row r="4">
          <cell r="C4">
            <v>36130</v>
          </cell>
        </row>
      </sheetData>
      <sheetData sheetId="464">
        <row r="4">
          <cell r="C4">
            <v>36130</v>
          </cell>
        </row>
      </sheetData>
      <sheetData sheetId="465">
        <row r="4">
          <cell r="C4">
            <v>36130</v>
          </cell>
        </row>
      </sheetData>
      <sheetData sheetId="466">
        <row r="4">
          <cell r="C4">
            <v>36130</v>
          </cell>
        </row>
      </sheetData>
      <sheetData sheetId="467">
        <row r="4">
          <cell r="C4">
            <v>36130</v>
          </cell>
        </row>
      </sheetData>
      <sheetData sheetId="468">
        <row r="4">
          <cell r="C4">
            <v>36130</v>
          </cell>
        </row>
      </sheetData>
      <sheetData sheetId="469">
        <row r="4">
          <cell r="C4">
            <v>36130</v>
          </cell>
        </row>
      </sheetData>
      <sheetData sheetId="470">
        <row r="4">
          <cell r="C4">
            <v>36130</v>
          </cell>
        </row>
      </sheetData>
      <sheetData sheetId="471">
        <row r="4">
          <cell r="C4">
            <v>36130</v>
          </cell>
        </row>
      </sheetData>
      <sheetData sheetId="472">
        <row r="4">
          <cell r="C4">
            <v>36130</v>
          </cell>
        </row>
      </sheetData>
      <sheetData sheetId="473">
        <row r="4">
          <cell r="C4">
            <v>36130</v>
          </cell>
        </row>
      </sheetData>
      <sheetData sheetId="474">
        <row r="4">
          <cell r="C4">
            <v>36130</v>
          </cell>
        </row>
      </sheetData>
      <sheetData sheetId="475">
        <row r="4">
          <cell r="C4">
            <v>36130</v>
          </cell>
        </row>
      </sheetData>
      <sheetData sheetId="476">
        <row r="4">
          <cell r="C4">
            <v>36130</v>
          </cell>
        </row>
      </sheetData>
      <sheetData sheetId="477">
        <row r="4">
          <cell r="C4">
            <v>36130</v>
          </cell>
        </row>
      </sheetData>
      <sheetData sheetId="478">
        <row r="4">
          <cell r="C4">
            <v>36130</v>
          </cell>
        </row>
      </sheetData>
      <sheetData sheetId="479">
        <row r="4">
          <cell r="C4">
            <v>36130</v>
          </cell>
        </row>
      </sheetData>
      <sheetData sheetId="480">
        <row r="4">
          <cell r="C4">
            <v>36130</v>
          </cell>
        </row>
      </sheetData>
      <sheetData sheetId="481">
        <row r="4">
          <cell r="C4">
            <v>36130</v>
          </cell>
        </row>
      </sheetData>
      <sheetData sheetId="482">
        <row r="4">
          <cell r="C4">
            <v>36130</v>
          </cell>
        </row>
      </sheetData>
      <sheetData sheetId="483">
        <row r="4">
          <cell r="C4">
            <v>36130</v>
          </cell>
        </row>
      </sheetData>
      <sheetData sheetId="484">
        <row r="4">
          <cell r="C4">
            <v>36130</v>
          </cell>
        </row>
      </sheetData>
      <sheetData sheetId="485">
        <row r="4">
          <cell r="C4">
            <v>36130</v>
          </cell>
        </row>
      </sheetData>
      <sheetData sheetId="486">
        <row r="4">
          <cell r="C4">
            <v>36130</v>
          </cell>
        </row>
      </sheetData>
      <sheetData sheetId="487">
        <row r="4">
          <cell r="C4">
            <v>36130</v>
          </cell>
        </row>
      </sheetData>
      <sheetData sheetId="488">
        <row r="4">
          <cell r="C4">
            <v>36130</v>
          </cell>
        </row>
      </sheetData>
      <sheetData sheetId="489">
        <row r="4">
          <cell r="C4">
            <v>36130</v>
          </cell>
        </row>
      </sheetData>
      <sheetData sheetId="490">
        <row r="4">
          <cell r="C4">
            <v>36130</v>
          </cell>
        </row>
      </sheetData>
      <sheetData sheetId="491">
        <row r="4">
          <cell r="C4">
            <v>36130</v>
          </cell>
        </row>
      </sheetData>
      <sheetData sheetId="492">
        <row r="4">
          <cell r="C4">
            <v>36130</v>
          </cell>
        </row>
      </sheetData>
      <sheetData sheetId="493">
        <row r="4">
          <cell r="C4">
            <v>36130</v>
          </cell>
        </row>
      </sheetData>
      <sheetData sheetId="494">
        <row r="4">
          <cell r="C4">
            <v>36130</v>
          </cell>
        </row>
      </sheetData>
      <sheetData sheetId="495">
        <row r="4">
          <cell r="C4">
            <v>36130</v>
          </cell>
        </row>
      </sheetData>
      <sheetData sheetId="496">
        <row r="4">
          <cell r="C4">
            <v>36130</v>
          </cell>
        </row>
      </sheetData>
      <sheetData sheetId="497">
        <row r="4">
          <cell r="C4">
            <v>36130</v>
          </cell>
        </row>
      </sheetData>
      <sheetData sheetId="498">
        <row r="4">
          <cell r="C4">
            <v>36130</v>
          </cell>
        </row>
      </sheetData>
      <sheetData sheetId="499">
        <row r="4">
          <cell r="C4">
            <v>36130</v>
          </cell>
        </row>
      </sheetData>
      <sheetData sheetId="500">
        <row r="4">
          <cell r="C4">
            <v>36130</v>
          </cell>
        </row>
      </sheetData>
      <sheetData sheetId="501">
        <row r="4">
          <cell r="C4">
            <v>36130</v>
          </cell>
        </row>
      </sheetData>
      <sheetData sheetId="502">
        <row r="4">
          <cell r="C4">
            <v>36130</v>
          </cell>
        </row>
      </sheetData>
      <sheetData sheetId="503">
        <row r="4">
          <cell r="C4">
            <v>36130</v>
          </cell>
        </row>
      </sheetData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>
        <row r="4">
          <cell r="C4">
            <v>36130</v>
          </cell>
        </row>
      </sheetData>
      <sheetData sheetId="519">
        <row r="4">
          <cell r="C4">
            <v>36130</v>
          </cell>
        </row>
      </sheetData>
      <sheetData sheetId="520">
        <row r="4">
          <cell r="C4">
            <v>36130</v>
          </cell>
        </row>
      </sheetData>
      <sheetData sheetId="521">
        <row r="4">
          <cell r="C4">
            <v>36130</v>
          </cell>
        </row>
      </sheetData>
      <sheetData sheetId="522">
        <row r="4">
          <cell r="C4">
            <v>36130</v>
          </cell>
        </row>
      </sheetData>
      <sheetData sheetId="523">
        <row r="4">
          <cell r="C4">
            <v>36130</v>
          </cell>
        </row>
      </sheetData>
      <sheetData sheetId="524">
        <row r="4">
          <cell r="C4">
            <v>36130</v>
          </cell>
        </row>
      </sheetData>
      <sheetData sheetId="525">
        <row r="4">
          <cell r="C4">
            <v>36130</v>
          </cell>
        </row>
      </sheetData>
      <sheetData sheetId="526">
        <row r="4">
          <cell r="C4">
            <v>36130</v>
          </cell>
        </row>
      </sheetData>
      <sheetData sheetId="527">
        <row r="4">
          <cell r="C4">
            <v>36130</v>
          </cell>
        </row>
      </sheetData>
      <sheetData sheetId="528">
        <row r="4">
          <cell r="C4">
            <v>36130</v>
          </cell>
        </row>
      </sheetData>
      <sheetData sheetId="529">
        <row r="4">
          <cell r="C4">
            <v>36130</v>
          </cell>
        </row>
      </sheetData>
      <sheetData sheetId="530">
        <row r="4">
          <cell r="C4">
            <v>36130</v>
          </cell>
        </row>
      </sheetData>
      <sheetData sheetId="531">
        <row r="4">
          <cell r="C4">
            <v>36130</v>
          </cell>
        </row>
      </sheetData>
      <sheetData sheetId="532">
        <row r="4">
          <cell r="C4">
            <v>36130</v>
          </cell>
        </row>
      </sheetData>
      <sheetData sheetId="533">
        <row r="4">
          <cell r="C4">
            <v>36130</v>
          </cell>
        </row>
      </sheetData>
      <sheetData sheetId="534">
        <row r="4">
          <cell r="C4">
            <v>36130</v>
          </cell>
        </row>
      </sheetData>
      <sheetData sheetId="535">
        <row r="4">
          <cell r="C4">
            <v>36130</v>
          </cell>
        </row>
      </sheetData>
      <sheetData sheetId="536">
        <row r="4">
          <cell r="C4">
            <v>36130</v>
          </cell>
        </row>
      </sheetData>
      <sheetData sheetId="537">
        <row r="4">
          <cell r="C4">
            <v>36130</v>
          </cell>
        </row>
      </sheetData>
      <sheetData sheetId="538">
        <row r="4">
          <cell r="C4">
            <v>36130</v>
          </cell>
        </row>
      </sheetData>
      <sheetData sheetId="539">
        <row r="4">
          <cell r="C4">
            <v>36130</v>
          </cell>
        </row>
      </sheetData>
      <sheetData sheetId="540">
        <row r="4">
          <cell r="C4">
            <v>36130</v>
          </cell>
        </row>
      </sheetData>
      <sheetData sheetId="541">
        <row r="4">
          <cell r="C4">
            <v>36130</v>
          </cell>
        </row>
      </sheetData>
      <sheetData sheetId="542">
        <row r="4">
          <cell r="C4">
            <v>36130</v>
          </cell>
        </row>
      </sheetData>
      <sheetData sheetId="543">
        <row r="4">
          <cell r="C4">
            <v>36130</v>
          </cell>
        </row>
      </sheetData>
      <sheetData sheetId="544">
        <row r="4">
          <cell r="C4">
            <v>36130</v>
          </cell>
        </row>
      </sheetData>
      <sheetData sheetId="545">
        <row r="4">
          <cell r="C4">
            <v>36130</v>
          </cell>
        </row>
      </sheetData>
      <sheetData sheetId="546">
        <row r="4">
          <cell r="C4">
            <v>36130</v>
          </cell>
        </row>
      </sheetData>
      <sheetData sheetId="547">
        <row r="4">
          <cell r="C4">
            <v>36130</v>
          </cell>
        </row>
      </sheetData>
      <sheetData sheetId="548">
        <row r="4">
          <cell r="C4">
            <v>36130</v>
          </cell>
        </row>
      </sheetData>
      <sheetData sheetId="549">
        <row r="4">
          <cell r="C4">
            <v>36130</v>
          </cell>
        </row>
      </sheetData>
      <sheetData sheetId="550">
        <row r="4">
          <cell r="C4">
            <v>36130</v>
          </cell>
        </row>
      </sheetData>
      <sheetData sheetId="551">
        <row r="4">
          <cell r="C4">
            <v>36130</v>
          </cell>
        </row>
      </sheetData>
      <sheetData sheetId="552">
        <row r="4">
          <cell r="C4">
            <v>36130</v>
          </cell>
        </row>
      </sheetData>
      <sheetData sheetId="553">
        <row r="4">
          <cell r="C4">
            <v>36130</v>
          </cell>
        </row>
      </sheetData>
      <sheetData sheetId="554">
        <row r="4">
          <cell r="C4">
            <v>36130</v>
          </cell>
        </row>
      </sheetData>
      <sheetData sheetId="555">
        <row r="4">
          <cell r="C4">
            <v>36130</v>
          </cell>
        </row>
      </sheetData>
      <sheetData sheetId="556">
        <row r="4">
          <cell r="C4">
            <v>36130</v>
          </cell>
        </row>
      </sheetData>
      <sheetData sheetId="557">
        <row r="4">
          <cell r="C4">
            <v>36130</v>
          </cell>
        </row>
      </sheetData>
      <sheetData sheetId="558">
        <row r="4">
          <cell r="C4">
            <v>36130</v>
          </cell>
        </row>
      </sheetData>
      <sheetData sheetId="559">
        <row r="4">
          <cell r="C4">
            <v>36130</v>
          </cell>
        </row>
      </sheetData>
      <sheetData sheetId="560">
        <row r="4">
          <cell r="C4">
            <v>36130</v>
          </cell>
        </row>
      </sheetData>
      <sheetData sheetId="561">
        <row r="4">
          <cell r="C4">
            <v>36130</v>
          </cell>
        </row>
      </sheetData>
      <sheetData sheetId="562">
        <row r="4">
          <cell r="C4">
            <v>36130</v>
          </cell>
        </row>
      </sheetData>
      <sheetData sheetId="563">
        <row r="4">
          <cell r="C4">
            <v>36130</v>
          </cell>
        </row>
      </sheetData>
      <sheetData sheetId="564">
        <row r="4">
          <cell r="C4">
            <v>36130</v>
          </cell>
        </row>
      </sheetData>
      <sheetData sheetId="565">
        <row r="4">
          <cell r="C4">
            <v>36130</v>
          </cell>
        </row>
      </sheetData>
      <sheetData sheetId="566">
        <row r="4">
          <cell r="C4">
            <v>36130</v>
          </cell>
        </row>
      </sheetData>
      <sheetData sheetId="567">
        <row r="4">
          <cell r="C4">
            <v>36130</v>
          </cell>
        </row>
      </sheetData>
      <sheetData sheetId="568">
        <row r="4">
          <cell r="C4">
            <v>36130</v>
          </cell>
        </row>
      </sheetData>
      <sheetData sheetId="569">
        <row r="4">
          <cell r="C4">
            <v>36130</v>
          </cell>
        </row>
      </sheetData>
      <sheetData sheetId="570">
        <row r="4">
          <cell r="C4">
            <v>36130</v>
          </cell>
        </row>
      </sheetData>
      <sheetData sheetId="571">
        <row r="4">
          <cell r="C4">
            <v>36130</v>
          </cell>
        </row>
      </sheetData>
      <sheetData sheetId="572">
        <row r="4">
          <cell r="C4">
            <v>36130</v>
          </cell>
        </row>
      </sheetData>
      <sheetData sheetId="573">
        <row r="4">
          <cell r="C4">
            <v>36130</v>
          </cell>
        </row>
      </sheetData>
      <sheetData sheetId="574">
        <row r="4">
          <cell r="C4">
            <v>36130</v>
          </cell>
        </row>
      </sheetData>
      <sheetData sheetId="575">
        <row r="4">
          <cell r="C4">
            <v>36130</v>
          </cell>
        </row>
      </sheetData>
      <sheetData sheetId="576">
        <row r="4">
          <cell r="C4">
            <v>36130</v>
          </cell>
        </row>
      </sheetData>
      <sheetData sheetId="577">
        <row r="4">
          <cell r="C4">
            <v>36130</v>
          </cell>
        </row>
      </sheetData>
      <sheetData sheetId="578">
        <row r="4">
          <cell r="C4">
            <v>36130</v>
          </cell>
        </row>
      </sheetData>
      <sheetData sheetId="579">
        <row r="4">
          <cell r="C4">
            <v>36130</v>
          </cell>
        </row>
      </sheetData>
      <sheetData sheetId="580">
        <row r="4">
          <cell r="C4">
            <v>36130</v>
          </cell>
        </row>
      </sheetData>
      <sheetData sheetId="581">
        <row r="4">
          <cell r="C4">
            <v>36130</v>
          </cell>
        </row>
      </sheetData>
      <sheetData sheetId="582">
        <row r="4">
          <cell r="C4">
            <v>36130</v>
          </cell>
        </row>
      </sheetData>
      <sheetData sheetId="583">
        <row r="4">
          <cell r="C4">
            <v>36130</v>
          </cell>
        </row>
      </sheetData>
      <sheetData sheetId="584">
        <row r="4">
          <cell r="C4">
            <v>36130</v>
          </cell>
        </row>
      </sheetData>
      <sheetData sheetId="585">
        <row r="4">
          <cell r="C4">
            <v>36130</v>
          </cell>
        </row>
      </sheetData>
      <sheetData sheetId="586">
        <row r="4">
          <cell r="C4">
            <v>36130</v>
          </cell>
        </row>
      </sheetData>
      <sheetData sheetId="587">
        <row r="4">
          <cell r="C4">
            <v>36130</v>
          </cell>
        </row>
      </sheetData>
      <sheetData sheetId="588">
        <row r="4">
          <cell r="C4">
            <v>36130</v>
          </cell>
        </row>
      </sheetData>
      <sheetData sheetId="589">
        <row r="4">
          <cell r="C4">
            <v>36130</v>
          </cell>
        </row>
      </sheetData>
      <sheetData sheetId="590">
        <row r="4">
          <cell r="C4">
            <v>36130</v>
          </cell>
        </row>
      </sheetData>
      <sheetData sheetId="591">
        <row r="4">
          <cell r="C4">
            <v>36130</v>
          </cell>
        </row>
      </sheetData>
      <sheetData sheetId="592">
        <row r="4">
          <cell r="C4">
            <v>36130</v>
          </cell>
        </row>
      </sheetData>
      <sheetData sheetId="593">
        <row r="4">
          <cell r="C4">
            <v>36130</v>
          </cell>
        </row>
      </sheetData>
      <sheetData sheetId="594">
        <row r="4">
          <cell r="C4">
            <v>36130</v>
          </cell>
        </row>
      </sheetData>
      <sheetData sheetId="595">
        <row r="4">
          <cell r="C4">
            <v>36130</v>
          </cell>
        </row>
      </sheetData>
      <sheetData sheetId="596">
        <row r="4">
          <cell r="C4">
            <v>36130</v>
          </cell>
        </row>
      </sheetData>
      <sheetData sheetId="597">
        <row r="4">
          <cell r="C4">
            <v>36130</v>
          </cell>
        </row>
      </sheetData>
      <sheetData sheetId="598">
        <row r="4">
          <cell r="C4">
            <v>36130</v>
          </cell>
        </row>
      </sheetData>
      <sheetData sheetId="599">
        <row r="4">
          <cell r="C4">
            <v>36130</v>
          </cell>
        </row>
      </sheetData>
      <sheetData sheetId="600">
        <row r="4">
          <cell r="C4">
            <v>36130</v>
          </cell>
        </row>
      </sheetData>
      <sheetData sheetId="601">
        <row r="4">
          <cell r="C4">
            <v>36130</v>
          </cell>
        </row>
      </sheetData>
      <sheetData sheetId="602">
        <row r="4">
          <cell r="C4">
            <v>36130</v>
          </cell>
        </row>
      </sheetData>
      <sheetData sheetId="603">
        <row r="4">
          <cell r="C4">
            <v>36130</v>
          </cell>
        </row>
      </sheetData>
      <sheetData sheetId="604">
        <row r="4">
          <cell r="C4">
            <v>36130</v>
          </cell>
        </row>
      </sheetData>
      <sheetData sheetId="605">
        <row r="4">
          <cell r="C4">
            <v>36130</v>
          </cell>
        </row>
      </sheetData>
      <sheetData sheetId="606">
        <row r="4">
          <cell r="C4">
            <v>36130</v>
          </cell>
        </row>
      </sheetData>
      <sheetData sheetId="607">
        <row r="4">
          <cell r="C4">
            <v>36130</v>
          </cell>
        </row>
      </sheetData>
      <sheetData sheetId="608">
        <row r="4">
          <cell r="C4">
            <v>36130</v>
          </cell>
        </row>
      </sheetData>
      <sheetData sheetId="609">
        <row r="4">
          <cell r="C4">
            <v>36130</v>
          </cell>
        </row>
      </sheetData>
      <sheetData sheetId="610">
        <row r="4">
          <cell r="C4">
            <v>36130</v>
          </cell>
        </row>
      </sheetData>
      <sheetData sheetId="611">
        <row r="4">
          <cell r="C4">
            <v>36130</v>
          </cell>
        </row>
      </sheetData>
      <sheetData sheetId="612">
        <row r="4">
          <cell r="C4">
            <v>36130</v>
          </cell>
        </row>
      </sheetData>
      <sheetData sheetId="613">
        <row r="4">
          <cell r="C4">
            <v>36130</v>
          </cell>
        </row>
      </sheetData>
      <sheetData sheetId="614">
        <row r="4">
          <cell r="C4">
            <v>36130</v>
          </cell>
        </row>
      </sheetData>
      <sheetData sheetId="615">
        <row r="4">
          <cell r="C4">
            <v>36130</v>
          </cell>
        </row>
      </sheetData>
      <sheetData sheetId="616">
        <row r="4">
          <cell r="C4">
            <v>36130</v>
          </cell>
        </row>
      </sheetData>
      <sheetData sheetId="617">
        <row r="4">
          <cell r="C4">
            <v>36130</v>
          </cell>
        </row>
      </sheetData>
      <sheetData sheetId="618">
        <row r="4">
          <cell r="C4">
            <v>36130</v>
          </cell>
        </row>
      </sheetData>
      <sheetData sheetId="619">
        <row r="4">
          <cell r="C4">
            <v>36130</v>
          </cell>
        </row>
      </sheetData>
      <sheetData sheetId="620">
        <row r="4">
          <cell r="C4">
            <v>36130</v>
          </cell>
        </row>
      </sheetData>
      <sheetData sheetId="621">
        <row r="4">
          <cell r="C4">
            <v>36130</v>
          </cell>
        </row>
      </sheetData>
      <sheetData sheetId="622">
        <row r="4">
          <cell r="C4">
            <v>36130</v>
          </cell>
        </row>
      </sheetData>
      <sheetData sheetId="623">
        <row r="4">
          <cell r="C4">
            <v>36130</v>
          </cell>
        </row>
      </sheetData>
      <sheetData sheetId="624">
        <row r="4">
          <cell r="C4">
            <v>36130</v>
          </cell>
        </row>
      </sheetData>
      <sheetData sheetId="625">
        <row r="4">
          <cell r="C4">
            <v>36130</v>
          </cell>
        </row>
      </sheetData>
      <sheetData sheetId="626">
        <row r="4">
          <cell r="C4">
            <v>36130</v>
          </cell>
        </row>
      </sheetData>
      <sheetData sheetId="627">
        <row r="4">
          <cell r="C4">
            <v>36130</v>
          </cell>
        </row>
      </sheetData>
      <sheetData sheetId="628">
        <row r="4">
          <cell r="C4">
            <v>36130</v>
          </cell>
        </row>
      </sheetData>
      <sheetData sheetId="629">
        <row r="4">
          <cell r="C4">
            <v>36130</v>
          </cell>
        </row>
      </sheetData>
      <sheetData sheetId="630">
        <row r="4">
          <cell r="C4">
            <v>36130</v>
          </cell>
        </row>
      </sheetData>
      <sheetData sheetId="631">
        <row r="4">
          <cell r="C4">
            <v>36130</v>
          </cell>
        </row>
      </sheetData>
      <sheetData sheetId="632">
        <row r="4">
          <cell r="C4">
            <v>36130</v>
          </cell>
        </row>
      </sheetData>
      <sheetData sheetId="633">
        <row r="4">
          <cell r="C4">
            <v>36130</v>
          </cell>
        </row>
      </sheetData>
      <sheetData sheetId="634">
        <row r="4">
          <cell r="C4">
            <v>36130</v>
          </cell>
        </row>
      </sheetData>
      <sheetData sheetId="635">
        <row r="4">
          <cell r="C4">
            <v>36130</v>
          </cell>
        </row>
      </sheetData>
      <sheetData sheetId="636">
        <row r="4">
          <cell r="C4">
            <v>36130</v>
          </cell>
        </row>
      </sheetData>
      <sheetData sheetId="637">
        <row r="4">
          <cell r="C4">
            <v>36130</v>
          </cell>
        </row>
      </sheetData>
      <sheetData sheetId="638">
        <row r="4">
          <cell r="C4">
            <v>36130</v>
          </cell>
        </row>
      </sheetData>
      <sheetData sheetId="639">
        <row r="4">
          <cell r="C4">
            <v>36130</v>
          </cell>
        </row>
      </sheetData>
      <sheetData sheetId="640">
        <row r="4">
          <cell r="C4">
            <v>36130</v>
          </cell>
        </row>
      </sheetData>
      <sheetData sheetId="641">
        <row r="4">
          <cell r="C4">
            <v>36130</v>
          </cell>
        </row>
      </sheetData>
      <sheetData sheetId="642">
        <row r="4">
          <cell r="C4">
            <v>36130</v>
          </cell>
        </row>
      </sheetData>
      <sheetData sheetId="643">
        <row r="4">
          <cell r="C4">
            <v>36130</v>
          </cell>
        </row>
      </sheetData>
      <sheetData sheetId="644">
        <row r="4">
          <cell r="C4">
            <v>36130</v>
          </cell>
        </row>
      </sheetData>
      <sheetData sheetId="645">
        <row r="4">
          <cell r="C4">
            <v>36130</v>
          </cell>
        </row>
      </sheetData>
      <sheetData sheetId="646">
        <row r="4">
          <cell r="C4">
            <v>36130</v>
          </cell>
        </row>
      </sheetData>
      <sheetData sheetId="647">
        <row r="4">
          <cell r="C4">
            <v>36130</v>
          </cell>
        </row>
      </sheetData>
      <sheetData sheetId="648">
        <row r="4">
          <cell r="C4">
            <v>36130</v>
          </cell>
        </row>
      </sheetData>
      <sheetData sheetId="649">
        <row r="4">
          <cell r="C4">
            <v>36130</v>
          </cell>
        </row>
      </sheetData>
      <sheetData sheetId="650">
        <row r="4">
          <cell r="C4">
            <v>36130</v>
          </cell>
        </row>
      </sheetData>
      <sheetData sheetId="651">
        <row r="4">
          <cell r="C4">
            <v>36130</v>
          </cell>
        </row>
      </sheetData>
      <sheetData sheetId="652">
        <row r="4">
          <cell r="C4">
            <v>36130</v>
          </cell>
        </row>
      </sheetData>
      <sheetData sheetId="653">
        <row r="4">
          <cell r="C4">
            <v>36130</v>
          </cell>
        </row>
      </sheetData>
      <sheetData sheetId="654">
        <row r="4">
          <cell r="C4">
            <v>36130</v>
          </cell>
        </row>
      </sheetData>
      <sheetData sheetId="655">
        <row r="4">
          <cell r="C4">
            <v>36130</v>
          </cell>
        </row>
      </sheetData>
      <sheetData sheetId="656">
        <row r="4">
          <cell r="C4">
            <v>36130</v>
          </cell>
        </row>
      </sheetData>
      <sheetData sheetId="657">
        <row r="4">
          <cell r="C4">
            <v>36130</v>
          </cell>
        </row>
      </sheetData>
      <sheetData sheetId="658">
        <row r="4">
          <cell r="C4">
            <v>36130</v>
          </cell>
        </row>
      </sheetData>
      <sheetData sheetId="659">
        <row r="4">
          <cell r="C4">
            <v>36130</v>
          </cell>
        </row>
      </sheetData>
      <sheetData sheetId="660">
        <row r="4">
          <cell r="C4">
            <v>36130</v>
          </cell>
        </row>
      </sheetData>
      <sheetData sheetId="661">
        <row r="4">
          <cell r="C4">
            <v>36130</v>
          </cell>
        </row>
      </sheetData>
      <sheetData sheetId="662">
        <row r="4">
          <cell r="C4">
            <v>36130</v>
          </cell>
        </row>
      </sheetData>
      <sheetData sheetId="663">
        <row r="4">
          <cell r="C4">
            <v>36130</v>
          </cell>
        </row>
      </sheetData>
      <sheetData sheetId="664">
        <row r="4">
          <cell r="C4">
            <v>36130</v>
          </cell>
        </row>
      </sheetData>
      <sheetData sheetId="665">
        <row r="4">
          <cell r="C4">
            <v>36130</v>
          </cell>
        </row>
      </sheetData>
      <sheetData sheetId="666">
        <row r="4">
          <cell r="C4">
            <v>36130</v>
          </cell>
        </row>
      </sheetData>
      <sheetData sheetId="667">
        <row r="4">
          <cell r="C4">
            <v>36130</v>
          </cell>
        </row>
      </sheetData>
      <sheetData sheetId="668">
        <row r="4">
          <cell r="C4">
            <v>36130</v>
          </cell>
        </row>
      </sheetData>
      <sheetData sheetId="669">
        <row r="4">
          <cell r="C4">
            <v>36130</v>
          </cell>
        </row>
      </sheetData>
      <sheetData sheetId="670">
        <row r="4">
          <cell r="C4">
            <v>36130</v>
          </cell>
        </row>
      </sheetData>
      <sheetData sheetId="671">
        <row r="4">
          <cell r="C4">
            <v>36130</v>
          </cell>
        </row>
      </sheetData>
      <sheetData sheetId="672">
        <row r="4">
          <cell r="C4">
            <v>36130</v>
          </cell>
        </row>
      </sheetData>
      <sheetData sheetId="673">
        <row r="4">
          <cell r="C4">
            <v>36130</v>
          </cell>
        </row>
      </sheetData>
      <sheetData sheetId="674">
        <row r="4">
          <cell r="C4">
            <v>36130</v>
          </cell>
        </row>
      </sheetData>
      <sheetData sheetId="675">
        <row r="4">
          <cell r="C4">
            <v>36130</v>
          </cell>
        </row>
      </sheetData>
      <sheetData sheetId="676">
        <row r="4">
          <cell r="C4">
            <v>36130</v>
          </cell>
        </row>
      </sheetData>
      <sheetData sheetId="677">
        <row r="4">
          <cell r="C4">
            <v>36130</v>
          </cell>
        </row>
      </sheetData>
      <sheetData sheetId="678">
        <row r="4">
          <cell r="C4">
            <v>36130</v>
          </cell>
        </row>
      </sheetData>
      <sheetData sheetId="679">
        <row r="4">
          <cell r="C4">
            <v>36130</v>
          </cell>
        </row>
      </sheetData>
      <sheetData sheetId="680">
        <row r="4">
          <cell r="C4">
            <v>36130</v>
          </cell>
        </row>
      </sheetData>
      <sheetData sheetId="681">
        <row r="4">
          <cell r="C4">
            <v>36130</v>
          </cell>
        </row>
      </sheetData>
      <sheetData sheetId="682">
        <row r="4">
          <cell r="C4">
            <v>36130</v>
          </cell>
        </row>
      </sheetData>
      <sheetData sheetId="683">
        <row r="4">
          <cell r="C4">
            <v>36130</v>
          </cell>
        </row>
      </sheetData>
      <sheetData sheetId="684">
        <row r="4">
          <cell r="C4">
            <v>36130</v>
          </cell>
        </row>
      </sheetData>
      <sheetData sheetId="685">
        <row r="4">
          <cell r="C4">
            <v>36130</v>
          </cell>
        </row>
      </sheetData>
      <sheetData sheetId="686">
        <row r="4">
          <cell r="C4">
            <v>36130</v>
          </cell>
        </row>
      </sheetData>
      <sheetData sheetId="687">
        <row r="4">
          <cell r="C4">
            <v>36130</v>
          </cell>
        </row>
      </sheetData>
      <sheetData sheetId="688">
        <row r="4">
          <cell r="C4">
            <v>36130</v>
          </cell>
        </row>
      </sheetData>
      <sheetData sheetId="689">
        <row r="4">
          <cell r="C4">
            <v>36130</v>
          </cell>
        </row>
      </sheetData>
      <sheetData sheetId="690">
        <row r="4">
          <cell r="C4">
            <v>36130</v>
          </cell>
        </row>
      </sheetData>
      <sheetData sheetId="691">
        <row r="4">
          <cell r="C4">
            <v>36130</v>
          </cell>
        </row>
      </sheetData>
      <sheetData sheetId="692">
        <row r="4">
          <cell r="C4">
            <v>36130</v>
          </cell>
        </row>
      </sheetData>
      <sheetData sheetId="693">
        <row r="4">
          <cell r="C4">
            <v>36130</v>
          </cell>
        </row>
      </sheetData>
      <sheetData sheetId="694">
        <row r="4">
          <cell r="C4">
            <v>36130</v>
          </cell>
        </row>
      </sheetData>
      <sheetData sheetId="695">
        <row r="4">
          <cell r="C4">
            <v>36130</v>
          </cell>
        </row>
      </sheetData>
      <sheetData sheetId="696">
        <row r="4">
          <cell r="C4">
            <v>36130</v>
          </cell>
        </row>
      </sheetData>
      <sheetData sheetId="697">
        <row r="4">
          <cell r="C4">
            <v>36130</v>
          </cell>
        </row>
      </sheetData>
      <sheetData sheetId="698">
        <row r="4">
          <cell r="C4">
            <v>36130</v>
          </cell>
        </row>
      </sheetData>
      <sheetData sheetId="699">
        <row r="4">
          <cell r="C4">
            <v>36130</v>
          </cell>
        </row>
      </sheetData>
      <sheetData sheetId="700">
        <row r="4">
          <cell r="C4">
            <v>36130</v>
          </cell>
        </row>
      </sheetData>
      <sheetData sheetId="701">
        <row r="4">
          <cell r="C4">
            <v>36130</v>
          </cell>
        </row>
      </sheetData>
      <sheetData sheetId="702">
        <row r="4">
          <cell r="C4">
            <v>36130</v>
          </cell>
        </row>
      </sheetData>
      <sheetData sheetId="703">
        <row r="4">
          <cell r="C4">
            <v>36130</v>
          </cell>
        </row>
      </sheetData>
      <sheetData sheetId="704">
        <row r="4">
          <cell r="C4">
            <v>36130</v>
          </cell>
        </row>
      </sheetData>
      <sheetData sheetId="705">
        <row r="4">
          <cell r="C4">
            <v>36130</v>
          </cell>
        </row>
      </sheetData>
      <sheetData sheetId="706">
        <row r="4">
          <cell r="C4">
            <v>36130</v>
          </cell>
        </row>
      </sheetData>
      <sheetData sheetId="707">
        <row r="4">
          <cell r="C4">
            <v>36130</v>
          </cell>
        </row>
      </sheetData>
      <sheetData sheetId="708">
        <row r="4">
          <cell r="C4">
            <v>36130</v>
          </cell>
        </row>
      </sheetData>
      <sheetData sheetId="709">
        <row r="4">
          <cell r="C4">
            <v>36130</v>
          </cell>
        </row>
      </sheetData>
      <sheetData sheetId="710">
        <row r="4">
          <cell r="C4">
            <v>36130</v>
          </cell>
        </row>
      </sheetData>
      <sheetData sheetId="711">
        <row r="4">
          <cell r="C4">
            <v>36130</v>
          </cell>
        </row>
      </sheetData>
      <sheetData sheetId="712">
        <row r="4">
          <cell r="C4">
            <v>36130</v>
          </cell>
        </row>
      </sheetData>
      <sheetData sheetId="713">
        <row r="4">
          <cell r="C4">
            <v>36130</v>
          </cell>
        </row>
      </sheetData>
      <sheetData sheetId="714">
        <row r="4">
          <cell r="C4">
            <v>36130</v>
          </cell>
        </row>
      </sheetData>
      <sheetData sheetId="715">
        <row r="4">
          <cell r="C4">
            <v>36130</v>
          </cell>
        </row>
      </sheetData>
      <sheetData sheetId="716">
        <row r="4">
          <cell r="C4">
            <v>36130</v>
          </cell>
        </row>
      </sheetData>
      <sheetData sheetId="717">
        <row r="4">
          <cell r="C4">
            <v>36130</v>
          </cell>
        </row>
      </sheetData>
      <sheetData sheetId="718">
        <row r="4">
          <cell r="C4">
            <v>36130</v>
          </cell>
        </row>
      </sheetData>
      <sheetData sheetId="719">
        <row r="4">
          <cell r="C4">
            <v>36130</v>
          </cell>
        </row>
      </sheetData>
      <sheetData sheetId="720">
        <row r="4">
          <cell r="C4">
            <v>36130</v>
          </cell>
        </row>
      </sheetData>
      <sheetData sheetId="721">
        <row r="4">
          <cell r="C4">
            <v>36130</v>
          </cell>
        </row>
      </sheetData>
      <sheetData sheetId="722">
        <row r="4">
          <cell r="C4">
            <v>36130</v>
          </cell>
        </row>
      </sheetData>
      <sheetData sheetId="723">
        <row r="4">
          <cell r="C4">
            <v>36130</v>
          </cell>
        </row>
      </sheetData>
      <sheetData sheetId="724">
        <row r="4">
          <cell r="C4">
            <v>36130</v>
          </cell>
        </row>
      </sheetData>
      <sheetData sheetId="725">
        <row r="4">
          <cell r="C4">
            <v>36130</v>
          </cell>
        </row>
      </sheetData>
      <sheetData sheetId="726">
        <row r="4">
          <cell r="C4">
            <v>36130</v>
          </cell>
        </row>
      </sheetData>
      <sheetData sheetId="727">
        <row r="4">
          <cell r="C4">
            <v>36130</v>
          </cell>
        </row>
      </sheetData>
      <sheetData sheetId="728">
        <row r="4">
          <cell r="C4">
            <v>36130</v>
          </cell>
        </row>
      </sheetData>
      <sheetData sheetId="729">
        <row r="4">
          <cell r="C4">
            <v>36130</v>
          </cell>
        </row>
      </sheetData>
      <sheetData sheetId="730">
        <row r="4">
          <cell r="C4">
            <v>36130</v>
          </cell>
        </row>
      </sheetData>
      <sheetData sheetId="731">
        <row r="4">
          <cell r="C4">
            <v>36130</v>
          </cell>
        </row>
      </sheetData>
      <sheetData sheetId="732">
        <row r="4">
          <cell r="C4">
            <v>36130</v>
          </cell>
        </row>
      </sheetData>
      <sheetData sheetId="733">
        <row r="4">
          <cell r="C4">
            <v>36130</v>
          </cell>
        </row>
      </sheetData>
      <sheetData sheetId="734">
        <row r="4">
          <cell r="C4">
            <v>36130</v>
          </cell>
        </row>
      </sheetData>
      <sheetData sheetId="735">
        <row r="4">
          <cell r="C4">
            <v>36130</v>
          </cell>
        </row>
      </sheetData>
      <sheetData sheetId="736">
        <row r="4">
          <cell r="C4">
            <v>36130</v>
          </cell>
        </row>
      </sheetData>
      <sheetData sheetId="737">
        <row r="4">
          <cell r="C4">
            <v>36130</v>
          </cell>
        </row>
      </sheetData>
      <sheetData sheetId="738">
        <row r="4">
          <cell r="C4">
            <v>36130</v>
          </cell>
        </row>
      </sheetData>
      <sheetData sheetId="739">
        <row r="4">
          <cell r="C4">
            <v>36130</v>
          </cell>
        </row>
      </sheetData>
      <sheetData sheetId="740">
        <row r="4">
          <cell r="C4">
            <v>36130</v>
          </cell>
        </row>
      </sheetData>
      <sheetData sheetId="741">
        <row r="4">
          <cell r="C4">
            <v>36130</v>
          </cell>
        </row>
      </sheetData>
      <sheetData sheetId="742">
        <row r="4">
          <cell r="C4">
            <v>36130</v>
          </cell>
        </row>
      </sheetData>
      <sheetData sheetId="743">
        <row r="4">
          <cell r="C4">
            <v>36130</v>
          </cell>
        </row>
      </sheetData>
      <sheetData sheetId="744">
        <row r="4">
          <cell r="C4">
            <v>36130</v>
          </cell>
        </row>
      </sheetData>
      <sheetData sheetId="745">
        <row r="4">
          <cell r="C4">
            <v>36130</v>
          </cell>
        </row>
      </sheetData>
      <sheetData sheetId="746">
        <row r="4">
          <cell r="C4">
            <v>36130</v>
          </cell>
        </row>
      </sheetData>
      <sheetData sheetId="747">
        <row r="4">
          <cell r="C4">
            <v>36130</v>
          </cell>
        </row>
      </sheetData>
      <sheetData sheetId="748">
        <row r="4">
          <cell r="C4">
            <v>36130</v>
          </cell>
        </row>
      </sheetData>
      <sheetData sheetId="749">
        <row r="4">
          <cell r="C4">
            <v>36130</v>
          </cell>
        </row>
      </sheetData>
      <sheetData sheetId="750">
        <row r="4">
          <cell r="C4">
            <v>36130</v>
          </cell>
        </row>
      </sheetData>
      <sheetData sheetId="751">
        <row r="4">
          <cell r="C4">
            <v>36130</v>
          </cell>
        </row>
      </sheetData>
      <sheetData sheetId="752">
        <row r="4">
          <cell r="C4">
            <v>36130</v>
          </cell>
        </row>
      </sheetData>
      <sheetData sheetId="753">
        <row r="4">
          <cell r="C4">
            <v>36130</v>
          </cell>
        </row>
      </sheetData>
      <sheetData sheetId="754">
        <row r="4">
          <cell r="C4">
            <v>36130</v>
          </cell>
        </row>
      </sheetData>
      <sheetData sheetId="755">
        <row r="4">
          <cell r="C4">
            <v>36130</v>
          </cell>
        </row>
      </sheetData>
      <sheetData sheetId="756">
        <row r="4">
          <cell r="C4">
            <v>36130</v>
          </cell>
        </row>
      </sheetData>
      <sheetData sheetId="757">
        <row r="4">
          <cell r="C4">
            <v>36130</v>
          </cell>
        </row>
      </sheetData>
      <sheetData sheetId="758">
        <row r="4">
          <cell r="C4">
            <v>36130</v>
          </cell>
        </row>
      </sheetData>
      <sheetData sheetId="759">
        <row r="4">
          <cell r="C4">
            <v>36130</v>
          </cell>
        </row>
      </sheetData>
      <sheetData sheetId="760">
        <row r="4">
          <cell r="C4">
            <v>36130</v>
          </cell>
        </row>
      </sheetData>
      <sheetData sheetId="761">
        <row r="4">
          <cell r="C4">
            <v>36130</v>
          </cell>
        </row>
      </sheetData>
      <sheetData sheetId="762">
        <row r="4">
          <cell r="C4">
            <v>36130</v>
          </cell>
        </row>
      </sheetData>
      <sheetData sheetId="763">
        <row r="4">
          <cell r="C4">
            <v>36130</v>
          </cell>
        </row>
      </sheetData>
      <sheetData sheetId="764">
        <row r="4">
          <cell r="C4">
            <v>36130</v>
          </cell>
        </row>
      </sheetData>
      <sheetData sheetId="765">
        <row r="4">
          <cell r="C4">
            <v>36130</v>
          </cell>
        </row>
      </sheetData>
      <sheetData sheetId="766">
        <row r="4">
          <cell r="C4">
            <v>36130</v>
          </cell>
        </row>
      </sheetData>
      <sheetData sheetId="767">
        <row r="4">
          <cell r="C4">
            <v>36130</v>
          </cell>
        </row>
      </sheetData>
      <sheetData sheetId="768">
        <row r="4">
          <cell r="C4">
            <v>36130</v>
          </cell>
        </row>
      </sheetData>
      <sheetData sheetId="769">
        <row r="4">
          <cell r="C4">
            <v>36130</v>
          </cell>
        </row>
      </sheetData>
      <sheetData sheetId="770">
        <row r="4">
          <cell r="C4">
            <v>36130</v>
          </cell>
        </row>
      </sheetData>
      <sheetData sheetId="771">
        <row r="4">
          <cell r="C4">
            <v>36130</v>
          </cell>
        </row>
      </sheetData>
      <sheetData sheetId="772">
        <row r="4">
          <cell r="C4">
            <v>36130</v>
          </cell>
        </row>
      </sheetData>
      <sheetData sheetId="773">
        <row r="4">
          <cell r="C4">
            <v>36130</v>
          </cell>
        </row>
      </sheetData>
      <sheetData sheetId="774">
        <row r="4">
          <cell r="C4">
            <v>36130</v>
          </cell>
        </row>
      </sheetData>
      <sheetData sheetId="775">
        <row r="4">
          <cell r="C4">
            <v>36130</v>
          </cell>
        </row>
      </sheetData>
      <sheetData sheetId="776">
        <row r="4">
          <cell r="C4">
            <v>36130</v>
          </cell>
        </row>
      </sheetData>
      <sheetData sheetId="777">
        <row r="4">
          <cell r="C4">
            <v>36130</v>
          </cell>
        </row>
      </sheetData>
      <sheetData sheetId="778">
        <row r="4">
          <cell r="C4">
            <v>36130</v>
          </cell>
        </row>
      </sheetData>
      <sheetData sheetId="779">
        <row r="4">
          <cell r="C4">
            <v>36130</v>
          </cell>
        </row>
      </sheetData>
      <sheetData sheetId="780">
        <row r="4">
          <cell r="C4">
            <v>36130</v>
          </cell>
        </row>
      </sheetData>
      <sheetData sheetId="781">
        <row r="4">
          <cell r="C4">
            <v>36130</v>
          </cell>
        </row>
      </sheetData>
      <sheetData sheetId="782">
        <row r="4">
          <cell r="C4">
            <v>36130</v>
          </cell>
        </row>
      </sheetData>
      <sheetData sheetId="783">
        <row r="4">
          <cell r="C4">
            <v>36130</v>
          </cell>
        </row>
      </sheetData>
      <sheetData sheetId="784">
        <row r="4">
          <cell r="C4">
            <v>36130</v>
          </cell>
        </row>
      </sheetData>
      <sheetData sheetId="785">
        <row r="4">
          <cell r="C4">
            <v>36130</v>
          </cell>
        </row>
      </sheetData>
      <sheetData sheetId="786">
        <row r="4">
          <cell r="C4">
            <v>36130</v>
          </cell>
        </row>
      </sheetData>
      <sheetData sheetId="787">
        <row r="4">
          <cell r="C4">
            <v>36130</v>
          </cell>
        </row>
      </sheetData>
      <sheetData sheetId="788">
        <row r="4">
          <cell r="C4">
            <v>36130</v>
          </cell>
        </row>
      </sheetData>
      <sheetData sheetId="789">
        <row r="4">
          <cell r="C4">
            <v>36130</v>
          </cell>
        </row>
      </sheetData>
      <sheetData sheetId="790">
        <row r="4">
          <cell r="C4">
            <v>36130</v>
          </cell>
        </row>
      </sheetData>
      <sheetData sheetId="791">
        <row r="4">
          <cell r="C4">
            <v>36130</v>
          </cell>
        </row>
      </sheetData>
      <sheetData sheetId="792">
        <row r="4">
          <cell r="C4">
            <v>36130</v>
          </cell>
        </row>
      </sheetData>
      <sheetData sheetId="793">
        <row r="4">
          <cell r="C4">
            <v>36130</v>
          </cell>
        </row>
      </sheetData>
      <sheetData sheetId="794">
        <row r="4">
          <cell r="C4">
            <v>36130</v>
          </cell>
        </row>
      </sheetData>
      <sheetData sheetId="795">
        <row r="4">
          <cell r="C4">
            <v>36130</v>
          </cell>
        </row>
      </sheetData>
      <sheetData sheetId="796">
        <row r="4">
          <cell r="C4">
            <v>36130</v>
          </cell>
        </row>
      </sheetData>
      <sheetData sheetId="797">
        <row r="4">
          <cell r="C4">
            <v>36130</v>
          </cell>
        </row>
      </sheetData>
      <sheetData sheetId="798">
        <row r="4">
          <cell r="C4">
            <v>36130</v>
          </cell>
        </row>
      </sheetData>
      <sheetData sheetId="799">
        <row r="4">
          <cell r="C4">
            <v>36130</v>
          </cell>
        </row>
      </sheetData>
      <sheetData sheetId="800">
        <row r="4">
          <cell r="C4">
            <v>36130</v>
          </cell>
        </row>
      </sheetData>
      <sheetData sheetId="801">
        <row r="4">
          <cell r="C4">
            <v>36130</v>
          </cell>
        </row>
      </sheetData>
      <sheetData sheetId="802">
        <row r="4">
          <cell r="C4">
            <v>36130</v>
          </cell>
        </row>
      </sheetData>
      <sheetData sheetId="803">
        <row r="4">
          <cell r="C4">
            <v>36130</v>
          </cell>
        </row>
      </sheetData>
      <sheetData sheetId="804">
        <row r="4">
          <cell r="C4">
            <v>36130</v>
          </cell>
        </row>
      </sheetData>
      <sheetData sheetId="805">
        <row r="4">
          <cell r="C4">
            <v>36130</v>
          </cell>
        </row>
      </sheetData>
      <sheetData sheetId="806">
        <row r="4">
          <cell r="C4">
            <v>36130</v>
          </cell>
        </row>
      </sheetData>
      <sheetData sheetId="807">
        <row r="4">
          <cell r="C4">
            <v>36130</v>
          </cell>
        </row>
      </sheetData>
      <sheetData sheetId="808">
        <row r="4">
          <cell r="C4">
            <v>36130</v>
          </cell>
        </row>
      </sheetData>
      <sheetData sheetId="809">
        <row r="4">
          <cell r="C4">
            <v>36130</v>
          </cell>
        </row>
      </sheetData>
      <sheetData sheetId="810">
        <row r="4">
          <cell r="C4">
            <v>36130</v>
          </cell>
        </row>
      </sheetData>
      <sheetData sheetId="811">
        <row r="4">
          <cell r="C4">
            <v>36130</v>
          </cell>
        </row>
      </sheetData>
      <sheetData sheetId="812">
        <row r="4">
          <cell r="C4">
            <v>36130</v>
          </cell>
        </row>
      </sheetData>
      <sheetData sheetId="813">
        <row r="4">
          <cell r="C4">
            <v>36130</v>
          </cell>
        </row>
      </sheetData>
      <sheetData sheetId="814">
        <row r="4">
          <cell r="C4">
            <v>36130</v>
          </cell>
        </row>
      </sheetData>
      <sheetData sheetId="815">
        <row r="4">
          <cell r="C4">
            <v>36130</v>
          </cell>
        </row>
      </sheetData>
      <sheetData sheetId="816">
        <row r="4">
          <cell r="C4">
            <v>36130</v>
          </cell>
        </row>
      </sheetData>
      <sheetData sheetId="817">
        <row r="4">
          <cell r="C4">
            <v>36130</v>
          </cell>
        </row>
      </sheetData>
      <sheetData sheetId="818">
        <row r="4">
          <cell r="C4">
            <v>36130</v>
          </cell>
        </row>
      </sheetData>
      <sheetData sheetId="819">
        <row r="4">
          <cell r="C4">
            <v>36130</v>
          </cell>
        </row>
      </sheetData>
      <sheetData sheetId="820">
        <row r="4">
          <cell r="C4">
            <v>36130</v>
          </cell>
        </row>
      </sheetData>
      <sheetData sheetId="821">
        <row r="4">
          <cell r="C4">
            <v>36130</v>
          </cell>
        </row>
      </sheetData>
      <sheetData sheetId="822">
        <row r="4">
          <cell r="C4">
            <v>36130</v>
          </cell>
        </row>
      </sheetData>
      <sheetData sheetId="823">
        <row r="4">
          <cell r="C4">
            <v>36130</v>
          </cell>
        </row>
      </sheetData>
      <sheetData sheetId="824">
        <row r="4">
          <cell r="C4">
            <v>36130</v>
          </cell>
        </row>
      </sheetData>
      <sheetData sheetId="825">
        <row r="4">
          <cell r="C4">
            <v>36130</v>
          </cell>
        </row>
      </sheetData>
      <sheetData sheetId="826">
        <row r="4">
          <cell r="C4">
            <v>36130</v>
          </cell>
        </row>
      </sheetData>
      <sheetData sheetId="827">
        <row r="4">
          <cell r="C4">
            <v>36130</v>
          </cell>
        </row>
      </sheetData>
      <sheetData sheetId="828">
        <row r="4">
          <cell r="C4">
            <v>36130</v>
          </cell>
        </row>
      </sheetData>
      <sheetData sheetId="829">
        <row r="4">
          <cell r="C4">
            <v>36130</v>
          </cell>
        </row>
      </sheetData>
      <sheetData sheetId="830">
        <row r="4">
          <cell r="C4">
            <v>36130</v>
          </cell>
        </row>
      </sheetData>
      <sheetData sheetId="831">
        <row r="4">
          <cell r="C4">
            <v>36130</v>
          </cell>
        </row>
      </sheetData>
      <sheetData sheetId="832">
        <row r="4">
          <cell r="C4">
            <v>36130</v>
          </cell>
        </row>
      </sheetData>
      <sheetData sheetId="833">
        <row r="4">
          <cell r="C4">
            <v>36130</v>
          </cell>
        </row>
      </sheetData>
      <sheetData sheetId="834">
        <row r="4">
          <cell r="C4">
            <v>36130</v>
          </cell>
        </row>
      </sheetData>
      <sheetData sheetId="835">
        <row r="4">
          <cell r="C4">
            <v>36130</v>
          </cell>
        </row>
      </sheetData>
      <sheetData sheetId="836">
        <row r="4">
          <cell r="C4">
            <v>36130</v>
          </cell>
        </row>
      </sheetData>
      <sheetData sheetId="837">
        <row r="4">
          <cell r="C4">
            <v>36130</v>
          </cell>
        </row>
      </sheetData>
      <sheetData sheetId="838">
        <row r="4">
          <cell r="C4">
            <v>36130</v>
          </cell>
        </row>
      </sheetData>
      <sheetData sheetId="839">
        <row r="4">
          <cell r="C4">
            <v>36130</v>
          </cell>
        </row>
      </sheetData>
      <sheetData sheetId="840">
        <row r="4">
          <cell r="C4">
            <v>36130</v>
          </cell>
        </row>
      </sheetData>
      <sheetData sheetId="841">
        <row r="4">
          <cell r="C4">
            <v>36130</v>
          </cell>
        </row>
      </sheetData>
      <sheetData sheetId="842">
        <row r="4">
          <cell r="C4">
            <v>36130</v>
          </cell>
        </row>
      </sheetData>
      <sheetData sheetId="843">
        <row r="4">
          <cell r="C4">
            <v>36130</v>
          </cell>
        </row>
      </sheetData>
      <sheetData sheetId="844">
        <row r="4">
          <cell r="C4">
            <v>36130</v>
          </cell>
        </row>
      </sheetData>
      <sheetData sheetId="845">
        <row r="4">
          <cell r="C4">
            <v>36130</v>
          </cell>
        </row>
      </sheetData>
      <sheetData sheetId="846">
        <row r="4">
          <cell r="C4">
            <v>36130</v>
          </cell>
        </row>
      </sheetData>
      <sheetData sheetId="847">
        <row r="4">
          <cell r="C4">
            <v>36130</v>
          </cell>
        </row>
      </sheetData>
      <sheetData sheetId="848">
        <row r="4">
          <cell r="C4">
            <v>36130</v>
          </cell>
        </row>
      </sheetData>
      <sheetData sheetId="849">
        <row r="4">
          <cell r="C4">
            <v>36130</v>
          </cell>
        </row>
      </sheetData>
      <sheetData sheetId="850">
        <row r="4">
          <cell r="C4">
            <v>36130</v>
          </cell>
        </row>
      </sheetData>
      <sheetData sheetId="851">
        <row r="4">
          <cell r="C4">
            <v>36130</v>
          </cell>
        </row>
      </sheetData>
      <sheetData sheetId="852">
        <row r="4">
          <cell r="C4">
            <v>36130</v>
          </cell>
        </row>
      </sheetData>
      <sheetData sheetId="853">
        <row r="4">
          <cell r="C4">
            <v>36130</v>
          </cell>
        </row>
      </sheetData>
      <sheetData sheetId="854">
        <row r="4">
          <cell r="C4">
            <v>36130</v>
          </cell>
        </row>
      </sheetData>
      <sheetData sheetId="855">
        <row r="4">
          <cell r="C4">
            <v>36130</v>
          </cell>
        </row>
      </sheetData>
      <sheetData sheetId="856">
        <row r="4">
          <cell r="C4">
            <v>36130</v>
          </cell>
        </row>
      </sheetData>
      <sheetData sheetId="857">
        <row r="4">
          <cell r="C4">
            <v>36130</v>
          </cell>
        </row>
      </sheetData>
      <sheetData sheetId="858">
        <row r="4">
          <cell r="C4">
            <v>36130</v>
          </cell>
        </row>
      </sheetData>
      <sheetData sheetId="859">
        <row r="4">
          <cell r="C4">
            <v>36130</v>
          </cell>
        </row>
      </sheetData>
      <sheetData sheetId="860">
        <row r="4">
          <cell r="C4">
            <v>36130</v>
          </cell>
        </row>
      </sheetData>
      <sheetData sheetId="861">
        <row r="4">
          <cell r="C4">
            <v>36130</v>
          </cell>
        </row>
      </sheetData>
      <sheetData sheetId="862">
        <row r="4">
          <cell r="C4">
            <v>36130</v>
          </cell>
        </row>
      </sheetData>
      <sheetData sheetId="863">
        <row r="4">
          <cell r="C4">
            <v>36130</v>
          </cell>
        </row>
      </sheetData>
      <sheetData sheetId="864">
        <row r="4">
          <cell r="C4">
            <v>36130</v>
          </cell>
        </row>
      </sheetData>
      <sheetData sheetId="865">
        <row r="4">
          <cell r="C4">
            <v>36130</v>
          </cell>
        </row>
      </sheetData>
      <sheetData sheetId="866">
        <row r="4">
          <cell r="C4">
            <v>36130</v>
          </cell>
        </row>
      </sheetData>
      <sheetData sheetId="867">
        <row r="4">
          <cell r="C4">
            <v>36130</v>
          </cell>
        </row>
      </sheetData>
      <sheetData sheetId="868">
        <row r="4">
          <cell r="C4">
            <v>36130</v>
          </cell>
        </row>
      </sheetData>
      <sheetData sheetId="869">
        <row r="4">
          <cell r="C4">
            <v>36130</v>
          </cell>
        </row>
      </sheetData>
      <sheetData sheetId="870">
        <row r="4">
          <cell r="C4">
            <v>36130</v>
          </cell>
        </row>
      </sheetData>
      <sheetData sheetId="871">
        <row r="4">
          <cell r="C4">
            <v>36130</v>
          </cell>
        </row>
      </sheetData>
      <sheetData sheetId="872">
        <row r="4">
          <cell r="C4">
            <v>36130</v>
          </cell>
        </row>
      </sheetData>
      <sheetData sheetId="873">
        <row r="4">
          <cell r="C4">
            <v>36130</v>
          </cell>
        </row>
      </sheetData>
      <sheetData sheetId="874">
        <row r="4">
          <cell r="C4">
            <v>36130</v>
          </cell>
        </row>
      </sheetData>
      <sheetData sheetId="875">
        <row r="4">
          <cell r="C4">
            <v>36130</v>
          </cell>
        </row>
      </sheetData>
      <sheetData sheetId="876">
        <row r="4">
          <cell r="C4">
            <v>36130</v>
          </cell>
        </row>
      </sheetData>
      <sheetData sheetId="877">
        <row r="4">
          <cell r="C4">
            <v>36130</v>
          </cell>
        </row>
      </sheetData>
      <sheetData sheetId="878">
        <row r="4">
          <cell r="C4">
            <v>36130</v>
          </cell>
        </row>
      </sheetData>
      <sheetData sheetId="879">
        <row r="4">
          <cell r="C4">
            <v>36130</v>
          </cell>
        </row>
      </sheetData>
      <sheetData sheetId="880">
        <row r="4">
          <cell r="C4">
            <v>36130</v>
          </cell>
        </row>
      </sheetData>
      <sheetData sheetId="881">
        <row r="4">
          <cell r="C4">
            <v>36130</v>
          </cell>
        </row>
      </sheetData>
      <sheetData sheetId="882">
        <row r="4">
          <cell r="C4">
            <v>36130</v>
          </cell>
        </row>
      </sheetData>
      <sheetData sheetId="883">
        <row r="4">
          <cell r="C4">
            <v>36130</v>
          </cell>
        </row>
      </sheetData>
      <sheetData sheetId="884">
        <row r="4">
          <cell r="C4">
            <v>36130</v>
          </cell>
        </row>
      </sheetData>
      <sheetData sheetId="885">
        <row r="4">
          <cell r="C4">
            <v>36130</v>
          </cell>
        </row>
      </sheetData>
      <sheetData sheetId="886">
        <row r="4">
          <cell r="C4">
            <v>36130</v>
          </cell>
        </row>
      </sheetData>
      <sheetData sheetId="887">
        <row r="4">
          <cell r="C4">
            <v>36130</v>
          </cell>
        </row>
      </sheetData>
      <sheetData sheetId="888">
        <row r="4">
          <cell r="C4">
            <v>36130</v>
          </cell>
        </row>
      </sheetData>
      <sheetData sheetId="889">
        <row r="4">
          <cell r="C4">
            <v>36130</v>
          </cell>
        </row>
      </sheetData>
      <sheetData sheetId="890">
        <row r="4">
          <cell r="C4">
            <v>36130</v>
          </cell>
        </row>
      </sheetData>
      <sheetData sheetId="891">
        <row r="4">
          <cell r="C4">
            <v>36130</v>
          </cell>
        </row>
      </sheetData>
      <sheetData sheetId="892">
        <row r="4">
          <cell r="C4">
            <v>36130</v>
          </cell>
        </row>
      </sheetData>
      <sheetData sheetId="893">
        <row r="4">
          <cell r="C4">
            <v>36130</v>
          </cell>
        </row>
      </sheetData>
      <sheetData sheetId="894">
        <row r="4">
          <cell r="C4">
            <v>36130</v>
          </cell>
        </row>
      </sheetData>
      <sheetData sheetId="895">
        <row r="4">
          <cell r="C4">
            <v>36130</v>
          </cell>
        </row>
      </sheetData>
      <sheetData sheetId="896">
        <row r="4">
          <cell r="C4">
            <v>36130</v>
          </cell>
        </row>
      </sheetData>
      <sheetData sheetId="897">
        <row r="4">
          <cell r="C4">
            <v>36130</v>
          </cell>
        </row>
      </sheetData>
      <sheetData sheetId="898">
        <row r="4">
          <cell r="C4">
            <v>36130</v>
          </cell>
        </row>
      </sheetData>
      <sheetData sheetId="899">
        <row r="4">
          <cell r="C4">
            <v>36130</v>
          </cell>
        </row>
      </sheetData>
      <sheetData sheetId="900">
        <row r="4">
          <cell r="C4">
            <v>36130</v>
          </cell>
        </row>
      </sheetData>
      <sheetData sheetId="901">
        <row r="4">
          <cell r="C4">
            <v>36130</v>
          </cell>
        </row>
      </sheetData>
      <sheetData sheetId="902">
        <row r="4">
          <cell r="C4">
            <v>36130</v>
          </cell>
        </row>
      </sheetData>
      <sheetData sheetId="903">
        <row r="4">
          <cell r="C4">
            <v>36130</v>
          </cell>
        </row>
      </sheetData>
      <sheetData sheetId="904">
        <row r="4">
          <cell r="C4">
            <v>36130</v>
          </cell>
        </row>
      </sheetData>
      <sheetData sheetId="905">
        <row r="4">
          <cell r="C4">
            <v>36130</v>
          </cell>
        </row>
      </sheetData>
      <sheetData sheetId="906">
        <row r="4">
          <cell r="C4">
            <v>36130</v>
          </cell>
        </row>
      </sheetData>
      <sheetData sheetId="907">
        <row r="4">
          <cell r="C4">
            <v>36130</v>
          </cell>
        </row>
      </sheetData>
      <sheetData sheetId="908">
        <row r="4">
          <cell r="C4">
            <v>36130</v>
          </cell>
        </row>
      </sheetData>
      <sheetData sheetId="909">
        <row r="4">
          <cell r="C4">
            <v>36130</v>
          </cell>
        </row>
      </sheetData>
      <sheetData sheetId="910">
        <row r="4">
          <cell r="C4">
            <v>36130</v>
          </cell>
        </row>
      </sheetData>
      <sheetData sheetId="911">
        <row r="4">
          <cell r="C4">
            <v>36130</v>
          </cell>
        </row>
      </sheetData>
      <sheetData sheetId="912">
        <row r="4">
          <cell r="C4">
            <v>36130</v>
          </cell>
        </row>
      </sheetData>
      <sheetData sheetId="913">
        <row r="4">
          <cell r="C4">
            <v>36130</v>
          </cell>
        </row>
      </sheetData>
      <sheetData sheetId="914">
        <row r="4">
          <cell r="C4">
            <v>36130</v>
          </cell>
        </row>
      </sheetData>
      <sheetData sheetId="915">
        <row r="4">
          <cell r="C4">
            <v>36130</v>
          </cell>
        </row>
      </sheetData>
      <sheetData sheetId="916">
        <row r="4">
          <cell r="C4">
            <v>36130</v>
          </cell>
        </row>
      </sheetData>
      <sheetData sheetId="917">
        <row r="4">
          <cell r="C4">
            <v>36130</v>
          </cell>
        </row>
      </sheetData>
      <sheetData sheetId="918">
        <row r="4">
          <cell r="C4">
            <v>36130</v>
          </cell>
        </row>
      </sheetData>
      <sheetData sheetId="919">
        <row r="4">
          <cell r="C4">
            <v>36130</v>
          </cell>
        </row>
      </sheetData>
      <sheetData sheetId="920">
        <row r="4">
          <cell r="C4">
            <v>36130</v>
          </cell>
        </row>
      </sheetData>
      <sheetData sheetId="921">
        <row r="4">
          <cell r="C4">
            <v>36130</v>
          </cell>
        </row>
      </sheetData>
      <sheetData sheetId="922">
        <row r="4">
          <cell r="C4">
            <v>36130</v>
          </cell>
        </row>
      </sheetData>
      <sheetData sheetId="923">
        <row r="4">
          <cell r="C4">
            <v>36130</v>
          </cell>
        </row>
      </sheetData>
      <sheetData sheetId="924">
        <row r="4">
          <cell r="C4">
            <v>36130</v>
          </cell>
        </row>
      </sheetData>
      <sheetData sheetId="925">
        <row r="4">
          <cell r="C4">
            <v>36130</v>
          </cell>
        </row>
      </sheetData>
      <sheetData sheetId="926">
        <row r="4">
          <cell r="C4">
            <v>36130</v>
          </cell>
        </row>
      </sheetData>
      <sheetData sheetId="927">
        <row r="4">
          <cell r="C4">
            <v>36130</v>
          </cell>
        </row>
      </sheetData>
      <sheetData sheetId="928">
        <row r="4">
          <cell r="C4">
            <v>36130</v>
          </cell>
        </row>
      </sheetData>
      <sheetData sheetId="929">
        <row r="4">
          <cell r="C4">
            <v>36130</v>
          </cell>
        </row>
      </sheetData>
      <sheetData sheetId="930">
        <row r="4">
          <cell r="C4">
            <v>36130</v>
          </cell>
        </row>
      </sheetData>
      <sheetData sheetId="931">
        <row r="4">
          <cell r="C4">
            <v>36130</v>
          </cell>
        </row>
      </sheetData>
      <sheetData sheetId="932">
        <row r="4">
          <cell r="C4">
            <v>36130</v>
          </cell>
        </row>
      </sheetData>
      <sheetData sheetId="933">
        <row r="4">
          <cell r="C4">
            <v>36130</v>
          </cell>
        </row>
      </sheetData>
      <sheetData sheetId="934" refreshError="1"/>
      <sheetData sheetId="935">
        <row r="4">
          <cell r="C4">
            <v>36130</v>
          </cell>
        </row>
      </sheetData>
      <sheetData sheetId="936">
        <row r="4">
          <cell r="C4">
            <v>36130</v>
          </cell>
        </row>
      </sheetData>
      <sheetData sheetId="937">
        <row r="4">
          <cell r="C4">
            <v>36130</v>
          </cell>
        </row>
      </sheetData>
      <sheetData sheetId="938">
        <row r="4">
          <cell r="C4">
            <v>36130</v>
          </cell>
        </row>
      </sheetData>
      <sheetData sheetId="939">
        <row r="4">
          <cell r="C4">
            <v>36130</v>
          </cell>
        </row>
      </sheetData>
      <sheetData sheetId="940">
        <row r="4">
          <cell r="C4">
            <v>36130</v>
          </cell>
        </row>
      </sheetData>
      <sheetData sheetId="941">
        <row r="4">
          <cell r="C4">
            <v>36130</v>
          </cell>
        </row>
      </sheetData>
      <sheetData sheetId="942">
        <row r="4">
          <cell r="C4">
            <v>36130</v>
          </cell>
        </row>
      </sheetData>
      <sheetData sheetId="943">
        <row r="4">
          <cell r="C4">
            <v>36130</v>
          </cell>
        </row>
      </sheetData>
      <sheetData sheetId="944">
        <row r="4">
          <cell r="C4">
            <v>36130</v>
          </cell>
        </row>
      </sheetData>
      <sheetData sheetId="945">
        <row r="4">
          <cell r="C4">
            <v>36130</v>
          </cell>
        </row>
      </sheetData>
      <sheetData sheetId="946">
        <row r="4">
          <cell r="C4">
            <v>36130</v>
          </cell>
        </row>
      </sheetData>
      <sheetData sheetId="947">
        <row r="4">
          <cell r="C4">
            <v>36130</v>
          </cell>
        </row>
      </sheetData>
      <sheetData sheetId="948">
        <row r="4">
          <cell r="C4">
            <v>36130</v>
          </cell>
        </row>
      </sheetData>
      <sheetData sheetId="949">
        <row r="4">
          <cell r="C4">
            <v>36130</v>
          </cell>
        </row>
      </sheetData>
      <sheetData sheetId="950">
        <row r="4">
          <cell r="C4">
            <v>36130</v>
          </cell>
        </row>
      </sheetData>
      <sheetData sheetId="951">
        <row r="4">
          <cell r="C4">
            <v>36130</v>
          </cell>
        </row>
      </sheetData>
      <sheetData sheetId="952">
        <row r="4">
          <cell r="C4">
            <v>36130</v>
          </cell>
        </row>
      </sheetData>
      <sheetData sheetId="953">
        <row r="4">
          <cell r="C4">
            <v>36130</v>
          </cell>
        </row>
      </sheetData>
      <sheetData sheetId="954">
        <row r="4">
          <cell r="C4">
            <v>36130</v>
          </cell>
        </row>
      </sheetData>
      <sheetData sheetId="955">
        <row r="4">
          <cell r="C4">
            <v>36130</v>
          </cell>
        </row>
      </sheetData>
      <sheetData sheetId="956">
        <row r="4">
          <cell r="C4">
            <v>36130</v>
          </cell>
        </row>
      </sheetData>
      <sheetData sheetId="957">
        <row r="4">
          <cell r="C4">
            <v>36130</v>
          </cell>
        </row>
      </sheetData>
      <sheetData sheetId="958">
        <row r="4">
          <cell r="C4">
            <v>36130</v>
          </cell>
        </row>
      </sheetData>
      <sheetData sheetId="959">
        <row r="4">
          <cell r="C4">
            <v>36130</v>
          </cell>
        </row>
      </sheetData>
      <sheetData sheetId="960">
        <row r="4">
          <cell r="C4">
            <v>36130</v>
          </cell>
        </row>
      </sheetData>
      <sheetData sheetId="961">
        <row r="4">
          <cell r="C4">
            <v>36130</v>
          </cell>
        </row>
      </sheetData>
      <sheetData sheetId="962">
        <row r="4">
          <cell r="C4">
            <v>36130</v>
          </cell>
        </row>
      </sheetData>
      <sheetData sheetId="963">
        <row r="4">
          <cell r="C4">
            <v>36130</v>
          </cell>
        </row>
      </sheetData>
      <sheetData sheetId="964">
        <row r="4">
          <cell r="C4">
            <v>36130</v>
          </cell>
        </row>
      </sheetData>
      <sheetData sheetId="965">
        <row r="4">
          <cell r="C4">
            <v>36130</v>
          </cell>
        </row>
      </sheetData>
      <sheetData sheetId="966">
        <row r="4">
          <cell r="C4">
            <v>36130</v>
          </cell>
        </row>
      </sheetData>
      <sheetData sheetId="967">
        <row r="4">
          <cell r="C4">
            <v>36130</v>
          </cell>
        </row>
      </sheetData>
      <sheetData sheetId="968">
        <row r="4">
          <cell r="C4">
            <v>36130</v>
          </cell>
        </row>
      </sheetData>
      <sheetData sheetId="969">
        <row r="4">
          <cell r="C4">
            <v>36130</v>
          </cell>
        </row>
      </sheetData>
      <sheetData sheetId="970">
        <row r="4">
          <cell r="C4">
            <v>36130</v>
          </cell>
        </row>
      </sheetData>
      <sheetData sheetId="971">
        <row r="4">
          <cell r="C4">
            <v>36130</v>
          </cell>
        </row>
      </sheetData>
      <sheetData sheetId="972">
        <row r="4">
          <cell r="C4">
            <v>36130</v>
          </cell>
        </row>
      </sheetData>
      <sheetData sheetId="973">
        <row r="4">
          <cell r="C4">
            <v>36130</v>
          </cell>
        </row>
      </sheetData>
      <sheetData sheetId="974">
        <row r="4">
          <cell r="C4">
            <v>36130</v>
          </cell>
        </row>
      </sheetData>
      <sheetData sheetId="975">
        <row r="4">
          <cell r="C4">
            <v>36130</v>
          </cell>
        </row>
      </sheetData>
      <sheetData sheetId="976">
        <row r="4">
          <cell r="C4">
            <v>36130</v>
          </cell>
        </row>
      </sheetData>
      <sheetData sheetId="977">
        <row r="4">
          <cell r="C4">
            <v>36130</v>
          </cell>
        </row>
      </sheetData>
      <sheetData sheetId="978">
        <row r="4">
          <cell r="C4">
            <v>36130</v>
          </cell>
        </row>
      </sheetData>
      <sheetData sheetId="979">
        <row r="4">
          <cell r="C4">
            <v>36130</v>
          </cell>
        </row>
      </sheetData>
      <sheetData sheetId="980">
        <row r="4">
          <cell r="C4">
            <v>36130</v>
          </cell>
        </row>
      </sheetData>
      <sheetData sheetId="981">
        <row r="4">
          <cell r="C4">
            <v>36130</v>
          </cell>
        </row>
      </sheetData>
      <sheetData sheetId="982">
        <row r="4">
          <cell r="C4">
            <v>36130</v>
          </cell>
        </row>
      </sheetData>
      <sheetData sheetId="983">
        <row r="4">
          <cell r="C4">
            <v>36130</v>
          </cell>
        </row>
      </sheetData>
      <sheetData sheetId="984">
        <row r="4">
          <cell r="C4">
            <v>36130</v>
          </cell>
        </row>
      </sheetData>
      <sheetData sheetId="985">
        <row r="4">
          <cell r="C4">
            <v>36130</v>
          </cell>
        </row>
      </sheetData>
      <sheetData sheetId="986">
        <row r="4">
          <cell r="C4">
            <v>36130</v>
          </cell>
        </row>
      </sheetData>
      <sheetData sheetId="987">
        <row r="4">
          <cell r="C4">
            <v>36130</v>
          </cell>
        </row>
      </sheetData>
      <sheetData sheetId="988">
        <row r="4">
          <cell r="C4">
            <v>36130</v>
          </cell>
        </row>
      </sheetData>
      <sheetData sheetId="989">
        <row r="4">
          <cell r="C4">
            <v>36130</v>
          </cell>
        </row>
      </sheetData>
      <sheetData sheetId="990">
        <row r="4">
          <cell r="C4">
            <v>36130</v>
          </cell>
        </row>
      </sheetData>
      <sheetData sheetId="991">
        <row r="4">
          <cell r="C4">
            <v>36130</v>
          </cell>
        </row>
      </sheetData>
      <sheetData sheetId="992">
        <row r="4">
          <cell r="C4">
            <v>36130</v>
          </cell>
        </row>
      </sheetData>
      <sheetData sheetId="993">
        <row r="4">
          <cell r="C4">
            <v>36130</v>
          </cell>
        </row>
      </sheetData>
      <sheetData sheetId="994">
        <row r="4">
          <cell r="C4">
            <v>36130</v>
          </cell>
        </row>
      </sheetData>
      <sheetData sheetId="995">
        <row r="4">
          <cell r="C4">
            <v>36130</v>
          </cell>
        </row>
      </sheetData>
      <sheetData sheetId="996">
        <row r="4">
          <cell r="C4">
            <v>36130</v>
          </cell>
        </row>
      </sheetData>
      <sheetData sheetId="997">
        <row r="4">
          <cell r="C4">
            <v>36130</v>
          </cell>
        </row>
      </sheetData>
      <sheetData sheetId="998">
        <row r="4">
          <cell r="C4">
            <v>36130</v>
          </cell>
        </row>
      </sheetData>
      <sheetData sheetId="999">
        <row r="4">
          <cell r="C4">
            <v>36130</v>
          </cell>
        </row>
      </sheetData>
      <sheetData sheetId="1000">
        <row r="4">
          <cell r="C4">
            <v>36130</v>
          </cell>
        </row>
      </sheetData>
      <sheetData sheetId="1001">
        <row r="4">
          <cell r="C4">
            <v>36130</v>
          </cell>
        </row>
      </sheetData>
      <sheetData sheetId="1002">
        <row r="4">
          <cell r="C4">
            <v>36130</v>
          </cell>
        </row>
      </sheetData>
      <sheetData sheetId="1003">
        <row r="4">
          <cell r="C4">
            <v>36130</v>
          </cell>
        </row>
      </sheetData>
      <sheetData sheetId="1004">
        <row r="4">
          <cell r="C4">
            <v>36130</v>
          </cell>
        </row>
      </sheetData>
      <sheetData sheetId="1005">
        <row r="4">
          <cell r="C4">
            <v>36130</v>
          </cell>
        </row>
      </sheetData>
      <sheetData sheetId="1006">
        <row r="4">
          <cell r="C4">
            <v>36130</v>
          </cell>
        </row>
      </sheetData>
      <sheetData sheetId="1007">
        <row r="4">
          <cell r="C4">
            <v>36130</v>
          </cell>
        </row>
      </sheetData>
      <sheetData sheetId="1008">
        <row r="4">
          <cell r="C4">
            <v>36130</v>
          </cell>
        </row>
      </sheetData>
      <sheetData sheetId="1009">
        <row r="4">
          <cell r="C4">
            <v>36130</v>
          </cell>
        </row>
      </sheetData>
      <sheetData sheetId="1010">
        <row r="4">
          <cell r="C4">
            <v>36130</v>
          </cell>
        </row>
      </sheetData>
      <sheetData sheetId="1011">
        <row r="4">
          <cell r="C4">
            <v>36130</v>
          </cell>
        </row>
      </sheetData>
      <sheetData sheetId="1012">
        <row r="4">
          <cell r="C4">
            <v>36130</v>
          </cell>
        </row>
      </sheetData>
      <sheetData sheetId="1013">
        <row r="4">
          <cell r="C4">
            <v>36130</v>
          </cell>
        </row>
      </sheetData>
      <sheetData sheetId="1014">
        <row r="4">
          <cell r="C4">
            <v>36130</v>
          </cell>
        </row>
      </sheetData>
      <sheetData sheetId="1015">
        <row r="4">
          <cell r="C4">
            <v>36130</v>
          </cell>
        </row>
      </sheetData>
      <sheetData sheetId="1016">
        <row r="4">
          <cell r="C4">
            <v>36130</v>
          </cell>
        </row>
      </sheetData>
      <sheetData sheetId="1017">
        <row r="4">
          <cell r="C4">
            <v>36130</v>
          </cell>
        </row>
      </sheetData>
      <sheetData sheetId="1018">
        <row r="4">
          <cell r="C4">
            <v>36130</v>
          </cell>
        </row>
      </sheetData>
      <sheetData sheetId="1019">
        <row r="4">
          <cell r="C4">
            <v>36130</v>
          </cell>
        </row>
      </sheetData>
      <sheetData sheetId="1020">
        <row r="4">
          <cell r="C4">
            <v>36130</v>
          </cell>
        </row>
      </sheetData>
      <sheetData sheetId="1021">
        <row r="4">
          <cell r="C4">
            <v>36130</v>
          </cell>
        </row>
      </sheetData>
      <sheetData sheetId="1022">
        <row r="4">
          <cell r="C4">
            <v>36130</v>
          </cell>
        </row>
      </sheetData>
      <sheetData sheetId="1023">
        <row r="4">
          <cell r="C4">
            <v>36130</v>
          </cell>
        </row>
      </sheetData>
      <sheetData sheetId="1024">
        <row r="4">
          <cell r="C4">
            <v>36130</v>
          </cell>
        </row>
      </sheetData>
      <sheetData sheetId="1025">
        <row r="4">
          <cell r="C4">
            <v>36130</v>
          </cell>
        </row>
      </sheetData>
      <sheetData sheetId="1026">
        <row r="4">
          <cell r="C4">
            <v>36130</v>
          </cell>
        </row>
      </sheetData>
      <sheetData sheetId="1027">
        <row r="4">
          <cell r="C4">
            <v>36130</v>
          </cell>
        </row>
      </sheetData>
      <sheetData sheetId="1028">
        <row r="4">
          <cell r="C4">
            <v>36130</v>
          </cell>
        </row>
      </sheetData>
      <sheetData sheetId="1029">
        <row r="4">
          <cell r="C4">
            <v>36130</v>
          </cell>
        </row>
      </sheetData>
      <sheetData sheetId="1030">
        <row r="4">
          <cell r="C4">
            <v>36130</v>
          </cell>
        </row>
      </sheetData>
      <sheetData sheetId="1031">
        <row r="4">
          <cell r="C4">
            <v>36130</v>
          </cell>
        </row>
      </sheetData>
      <sheetData sheetId="1032">
        <row r="4">
          <cell r="C4">
            <v>36130</v>
          </cell>
        </row>
      </sheetData>
      <sheetData sheetId="1033">
        <row r="4">
          <cell r="C4">
            <v>36130</v>
          </cell>
        </row>
      </sheetData>
      <sheetData sheetId="1034">
        <row r="4">
          <cell r="C4">
            <v>36130</v>
          </cell>
        </row>
      </sheetData>
      <sheetData sheetId="1035">
        <row r="4">
          <cell r="C4">
            <v>36130</v>
          </cell>
        </row>
      </sheetData>
      <sheetData sheetId="1036">
        <row r="4">
          <cell r="C4">
            <v>36130</v>
          </cell>
        </row>
      </sheetData>
      <sheetData sheetId="1037">
        <row r="4">
          <cell r="C4">
            <v>36130</v>
          </cell>
        </row>
      </sheetData>
      <sheetData sheetId="1038">
        <row r="4">
          <cell r="C4">
            <v>36130</v>
          </cell>
        </row>
      </sheetData>
      <sheetData sheetId="1039">
        <row r="4">
          <cell r="C4">
            <v>36130</v>
          </cell>
        </row>
      </sheetData>
      <sheetData sheetId="1040">
        <row r="4">
          <cell r="C4">
            <v>36130</v>
          </cell>
        </row>
      </sheetData>
      <sheetData sheetId="1041">
        <row r="4">
          <cell r="C4">
            <v>36130</v>
          </cell>
        </row>
      </sheetData>
      <sheetData sheetId="1042">
        <row r="4">
          <cell r="C4">
            <v>36130</v>
          </cell>
        </row>
      </sheetData>
      <sheetData sheetId="1043">
        <row r="4">
          <cell r="C4">
            <v>36130</v>
          </cell>
        </row>
      </sheetData>
      <sheetData sheetId="1044">
        <row r="4">
          <cell r="C4">
            <v>36130</v>
          </cell>
        </row>
      </sheetData>
      <sheetData sheetId="1045">
        <row r="4">
          <cell r="C4">
            <v>36130</v>
          </cell>
        </row>
      </sheetData>
      <sheetData sheetId="1046">
        <row r="4">
          <cell r="C4">
            <v>36130</v>
          </cell>
        </row>
      </sheetData>
      <sheetData sheetId="1047">
        <row r="4">
          <cell r="C4">
            <v>36130</v>
          </cell>
        </row>
      </sheetData>
      <sheetData sheetId="1048">
        <row r="4">
          <cell r="C4">
            <v>36130</v>
          </cell>
        </row>
      </sheetData>
      <sheetData sheetId="1049">
        <row r="4">
          <cell r="C4">
            <v>36130</v>
          </cell>
        </row>
      </sheetData>
      <sheetData sheetId="1050">
        <row r="4">
          <cell r="C4">
            <v>36130</v>
          </cell>
        </row>
      </sheetData>
      <sheetData sheetId="1051">
        <row r="4">
          <cell r="C4">
            <v>36130</v>
          </cell>
        </row>
      </sheetData>
      <sheetData sheetId="1052">
        <row r="4">
          <cell r="C4">
            <v>36130</v>
          </cell>
        </row>
      </sheetData>
      <sheetData sheetId="1053">
        <row r="4">
          <cell r="C4">
            <v>36130</v>
          </cell>
        </row>
      </sheetData>
      <sheetData sheetId="1054">
        <row r="4">
          <cell r="C4">
            <v>36130</v>
          </cell>
        </row>
      </sheetData>
      <sheetData sheetId="1055">
        <row r="4">
          <cell r="C4">
            <v>36130</v>
          </cell>
        </row>
      </sheetData>
      <sheetData sheetId="1056">
        <row r="4">
          <cell r="C4">
            <v>36130</v>
          </cell>
        </row>
      </sheetData>
      <sheetData sheetId="1057">
        <row r="4">
          <cell r="C4">
            <v>36130</v>
          </cell>
        </row>
      </sheetData>
      <sheetData sheetId="1058">
        <row r="4">
          <cell r="C4">
            <v>36130</v>
          </cell>
        </row>
      </sheetData>
      <sheetData sheetId="1059">
        <row r="4">
          <cell r="C4">
            <v>36130</v>
          </cell>
        </row>
      </sheetData>
      <sheetData sheetId="1060">
        <row r="4">
          <cell r="C4">
            <v>36130</v>
          </cell>
        </row>
      </sheetData>
      <sheetData sheetId="1061">
        <row r="4">
          <cell r="C4">
            <v>36130</v>
          </cell>
        </row>
      </sheetData>
      <sheetData sheetId="1062">
        <row r="4">
          <cell r="C4">
            <v>36130</v>
          </cell>
        </row>
      </sheetData>
      <sheetData sheetId="1063">
        <row r="4">
          <cell r="C4">
            <v>36130</v>
          </cell>
        </row>
      </sheetData>
      <sheetData sheetId="1064">
        <row r="4">
          <cell r="C4">
            <v>36130</v>
          </cell>
        </row>
      </sheetData>
      <sheetData sheetId="1065">
        <row r="4">
          <cell r="C4">
            <v>36130</v>
          </cell>
        </row>
      </sheetData>
      <sheetData sheetId="1066">
        <row r="4">
          <cell r="C4">
            <v>36130</v>
          </cell>
        </row>
      </sheetData>
      <sheetData sheetId="1067">
        <row r="4">
          <cell r="C4">
            <v>36130</v>
          </cell>
        </row>
      </sheetData>
      <sheetData sheetId="1068">
        <row r="4">
          <cell r="C4">
            <v>36130</v>
          </cell>
        </row>
      </sheetData>
      <sheetData sheetId="1069">
        <row r="4">
          <cell r="C4">
            <v>36130</v>
          </cell>
        </row>
      </sheetData>
      <sheetData sheetId="1070">
        <row r="4">
          <cell r="C4">
            <v>36130</v>
          </cell>
        </row>
      </sheetData>
      <sheetData sheetId="1071">
        <row r="4">
          <cell r="C4">
            <v>36130</v>
          </cell>
        </row>
      </sheetData>
      <sheetData sheetId="1072">
        <row r="4">
          <cell r="C4">
            <v>36130</v>
          </cell>
        </row>
      </sheetData>
      <sheetData sheetId="1073">
        <row r="4">
          <cell r="C4">
            <v>36130</v>
          </cell>
        </row>
      </sheetData>
      <sheetData sheetId="1074">
        <row r="4">
          <cell r="C4">
            <v>36130</v>
          </cell>
        </row>
      </sheetData>
      <sheetData sheetId="1075">
        <row r="4">
          <cell r="C4">
            <v>36130</v>
          </cell>
        </row>
      </sheetData>
      <sheetData sheetId="1076">
        <row r="4">
          <cell r="C4">
            <v>36130</v>
          </cell>
        </row>
      </sheetData>
      <sheetData sheetId="1077">
        <row r="4">
          <cell r="C4">
            <v>36130</v>
          </cell>
        </row>
      </sheetData>
      <sheetData sheetId="1078">
        <row r="4">
          <cell r="C4">
            <v>36130</v>
          </cell>
        </row>
      </sheetData>
      <sheetData sheetId="1079">
        <row r="4">
          <cell r="C4">
            <v>36130</v>
          </cell>
        </row>
      </sheetData>
      <sheetData sheetId="1080">
        <row r="4">
          <cell r="C4">
            <v>36130</v>
          </cell>
        </row>
      </sheetData>
      <sheetData sheetId="1081">
        <row r="4">
          <cell r="C4">
            <v>36130</v>
          </cell>
        </row>
      </sheetData>
      <sheetData sheetId="1082">
        <row r="4">
          <cell r="C4">
            <v>36130</v>
          </cell>
        </row>
      </sheetData>
      <sheetData sheetId="1083">
        <row r="4">
          <cell r="C4">
            <v>36130</v>
          </cell>
        </row>
      </sheetData>
      <sheetData sheetId="1084">
        <row r="4">
          <cell r="C4">
            <v>36130</v>
          </cell>
        </row>
      </sheetData>
      <sheetData sheetId="1085">
        <row r="4">
          <cell r="C4">
            <v>36130</v>
          </cell>
        </row>
      </sheetData>
      <sheetData sheetId="1086">
        <row r="4">
          <cell r="C4">
            <v>36130</v>
          </cell>
        </row>
      </sheetData>
      <sheetData sheetId="1087">
        <row r="4">
          <cell r="C4">
            <v>36130</v>
          </cell>
        </row>
      </sheetData>
      <sheetData sheetId="1088">
        <row r="4">
          <cell r="C4">
            <v>36130</v>
          </cell>
        </row>
      </sheetData>
      <sheetData sheetId="1089">
        <row r="4">
          <cell r="C4">
            <v>36130</v>
          </cell>
        </row>
      </sheetData>
      <sheetData sheetId="1090">
        <row r="4">
          <cell r="C4">
            <v>36130</v>
          </cell>
        </row>
      </sheetData>
      <sheetData sheetId="1091">
        <row r="4">
          <cell r="C4">
            <v>36130</v>
          </cell>
        </row>
      </sheetData>
      <sheetData sheetId="1092">
        <row r="4">
          <cell r="C4">
            <v>36130</v>
          </cell>
        </row>
      </sheetData>
      <sheetData sheetId="1093">
        <row r="4">
          <cell r="C4">
            <v>36130</v>
          </cell>
        </row>
      </sheetData>
      <sheetData sheetId="1094">
        <row r="4">
          <cell r="C4">
            <v>36130</v>
          </cell>
        </row>
      </sheetData>
      <sheetData sheetId="1095">
        <row r="4">
          <cell r="C4">
            <v>36130</v>
          </cell>
        </row>
      </sheetData>
      <sheetData sheetId="1096">
        <row r="4">
          <cell r="C4">
            <v>36130</v>
          </cell>
        </row>
      </sheetData>
      <sheetData sheetId="1097">
        <row r="4">
          <cell r="C4">
            <v>36130</v>
          </cell>
        </row>
      </sheetData>
      <sheetData sheetId="1098">
        <row r="4">
          <cell r="C4">
            <v>36130</v>
          </cell>
        </row>
      </sheetData>
      <sheetData sheetId="1099">
        <row r="4">
          <cell r="C4">
            <v>36130</v>
          </cell>
        </row>
      </sheetData>
      <sheetData sheetId="1100">
        <row r="4">
          <cell r="C4">
            <v>36130</v>
          </cell>
        </row>
      </sheetData>
      <sheetData sheetId="1101">
        <row r="4">
          <cell r="C4">
            <v>36130</v>
          </cell>
        </row>
      </sheetData>
      <sheetData sheetId="1102">
        <row r="4">
          <cell r="C4">
            <v>36130</v>
          </cell>
        </row>
      </sheetData>
      <sheetData sheetId="1103">
        <row r="4">
          <cell r="C4">
            <v>36130</v>
          </cell>
        </row>
      </sheetData>
      <sheetData sheetId="1104">
        <row r="4">
          <cell r="C4">
            <v>36130</v>
          </cell>
        </row>
      </sheetData>
      <sheetData sheetId="1105">
        <row r="4">
          <cell r="C4">
            <v>36130</v>
          </cell>
        </row>
      </sheetData>
      <sheetData sheetId="1106">
        <row r="4">
          <cell r="C4">
            <v>36130</v>
          </cell>
        </row>
      </sheetData>
      <sheetData sheetId="1107">
        <row r="4">
          <cell r="C4">
            <v>36130</v>
          </cell>
        </row>
      </sheetData>
      <sheetData sheetId="1108">
        <row r="4">
          <cell r="C4">
            <v>36130</v>
          </cell>
        </row>
      </sheetData>
      <sheetData sheetId="1109">
        <row r="4">
          <cell r="C4">
            <v>36130</v>
          </cell>
        </row>
      </sheetData>
      <sheetData sheetId="1110">
        <row r="4">
          <cell r="C4">
            <v>36130</v>
          </cell>
        </row>
      </sheetData>
      <sheetData sheetId="1111">
        <row r="4">
          <cell r="C4">
            <v>36130</v>
          </cell>
        </row>
      </sheetData>
      <sheetData sheetId="1112">
        <row r="4">
          <cell r="C4">
            <v>36130</v>
          </cell>
        </row>
      </sheetData>
      <sheetData sheetId="1113">
        <row r="4">
          <cell r="C4">
            <v>36130</v>
          </cell>
        </row>
      </sheetData>
      <sheetData sheetId="1114">
        <row r="4">
          <cell r="C4">
            <v>36130</v>
          </cell>
        </row>
      </sheetData>
      <sheetData sheetId="1115">
        <row r="4">
          <cell r="C4">
            <v>36130</v>
          </cell>
        </row>
      </sheetData>
      <sheetData sheetId="1116">
        <row r="4">
          <cell r="C4">
            <v>36130</v>
          </cell>
        </row>
      </sheetData>
      <sheetData sheetId="1117">
        <row r="4">
          <cell r="C4">
            <v>36130</v>
          </cell>
        </row>
      </sheetData>
      <sheetData sheetId="1118">
        <row r="4">
          <cell r="C4">
            <v>36130</v>
          </cell>
        </row>
      </sheetData>
      <sheetData sheetId="1119">
        <row r="4">
          <cell r="C4">
            <v>36130</v>
          </cell>
        </row>
      </sheetData>
      <sheetData sheetId="1120">
        <row r="4">
          <cell r="C4">
            <v>36130</v>
          </cell>
        </row>
      </sheetData>
      <sheetData sheetId="1121">
        <row r="4">
          <cell r="C4">
            <v>36130</v>
          </cell>
        </row>
      </sheetData>
      <sheetData sheetId="1122">
        <row r="4">
          <cell r="C4">
            <v>36130</v>
          </cell>
        </row>
      </sheetData>
      <sheetData sheetId="1123">
        <row r="4">
          <cell r="C4">
            <v>36130</v>
          </cell>
        </row>
      </sheetData>
      <sheetData sheetId="1124">
        <row r="4">
          <cell r="C4">
            <v>36130</v>
          </cell>
        </row>
      </sheetData>
      <sheetData sheetId="1125">
        <row r="4">
          <cell r="C4">
            <v>36130</v>
          </cell>
        </row>
      </sheetData>
      <sheetData sheetId="1126">
        <row r="4">
          <cell r="C4">
            <v>36130</v>
          </cell>
        </row>
      </sheetData>
      <sheetData sheetId="1127">
        <row r="4">
          <cell r="C4">
            <v>36130</v>
          </cell>
        </row>
      </sheetData>
      <sheetData sheetId="1128">
        <row r="4">
          <cell r="C4">
            <v>36130</v>
          </cell>
        </row>
      </sheetData>
      <sheetData sheetId="1129">
        <row r="4">
          <cell r="C4">
            <v>36130</v>
          </cell>
        </row>
      </sheetData>
      <sheetData sheetId="1130">
        <row r="4">
          <cell r="C4">
            <v>36130</v>
          </cell>
        </row>
      </sheetData>
      <sheetData sheetId="1131">
        <row r="4">
          <cell r="C4">
            <v>36130</v>
          </cell>
        </row>
      </sheetData>
      <sheetData sheetId="1132">
        <row r="4">
          <cell r="C4">
            <v>36130</v>
          </cell>
        </row>
      </sheetData>
      <sheetData sheetId="1133">
        <row r="4">
          <cell r="C4">
            <v>36130</v>
          </cell>
        </row>
      </sheetData>
      <sheetData sheetId="1134">
        <row r="4">
          <cell r="C4">
            <v>36130</v>
          </cell>
        </row>
      </sheetData>
      <sheetData sheetId="1135">
        <row r="4">
          <cell r="C4">
            <v>36130</v>
          </cell>
        </row>
      </sheetData>
      <sheetData sheetId="1136">
        <row r="4">
          <cell r="C4">
            <v>36130</v>
          </cell>
        </row>
      </sheetData>
      <sheetData sheetId="1137">
        <row r="4">
          <cell r="C4">
            <v>36130</v>
          </cell>
        </row>
      </sheetData>
      <sheetData sheetId="1138">
        <row r="4">
          <cell r="C4">
            <v>36130</v>
          </cell>
        </row>
      </sheetData>
      <sheetData sheetId="1139">
        <row r="4">
          <cell r="C4">
            <v>36130</v>
          </cell>
        </row>
      </sheetData>
      <sheetData sheetId="1140">
        <row r="4">
          <cell r="C4">
            <v>36130</v>
          </cell>
        </row>
      </sheetData>
      <sheetData sheetId="1141">
        <row r="4">
          <cell r="C4">
            <v>36130</v>
          </cell>
        </row>
      </sheetData>
      <sheetData sheetId="1142">
        <row r="4">
          <cell r="C4">
            <v>36130</v>
          </cell>
        </row>
      </sheetData>
      <sheetData sheetId="1143">
        <row r="4">
          <cell r="C4">
            <v>36130</v>
          </cell>
        </row>
      </sheetData>
      <sheetData sheetId="1144">
        <row r="4">
          <cell r="C4">
            <v>36130</v>
          </cell>
        </row>
      </sheetData>
      <sheetData sheetId="1145">
        <row r="4">
          <cell r="C4">
            <v>36130</v>
          </cell>
        </row>
      </sheetData>
      <sheetData sheetId="1146">
        <row r="4">
          <cell r="C4">
            <v>36130</v>
          </cell>
        </row>
      </sheetData>
      <sheetData sheetId="1147">
        <row r="4">
          <cell r="C4">
            <v>36130</v>
          </cell>
        </row>
      </sheetData>
      <sheetData sheetId="1148">
        <row r="4">
          <cell r="C4">
            <v>36130</v>
          </cell>
        </row>
      </sheetData>
      <sheetData sheetId="1149">
        <row r="4">
          <cell r="C4">
            <v>36130</v>
          </cell>
        </row>
      </sheetData>
      <sheetData sheetId="1150">
        <row r="4">
          <cell r="C4">
            <v>36130</v>
          </cell>
        </row>
      </sheetData>
      <sheetData sheetId="1151">
        <row r="4">
          <cell r="C4">
            <v>36130</v>
          </cell>
        </row>
      </sheetData>
      <sheetData sheetId="1152">
        <row r="4">
          <cell r="C4">
            <v>36130</v>
          </cell>
        </row>
      </sheetData>
      <sheetData sheetId="1153">
        <row r="4">
          <cell r="C4">
            <v>36130</v>
          </cell>
        </row>
      </sheetData>
      <sheetData sheetId="1154">
        <row r="4">
          <cell r="C4">
            <v>36130</v>
          </cell>
        </row>
      </sheetData>
      <sheetData sheetId="1155">
        <row r="4">
          <cell r="C4">
            <v>36130</v>
          </cell>
        </row>
      </sheetData>
      <sheetData sheetId="1156">
        <row r="4">
          <cell r="C4">
            <v>36130</v>
          </cell>
        </row>
      </sheetData>
      <sheetData sheetId="1157">
        <row r="4">
          <cell r="C4">
            <v>36130</v>
          </cell>
        </row>
      </sheetData>
      <sheetData sheetId="1158">
        <row r="4">
          <cell r="C4">
            <v>36130</v>
          </cell>
        </row>
      </sheetData>
      <sheetData sheetId="1159">
        <row r="4">
          <cell r="C4">
            <v>36130</v>
          </cell>
        </row>
      </sheetData>
      <sheetData sheetId="1160">
        <row r="4">
          <cell r="C4">
            <v>36130</v>
          </cell>
        </row>
      </sheetData>
      <sheetData sheetId="1161">
        <row r="4">
          <cell r="C4">
            <v>36130</v>
          </cell>
        </row>
      </sheetData>
      <sheetData sheetId="1162">
        <row r="4">
          <cell r="C4">
            <v>36130</v>
          </cell>
        </row>
      </sheetData>
      <sheetData sheetId="1163">
        <row r="4">
          <cell r="C4">
            <v>36130</v>
          </cell>
        </row>
      </sheetData>
      <sheetData sheetId="1164">
        <row r="4">
          <cell r="C4">
            <v>36130</v>
          </cell>
        </row>
      </sheetData>
      <sheetData sheetId="1165">
        <row r="4">
          <cell r="C4">
            <v>36130</v>
          </cell>
        </row>
      </sheetData>
      <sheetData sheetId="1166">
        <row r="4">
          <cell r="C4">
            <v>36130</v>
          </cell>
        </row>
      </sheetData>
      <sheetData sheetId="1167">
        <row r="4">
          <cell r="C4">
            <v>36130</v>
          </cell>
        </row>
      </sheetData>
      <sheetData sheetId="1168">
        <row r="4">
          <cell r="C4">
            <v>36130</v>
          </cell>
        </row>
      </sheetData>
      <sheetData sheetId="1169">
        <row r="4">
          <cell r="C4">
            <v>36130</v>
          </cell>
        </row>
      </sheetData>
      <sheetData sheetId="1170">
        <row r="4">
          <cell r="C4">
            <v>36130</v>
          </cell>
        </row>
      </sheetData>
      <sheetData sheetId="1171">
        <row r="4">
          <cell r="C4">
            <v>36130</v>
          </cell>
        </row>
      </sheetData>
      <sheetData sheetId="1172">
        <row r="4">
          <cell r="C4">
            <v>36130</v>
          </cell>
        </row>
      </sheetData>
      <sheetData sheetId="1173">
        <row r="4">
          <cell r="C4">
            <v>36130</v>
          </cell>
        </row>
      </sheetData>
      <sheetData sheetId="1174">
        <row r="4">
          <cell r="C4">
            <v>36130</v>
          </cell>
        </row>
      </sheetData>
      <sheetData sheetId="1175">
        <row r="4">
          <cell r="C4">
            <v>36130</v>
          </cell>
        </row>
      </sheetData>
      <sheetData sheetId="1176">
        <row r="4">
          <cell r="C4">
            <v>36130</v>
          </cell>
        </row>
      </sheetData>
      <sheetData sheetId="1177">
        <row r="4">
          <cell r="C4">
            <v>36130</v>
          </cell>
        </row>
      </sheetData>
      <sheetData sheetId="1178">
        <row r="4">
          <cell r="C4">
            <v>36130</v>
          </cell>
        </row>
      </sheetData>
      <sheetData sheetId="1179">
        <row r="4">
          <cell r="C4">
            <v>36130</v>
          </cell>
        </row>
      </sheetData>
      <sheetData sheetId="1180">
        <row r="4">
          <cell r="C4">
            <v>36130</v>
          </cell>
        </row>
      </sheetData>
      <sheetData sheetId="1181">
        <row r="4">
          <cell r="C4">
            <v>36130</v>
          </cell>
        </row>
      </sheetData>
      <sheetData sheetId="1182">
        <row r="4">
          <cell r="C4">
            <v>36130</v>
          </cell>
        </row>
      </sheetData>
      <sheetData sheetId="1183">
        <row r="4">
          <cell r="C4">
            <v>36130</v>
          </cell>
        </row>
      </sheetData>
      <sheetData sheetId="1184">
        <row r="4">
          <cell r="C4">
            <v>36130</v>
          </cell>
        </row>
      </sheetData>
      <sheetData sheetId="1185">
        <row r="4">
          <cell r="C4">
            <v>36130</v>
          </cell>
        </row>
      </sheetData>
      <sheetData sheetId="1186">
        <row r="4">
          <cell r="C4">
            <v>36130</v>
          </cell>
        </row>
      </sheetData>
      <sheetData sheetId="1187">
        <row r="4">
          <cell r="C4">
            <v>36130</v>
          </cell>
        </row>
      </sheetData>
      <sheetData sheetId="1188">
        <row r="4">
          <cell r="C4">
            <v>36130</v>
          </cell>
        </row>
      </sheetData>
      <sheetData sheetId="1189">
        <row r="4">
          <cell r="C4">
            <v>36130</v>
          </cell>
        </row>
      </sheetData>
      <sheetData sheetId="1190">
        <row r="4">
          <cell r="C4">
            <v>36130</v>
          </cell>
        </row>
      </sheetData>
      <sheetData sheetId="1191">
        <row r="4">
          <cell r="C4">
            <v>36130</v>
          </cell>
        </row>
      </sheetData>
      <sheetData sheetId="1192">
        <row r="4">
          <cell r="C4">
            <v>36130</v>
          </cell>
        </row>
      </sheetData>
      <sheetData sheetId="1193">
        <row r="4">
          <cell r="C4">
            <v>36130</v>
          </cell>
        </row>
      </sheetData>
      <sheetData sheetId="1194">
        <row r="4">
          <cell r="C4">
            <v>36130</v>
          </cell>
        </row>
      </sheetData>
      <sheetData sheetId="1195">
        <row r="4">
          <cell r="C4">
            <v>36130</v>
          </cell>
        </row>
      </sheetData>
      <sheetData sheetId="1196">
        <row r="4">
          <cell r="C4">
            <v>36130</v>
          </cell>
        </row>
      </sheetData>
      <sheetData sheetId="1197">
        <row r="4">
          <cell r="C4">
            <v>36130</v>
          </cell>
        </row>
      </sheetData>
      <sheetData sheetId="1198">
        <row r="4">
          <cell r="C4">
            <v>36130</v>
          </cell>
        </row>
      </sheetData>
      <sheetData sheetId="1199">
        <row r="4">
          <cell r="C4">
            <v>36130</v>
          </cell>
        </row>
      </sheetData>
      <sheetData sheetId="1200">
        <row r="4">
          <cell r="C4">
            <v>36130</v>
          </cell>
        </row>
      </sheetData>
      <sheetData sheetId="1201">
        <row r="4">
          <cell r="C4">
            <v>36130</v>
          </cell>
        </row>
      </sheetData>
      <sheetData sheetId="1202">
        <row r="4">
          <cell r="C4">
            <v>36130</v>
          </cell>
        </row>
      </sheetData>
      <sheetData sheetId="1203">
        <row r="4">
          <cell r="C4">
            <v>36130</v>
          </cell>
        </row>
      </sheetData>
      <sheetData sheetId="1204">
        <row r="4">
          <cell r="C4">
            <v>36130</v>
          </cell>
        </row>
      </sheetData>
      <sheetData sheetId="1205">
        <row r="4">
          <cell r="C4">
            <v>36130</v>
          </cell>
        </row>
      </sheetData>
      <sheetData sheetId="1206">
        <row r="4">
          <cell r="C4">
            <v>36130</v>
          </cell>
        </row>
      </sheetData>
      <sheetData sheetId="1207">
        <row r="4">
          <cell r="C4">
            <v>36130</v>
          </cell>
        </row>
      </sheetData>
      <sheetData sheetId="1208">
        <row r="4">
          <cell r="C4">
            <v>36130</v>
          </cell>
        </row>
      </sheetData>
      <sheetData sheetId="1209">
        <row r="4">
          <cell r="C4">
            <v>36130</v>
          </cell>
        </row>
      </sheetData>
      <sheetData sheetId="1210">
        <row r="4">
          <cell r="C4">
            <v>36130</v>
          </cell>
        </row>
      </sheetData>
      <sheetData sheetId="1211">
        <row r="4">
          <cell r="C4">
            <v>36130</v>
          </cell>
        </row>
      </sheetData>
      <sheetData sheetId="1212">
        <row r="4">
          <cell r="C4">
            <v>36130</v>
          </cell>
        </row>
      </sheetData>
      <sheetData sheetId="1213">
        <row r="4">
          <cell r="C4">
            <v>36130</v>
          </cell>
        </row>
      </sheetData>
      <sheetData sheetId="1214">
        <row r="4">
          <cell r="C4">
            <v>36130</v>
          </cell>
        </row>
      </sheetData>
      <sheetData sheetId="1215">
        <row r="4">
          <cell r="C4">
            <v>36130</v>
          </cell>
        </row>
      </sheetData>
      <sheetData sheetId="1216">
        <row r="4">
          <cell r="C4">
            <v>36130</v>
          </cell>
        </row>
      </sheetData>
      <sheetData sheetId="1217">
        <row r="4">
          <cell r="C4">
            <v>36130</v>
          </cell>
        </row>
      </sheetData>
      <sheetData sheetId="1218">
        <row r="4">
          <cell r="C4">
            <v>36130</v>
          </cell>
        </row>
      </sheetData>
      <sheetData sheetId="1219">
        <row r="4">
          <cell r="C4">
            <v>36130</v>
          </cell>
        </row>
      </sheetData>
      <sheetData sheetId="1220">
        <row r="4">
          <cell r="C4">
            <v>36130</v>
          </cell>
        </row>
      </sheetData>
      <sheetData sheetId="1221">
        <row r="4">
          <cell r="C4">
            <v>36130</v>
          </cell>
        </row>
      </sheetData>
      <sheetData sheetId="1222">
        <row r="4">
          <cell r="C4">
            <v>36130</v>
          </cell>
        </row>
      </sheetData>
      <sheetData sheetId="1223">
        <row r="4">
          <cell r="C4">
            <v>36130</v>
          </cell>
        </row>
      </sheetData>
      <sheetData sheetId="1224">
        <row r="4">
          <cell r="C4">
            <v>36130</v>
          </cell>
        </row>
      </sheetData>
      <sheetData sheetId="1225">
        <row r="4">
          <cell r="C4">
            <v>36130</v>
          </cell>
        </row>
      </sheetData>
      <sheetData sheetId="1226">
        <row r="4">
          <cell r="C4">
            <v>36130</v>
          </cell>
        </row>
      </sheetData>
      <sheetData sheetId="1227">
        <row r="4">
          <cell r="C4">
            <v>36130</v>
          </cell>
        </row>
      </sheetData>
      <sheetData sheetId="1228">
        <row r="4">
          <cell r="C4">
            <v>36130</v>
          </cell>
        </row>
      </sheetData>
      <sheetData sheetId="1229">
        <row r="4">
          <cell r="C4">
            <v>36130</v>
          </cell>
        </row>
      </sheetData>
      <sheetData sheetId="1230">
        <row r="4">
          <cell r="C4">
            <v>36130</v>
          </cell>
        </row>
      </sheetData>
      <sheetData sheetId="1231">
        <row r="4">
          <cell r="C4">
            <v>36130</v>
          </cell>
        </row>
      </sheetData>
      <sheetData sheetId="1232">
        <row r="4">
          <cell r="C4">
            <v>36130</v>
          </cell>
        </row>
      </sheetData>
      <sheetData sheetId="1233">
        <row r="4">
          <cell r="C4">
            <v>36130</v>
          </cell>
        </row>
      </sheetData>
      <sheetData sheetId="1234">
        <row r="4">
          <cell r="C4">
            <v>36130</v>
          </cell>
        </row>
      </sheetData>
      <sheetData sheetId="1235">
        <row r="4">
          <cell r="C4">
            <v>36130</v>
          </cell>
        </row>
      </sheetData>
      <sheetData sheetId="1236">
        <row r="4">
          <cell r="C4">
            <v>36130</v>
          </cell>
        </row>
      </sheetData>
      <sheetData sheetId="1237">
        <row r="4">
          <cell r="C4">
            <v>36130</v>
          </cell>
        </row>
      </sheetData>
      <sheetData sheetId="1238">
        <row r="4">
          <cell r="C4">
            <v>36130</v>
          </cell>
        </row>
      </sheetData>
      <sheetData sheetId="1239">
        <row r="4">
          <cell r="C4">
            <v>36130</v>
          </cell>
        </row>
      </sheetData>
      <sheetData sheetId="1240">
        <row r="4">
          <cell r="C4">
            <v>36130</v>
          </cell>
        </row>
      </sheetData>
      <sheetData sheetId="1241">
        <row r="4">
          <cell r="C4">
            <v>36130</v>
          </cell>
        </row>
      </sheetData>
      <sheetData sheetId="1242">
        <row r="4">
          <cell r="C4">
            <v>36130</v>
          </cell>
        </row>
      </sheetData>
      <sheetData sheetId="1243">
        <row r="4">
          <cell r="C4">
            <v>36130</v>
          </cell>
        </row>
      </sheetData>
      <sheetData sheetId="1244">
        <row r="4">
          <cell r="C4">
            <v>36130</v>
          </cell>
        </row>
      </sheetData>
      <sheetData sheetId="1245">
        <row r="4">
          <cell r="C4">
            <v>36130</v>
          </cell>
        </row>
      </sheetData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>
        <row r="4">
          <cell r="C4">
            <v>36130</v>
          </cell>
        </row>
      </sheetData>
      <sheetData sheetId="1252">
        <row r="4">
          <cell r="C4">
            <v>36130</v>
          </cell>
        </row>
      </sheetData>
      <sheetData sheetId="1253">
        <row r="4">
          <cell r="C4">
            <v>36130</v>
          </cell>
        </row>
      </sheetData>
      <sheetData sheetId="1254">
        <row r="4">
          <cell r="C4">
            <v>36130</v>
          </cell>
        </row>
      </sheetData>
      <sheetData sheetId="1255">
        <row r="4">
          <cell r="C4">
            <v>36130</v>
          </cell>
        </row>
      </sheetData>
      <sheetData sheetId="1256" refreshError="1"/>
      <sheetData sheetId="1257" refreshError="1"/>
      <sheetData sheetId="1258" refreshError="1"/>
      <sheetData sheetId="1259">
        <row r="4">
          <cell r="C4">
            <v>36130</v>
          </cell>
        </row>
      </sheetData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>
        <row r="4">
          <cell r="C4">
            <v>36130</v>
          </cell>
        </row>
      </sheetData>
      <sheetData sheetId="1274">
        <row r="4">
          <cell r="C4">
            <v>36130</v>
          </cell>
        </row>
      </sheetData>
      <sheetData sheetId="1275">
        <row r="4">
          <cell r="C4">
            <v>36130</v>
          </cell>
        </row>
      </sheetData>
      <sheetData sheetId="1276">
        <row r="4">
          <cell r="C4">
            <v>36130</v>
          </cell>
        </row>
      </sheetData>
      <sheetData sheetId="1277">
        <row r="4">
          <cell r="C4">
            <v>36130</v>
          </cell>
        </row>
      </sheetData>
      <sheetData sheetId="1278">
        <row r="4">
          <cell r="C4">
            <v>36130</v>
          </cell>
        </row>
      </sheetData>
      <sheetData sheetId="1279">
        <row r="4">
          <cell r="C4">
            <v>36130</v>
          </cell>
        </row>
      </sheetData>
      <sheetData sheetId="1280">
        <row r="4">
          <cell r="C4">
            <v>36130</v>
          </cell>
        </row>
      </sheetData>
      <sheetData sheetId="1281">
        <row r="4">
          <cell r="C4">
            <v>36130</v>
          </cell>
        </row>
      </sheetData>
      <sheetData sheetId="1282">
        <row r="4">
          <cell r="C4">
            <v>36130</v>
          </cell>
        </row>
      </sheetData>
      <sheetData sheetId="1283">
        <row r="4">
          <cell r="C4">
            <v>36130</v>
          </cell>
        </row>
      </sheetData>
      <sheetData sheetId="1284">
        <row r="4">
          <cell r="C4">
            <v>36130</v>
          </cell>
        </row>
      </sheetData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>
        <row r="4">
          <cell r="C4">
            <v>36130</v>
          </cell>
        </row>
      </sheetData>
      <sheetData sheetId="1320">
        <row r="4">
          <cell r="C4">
            <v>36130</v>
          </cell>
        </row>
      </sheetData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>
        <row r="3">
          <cell r="F3">
            <v>0</v>
          </cell>
        </row>
      </sheetData>
      <sheetData sheetId="1362" refreshError="1"/>
      <sheetData sheetId="1363" refreshError="1"/>
      <sheetData sheetId="1364" refreshError="1"/>
      <sheetData sheetId="1365">
        <row r="4">
          <cell r="C4">
            <v>36130</v>
          </cell>
        </row>
      </sheetData>
      <sheetData sheetId="1366">
        <row r="4">
          <cell r="C4">
            <v>36130</v>
          </cell>
        </row>
      </sheetData>
      <sheetData sheetId="1367">
        <row r="4">
          <cell r="C4">
            <v>36130</v>
          </cell>
        </row>
      </sheetData>
      <sheetData sheetId="1368">
        <row r="4">
          <cell r="C4">
            <v>36130</v>
          </cell>
        </row>
      </sheetData>
      <sheetData sheetId="1369">
        <row r="4">
          <cell r="C4">
            <v>36130</v>
          </cell>
        </row>
      </sheetData>
      <sheetData sheetId="1370">
        <row r="4">
          <cell r="C4">
            <v>36130</v>
          </cell>
        </row>
      </sheetData>
      <sheetData sheetId="1371">
        <row r="4">
          <cell r="C4">
            <v>36130</v>
          </cell>
        </row>
      </sheetData>
      <sheetData sheetId="1372">
        <row r="4">
          <cell r="C4">
            <v>36130</v>
          </cell>
        </row>
      </sheetData>
      <sheetData sheetId="1373">
        <row r="4">
          <cell r="C4">
            <v>36130</v>
          </cell>
        </row>
      </sheetData>
      <sheetData sheetId="1374">
        <row r="4">
          <cell r="C4">
            <v>36130</v>
          </cell>
        </row>
      </sheetData>
      <sheetData sheetId="1375">
        <row r="4">
          <cell r="C4">
            <v>36130</v>
          </cell>
        </row>
      </sheetData>
      <sheetData sheetId="1376">
        <row r="4">
          <cell r="C4">
            <v>36130</v>
          </cell>
        </row>
      </sheetData>
      <sheetData sheetId="1377">
        <row r="4">
          <cell r="C4">
            <v>36130</v>
          </cell>
        </row>
      </sheetData>
      <sheetData sheetId="1378">
        <row r="4">
          <cell r="C4">
            <v>36130</v>
          </cell>
        </row>
      </sheetData>
      <sheetData sheetId="1379">
        <row r="4">
          <cell r="C4">
            <v>36130</v>
          </cell>
        </row>
      </sheetData>
      <sheetData sheetId="1380">
        <row r="4">
          <cell r="C4">
            <v>36130</v>
          </cell>
        </row>
      </sheetData>
      <sheetData sheetId="1381">
        <row r="4">
          <cell r="C4">
            <v>36130</v>
          </cell>
        </row>
      </sheetData>
      <sheetData sheetId="1382">
        <row r="4">
          <cell r="C4">
            <v>36130</v>
          </cell>
        </row>
      </sheetData>
      <sheetData sheetId="1383">
        <row r="4">
          <cell r="C4">
            <v>36130</v>
          </cell>
        </row>
      </sheetData>
      <sheetData sheetId="1384">
        <row r="4">
          <cell r="C4">
            <v>36130</v>
          </cell>
        </row>
      </sheetData>
      <sheetData sheetId="1385">
        <row r="4">
          <cell r="C4">
            <v>36130</v>
          </cell>
        </row>
      </sheetData>
      <sheetData sheetId="1386">
        <row r="4">
          <cell r="C4">
            <v>36130</v>
          </cell>
        </row>
      </sheetData>
      <sheetData sheetId="1387">
        <row r="4">
          <cell r="C4">
            <v>36130</v>
          </cell>
        </row>
      </sheetData>
      <sheetData sheetId="1388">
        <row r="4">
          <cell r="C4">
            <v>36130</v>
          </cell>
        </row>
      </sheetData>
      <sheetData sheetId="1389">
        <row r="4">
          <cell r="C4">
            <v>36130</v>
          </cell>
        </row>
      </sheetData>
      <sheetData sheetId="1390">
        <row r="4">
          <cell r="C4">
            <v>36130</v>
          </cell>
        </row>
      </sheetData>
      <sheetData sheetId="1391">
        <row r="4">
          <cell r="C4">
            <v>36130</v>
          </cell>
        </row>
      </sheetData>
      <sheetData sheetId="1392">
        <row r="4">
          <cell r="C4">
            <v>36130</v>
          </cell>
        </row>
      </sheetData>
      <sheetData sheetId="1393">
        <row r="4">
          <cell r="C4">
            <v>36130</v>
          </cell>
        </row>
      </sheetData>
      <sheetData sheetId="1394">
        <row r="4">
          <cell r="C4">
            <v>36130</v>
          </cell>
        </row>
      </sheetData>
      <sheetData sheetId="1395">
        <row r="4">
          <cell r="C4">
            <v>36130</v>
          </cell>
        </row>
      </sheetData>
      <sheetData sheetId="1396">
        <row r="4">
          <cell r="C4">
            <v>36130</v>
          </cell>
        </row>
      </sheetData>
      <sheetData sheetId="1397">
        <row r="4">
          <cell r="C4">
            <v>36130</v>
          </cell>
        </row>
      </sheetData>
      <sheetData sheetId="1398">
        <row r="4">
          <cell r="C4">
            <v>36130</v>
          </cell>
        </row>
      </sheetData>
      <sheetData sheetId="1399">
        <row r="4">
          <cell r="C4">
            <v>36130</v>
          </cell>
        </row>
      </sheetData>
      <sheetData sheetId="1400">
        <row r="4">
          <cell r="C4">
            <v>36130</v>
          </cell>
        </row>
      </sheetData>
      <sheetData sheetId="1401">
        <row r="4">
          <cell r="C4">
            <v>36130</v>
          </cell>
        </row>
      </sheetData>
      <sheetData sheetId="1402"/>
      <sheetData sheetId="1403"/>
      <sheetData sheetId="1404"/>
      <sheetData sheetId="1405">
        <row r="4">
          <cell r="C4">
            <v>36130</v>
          </cell>
        </row>
      </sheetData>
      <sheetData sheetId="1406"/>
      <sheetData sheetId="1407">
        <row r="4">
          <cell r="C4">
            <v>36130</v>
          </cell>
        </row>
      </sheetData>
      <sheetData sheetId="1408">
        <row r="4">
          <cell r="C4">
            <v>36130</v>
          </cell>
        </row>
      </sheetData>
      <sheetData sheetId="1409">
        <row r="4">
          <cell r="C4">
            <v>36130</v>
          </cell>
        </row>
      </sheetData>
      <sheetData sheetId="1410">
        <row r="4">
          <cell r="C4">
            <v>36130</v>
          </cell>
        </row>
      </sheetData>
      <sheetData sheetId="1411">
        <row r="4">
          <cell r="C4">
            <v>36130</v>
          </cell>
        </row>
      </sheetData>
      <sheetData sheetId="1412"/>
      <sheetData sheetId="1413"/>
      <sheetData sheetId="1414"/>
      <sheetData sheetId="1415"/>
      <sheetData sheetId="1416">
        <row r="4">
          <cell r="C4">
            <v>36130</v>
          </cell>
        </row>
      </sheetData>
      <sheetData sheetId="1417">
        <row r="4">
          <cell r="C4">
            <v>36130</v>
          </cell>
        </row>
      </sheetData>
      <sheetData sheetId="1418">
        <row r="4">
          <cell r="C4">
            <v>36130</v>
          </cell>
        </row>
      </sheetData>
      <sheetData sheetId="1419"/>
      <sheetData sheetId="1420"/>
      <sheetData sheetId="1421">
        <row r="4">
          <cell r="C4">
            <v>36130</v>
          </cell>
        </row>
      </sheetData>
      <sheetData sheetId="1422">
        <row r="4">
          <cell r="C4">
            <v>36130</v>
          </cell>
        </row>
      </sheetData>
      <sheetData sheetId="1423">
        <row r="4">
          <cell r="C4">
            <v>36130</v>
          </cell>
        </row>
      </sheetData>
      <sheetData sheetId="1424" refreshError="1"/>
      <sheetData sheetId="1425" refreshError="1"/>
      <sheetData sheetId="1426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>
        <row r="4">
          <cell r="C4">
            <v>36130</v>
          </cell>
        </row>
      </sheetData>
      <sheetData sheetId="1434">
        <row r="4">
          <cell r="C4">
            <v>36130</v>
          </cell>
        </row>
      </sheetData>
      <sheetData sheetId="1435">
        <row r="4">
          <cell r="C4">
            <v>36130</v>
          </cell>
        </row>
      </sheetData>
      <sheetData sheetId="1436">
        <row r="4">
          <cell r="C4">
            <v>36130</v>
          </cell>
        </row>
      </sheetData>
      <sheetData sheetId="1437">
        <row r="4">
          <cell r="C4">
            <v>36130</v>
          </cell>
        </row>
      </sheetData>
      <sheetData sheetId="1438">
        <row r="4">
          <cell r="C4">
            <v>36130</v>
          </cell>
        </row>
      </sheetData>
      <sheetData sheetId="1439">
        <row r="4">
          <cell r="C4">
            <v>36130</v>
          </cell>
        </row>
      </sheetData>
      <sheetData sheetId="1440">
        <row r="4">
          <cell r="C4">
            <v>36130</v>
          </cell>
        </row>
      </sheetData>
      <sheetData sheetId="1441">
        <row r="4">
          <cell r="C4">
            <v>36130</v>
          </cell>
        </row>
      </sheetData>
      <sheetData sheetId="1442">
        <row r="4">
          <cell r="C4">
            <v>36130</v>
          </cell>
        </row>
      </sheetData>
      <sheetData sheetId="1443">
        <row r="4">
          <cell r="C4">
            <v>36130</v>
          </cell>
        </row>
      </sheetData>
      <sheetData sheetId="1444">
        <row r="4">
          <cell r="C4">
            <v>36130</v>
          </cell>
        </row>
      </sheetData>
      <sheetData sheetId="1445">
        <row r="4">
          <cell r="C4">
            <v>36130</v>
          </cell>
        </row>
      </sheetData>
      <sheetData sheetId="1446">
        <row r="4">
          <cell r="C4">
            <v>36130</v>
          </cell>
        </row>
      </sheetData>
      <sheetData sheetId="1447">
        <row r="4">
          <cell r="C4">
            <v>36130</v>
          </cell>
        </row>
      </sheetData>
      <sheetData sheetId="1448">
        <row r="4">
          <cell r="C4">
            <v>36130</v>
          </cell>
        </row>
      </sheetData>
      <sheetData sheetId="1449">
        <row r="4">
          <cell r="C4">
            <v>36130</v>
          </cell>
        </row>
      </sheetData>
      <sheetData sheetId="1450">
        <row r="4">
          <cell r="C4">
            <v>36130</v>
          </cell>
        </row>
      </sheetData>
      <sheetData sheetId="1451">
        <row r="4">
          <cell r="C4">
            <v>36130</v>
          </cell>
        </row>
      </sheetData>
      <sheetData sheetId="1452">
        <row r="4">
          <cell r="C4">
            <v>36130</v>
          </cell>
        </row>
      </sheetData>
      <sheetData sheetId="1453">
        <row r="4">
          <cell r="C4">
            <v>36130</v>
          </cell>
        </row>
      </sheetData>
      <sheetData sheetId="1454">
        <row r="4">
          <cell r="C4">
            <v>36130</v>
          </cell>
        </row>
      </sheetData>
      <sheetData sheetId="1455">
        <row r="4">
          <cell r="C4">
            <v>36130</v>
          </cell>
        </row>
      </sheetData>
      <sheetData sheetId="1456">
        <row r="4">
          <cell r="C4">
            <v>36130</v>
          </cell>
        </row>
      </sheetData>
      <sheetData sheetId="1457">
        <row r="4">
          <cell r="C4">
            <v>36130</v>
          </cell>
        </row>
      </sheetData>
      <sheetData sheetId="1458">
        <row r="4">
          <cell r="C4">
            <v>36130</v>
          </cell>
        </row>
      </sheetData>
      <sheetData sheetId="1459">
        <row r="4">
          <cell r="C4">
            <v>36130</v>
          </cell>
        </row>
      </sheetData>
      <sheetData sheetId="1460">
        <row r="4">
          <cell r="C4">
            <v>36130</v>
          </cell>
        </row>
      </sheetData>
      <sheetData sheetId="1461">
        <row r="4">
          <cell r="C4">
            <v>36130</v>
          </cell>
        </row>
      </sheetData>
      <sheetData sheetId="1462">
        <row r="4">
          <cell r="C4">
            <v>36130</v>
          </cell>
        </row>
      </sheetData>
      <sheetData sheetId="1463">
        <row r="4">
          <cell r="C4">
            <v>36130</v>
          </cell>
        </row>
      </sheetData>
      <sheetData sheetId="1464">
        <row r="4">
          <cell r="C4">
            <v>36130</v>
          </cell>
        </row>
      </sheetData>
      <sheetData sheetId="1465">
        <row r="4">
          <cell r="C4">
            <v>36130</v>
          </cell>
        </row>
      </sheetData>
      <sheetData sheetId="1466">
        <row r="4">
          <cell r="C4">
            <v>36130</v>
          </cell>
        </row>
      </sheetData>
      <sheetData sheetId="1467">
        <row r="4">
          <cell r="C4">
            <v>36130</v>
          </cell>
        </row>
      </sheetData>
      <sheetData sheetId="1468">
        <row r="4">
          <cell r="C4">
            <v>36130</v>
          </cell>
        </row>
      </sheetData>
      <sheetData sheetId="1469">
        <row r="4">
          <cell r="C4">
            <v>36130</v>
          </cell>
        </row>
      </sheetData>
      <sheetData sheetId="1470">
        <row r="4">
          <cell r="C4">
            <v>36130</v>
          </cell>
        </row>
      </sheetData>
      <sheetData sheetId="1471">
        <row r="4">
          <cell r="C4">
            <v>36130</v>
          </cell>
        </row>
      </sheetData>
      <sheetData sheetId="1472">
        <row r="4">
          <cell r="C4">
            <v>36130</v>
          </cell>
        </row>
      </sheetData>
      <sheetData sheetId="1473">
        <row r="4">
          <cell r="C4">
            <v>36130</v>
          </cell>
        </row>
      </sheetData>
      <sheetData sheetId="1474">
        <row r="4">
          <cell r="C4">
            <v>36130</v>
          </cell>
        </row>
      </sheetData>
      <sheetData sheetId="1475">
        <row r="4">
          <cell r="C4">
            <v>36130</v>
          </cell>
        </row>
      </sheetData>
      <sheetData sheetId="1476">
        <row r="4">
          <cell r="C4">
            <v>36130</v>
          </cell>
        </row>
      </sheetData>
      <sheetData sheetId="1477">
        <row r="4">
          <cell r="C4">
            <v>36130</v>
          </cell>
        </row>
      </sheetData>
      <sheetData sheetId="1478">
        <row r="4">
          <cell r="C4">
            <v>36130</v>
          </cell>
        </row>
      </sheetData>
      <sheetData sheetId="1479">
        <row r="4">
          <cell r="C4">
            <v>36130</v>
          </cell>
        </row>
      </sheetData>
      <sheetData sheetId="1480">
        <row r="4">
          <cell r="C4">
            <v>36130</v>
          </cell>
        </row>
      </sheetData>
      <sheetData sheetId="1481">
        <row r="4">
          <cell r="C4">
            <v>36130</v>
          </cell>
        </row>
      </sheetData>
      <sheetData sheetId="1482">
        <row r="4">
          <cell r="C4">
            <v>36130</v>
          </cell>
        </row>
      </sheetData>
      <sheetData sheetId="1483">
        <row r="4">
          <cell r="C4">
            <v>36130</v>
          </cell>
        </row>
      </sheetData>
      <sheetData sheetId="1484">
        <row r="4">
          <cell r="C4">
            <v>36130</v>
          </cell>
        </row>
      </sheetData>
      <sheetData sheetId="1485">
        <row r="4">
          <cell r="C4">
            <v>36130</v>
          </cell>
        </row>
      </sheetData>
      <sheetData sheetId="1486">
        <row r="4">
          <cell r="C4">
            <v>36130</v>
          </cell>
        </row>
      </sheetData>
      <sheetData sheetId="1487">
        <row r="4">
          <cell r="C4">
            <v>36130</v>
          </cell>
        </row>
      </sheetData>
      <sheetData sheetId="1488">
        <row r="4">
          <cell r="C4">
            <v>36130</v>
          </cell>
        </row>
      </sheetData>
      <sheetData sheetId="1489">
        <row r="4">
          <cell r="C4">
            <v>36130</v>
          </cell>
        </row>
      </sheetData>
      <sheetData sheetId="1490">
        <row r="4">
          <cell r="C4">
            <v>36130</v>
          </cell>
        </row>
      </sheetData>
      <sheetData sheetId="1491">
        <row r="4">
          <cell r="C4">
            <v>36130</v>
          </cell>
        </row>
      </sheetData>
      <sheetData sheetId="1492">
        <row r="4">
          <cell r="C4">
            <v>36130</v>
          </cell>
        </row>
      </sheetData>
      <sheetData sheetId="1493">
        <row r="4">
          <cell r="C4">
            <v>36130</v>
          </cell>
        </row>
      </sheetData>
      <sheetData sheetId="1494">
        <row r="4">
          <cell r="C4">
            <v>36130</v>
          </cell>
        </row>
      </sheetData>
      <sheetData sheetId="1495">
        <row r="4">
          <cell r="C4">
            <v>36130</v>
          </cell>
        </row>
      </sheetData>
      <sheetData sheetId="1496">
        <row r="4">
          <cell r="C4">
            <v>36130</v>
          </cell>
        </row>
      </sheetData>
      <sheetData sheetId="1497">
        <row r="4">
          <cell r="C4">
            <v>36130</v>
          </cell>
        </row>
      </sheetData>
      <sheetData sheetId="1498">
        <row r="4">
          <cell r="C4">
            <v>36130</v>
          </cell>
        </row>
      </sheetData>
      <sheetData sheetId="1499">
        <row r="4">
          <cell r="C4">
            <v>36130</v>
          </cell>
        </row>
      </sheetData>
      <sheetData sheetId="1500">
        <row r="4">
          <cell r="C4">
            <v>36130</v>
          </cell>
        </row>
      </sheetData>
      <sheetData sheetId="1501">
        <row r="4">
          <cell r="C4">
            <v>36130</v>
          </cell>
        </row>
      </sheetData>
      <sheetData sheetId="1502">
        <row r="4">
          <cell r="C4">
            <v>36130</v>
          </cell>
        </row>
      </sheetData>
      <sheetData sheetId="1503">
        <row r="4">
          <cell r="C4">
            <v>36130</v>
          </cell>
        </row>
      </sheetData>
      <sheetData sheetId="1504">
        <row r="4">
          <cell r="C4">
            <v>36130</v>
          </cell>
        </row>
      </sheetData>
      <sheetData sheetId="1505">
        <row r="4">
          <cell r="C4">
            <v>36130</v>
          </cell>
        </row>
      </sheetData>
      <sheetData sheetId="1506">
        <row r="4">
          <cell r="C4">
            <v>36130</v>
          </cell>
        </row>
      </sheetData>
      <sheetData sheetId="1507">
        <row r="4">
          <cell r="C4">
            <v>36130</v>
          </cell>
        </row>
      </sheetData>
      <sheetData sheetId="1508">
        <row r="4">
          <cell r="C4">
            <v>36130</v>
          </cell>
        </row>
      </sheetData>
      <sheetData sheetId="1509">
        <row r="4">
          <cell r="C4">
            <v>36130</v>
          </cell>
        </row>
      </sheetData>
      <sheetData sheetId="1510">
        <row r="4">
          <cell r="C4">
            <v>36130</v>
          </cell>
        </row>
      </sheetData>
      <sheetData sheetId="1511">
        <row r="4">
          <cell r="C4">
            <v>36130</v>
          </cell>
        </row>
      </sheetData>
      <sheetData sheetId="1512">
        <row r="4">
          <cell r="C4">
            <v>36130</v>
          </cell>
        </row>
      </sheetData>
      <sheetData sheetId="1513">
        <row r="4">
          <cell r="C4">
            <v>36130</v>
          </cell>
        </row>
      </sheetData>
      <sheetData sheetId="1514">
        <row r="4">
          <cell r="C4">
            <v>36130</v>
          </cell>
        </row>
      </sheetData>
      <sheetData sheetId="1515">
        <row r="4">
          <cell r="C4">
            <v>36130</v>
          </cell>
        </row>
      </sheetData>
      <sheetData sheetId="1516">
        <row r="4">
          <cell r="C4">
            <v>36130</v>
          </cell>
        </row>
      </sheetData>
      <sheetData sheetId="1517">
        <row r="4">
          <cell r="C4">
            <v>36130</v>
          </cell>
        </row>
      </sheetData>
      <sheetData sheetId="1518">
        <row r="4">
          <cell r="C4">
            <v>36130</v>
          </cell>
        </row>
      </sheetData>
      <sheetData sheetId="1519">
        <row r="4">
          <cell r="C4">
            <v>36130</v>
          </cell>
        </row>
      </sheetData>
      <sheetData sheetId="1520">
        <row r="4">
          <cell r="C4">
            <v>36130</v>
          </cell>
        </row>
      </sheetData>
      <sheetData sheetId="1521">
        <row r="4">
          <cell r="C4">
            <v>36130</v>
          </cell>
        </row>
      </sheetData>
      <sheetData sheetId="1522">
        <row r="4">
          <cell r="C4">
            <v>36130</v>
          </cell>
        </row>
      </sheetData>
      <sheetData sheetId="1523">
        <row r="4">
          <cell r="C4">
            <v>36130</v>
          </cell>
        </row>
      </sheetData>
      <sheetData sheetId="1524">
        <row r="4">
          <cell r="C4">
            <v>36130</v>
          </cell>
        </row>
      </sheetData>
      <sheetData sheetId="1525">
        <row r="4">
          <cell r="C4">
            <v>36130</v>
          </cell>
        </row>
      </sheetData>
      <sheetData sheetId="1526">
        <row r="4">
          <cell r="C4">
            <v>36130</v>
          </cell>
        </row>
      </sheetData>
      <sheetData sheetId="1527">
        <row r="4">
          <cell r="C4">
            <v>36130</v>
          </cell>
        </row>
      </sheetData>
      <sheetData sheetId="1528">
        <row r="4">
          <cell r="C4">
            <v>36130</v>
          </cell>
        </row>
      </sheetData>
      <sheetData sheetId="1529">
        <row r="4">
          <cell r="C4">
            <v>36130</v>
          </cell>
        </row>
      </sheetData>
      <sheetData sheetId="1530">
        <row r="4">
          <cell r="C4">
            <v>36130</v>
          </cell>
        </row>
      </sheetData>
      <sheetData sheetId="1531">
        <row r="4">
          <cell r="C4">
            <v>36130</v>
          </cell>
        </row>
      </sheetData>
      <sheetData sheetId="1532">
        <row r="4">
          <cell r="C4">
            <v>36130</v>
          </cell>
        </row>
      </sheetData>
      <sheetData sheetId="1533">
        <row r="4">
          <cell r="C4">
            <v>36130</v>
          </cell>
        </row>
      </sheetData>
      <sheetData sheetId="1534">
        <row r="4">
          <cell r="C4">
            <v>36130</v>
          </cell>
        </row>
      </sheetData>
      <sheetData sheetId="1535">
        <row r="4">
          <cell r="C4">
            <v>36130</v>
          </cell>
        </row>
      </sheetData>
      <sheetData sheetId="1536">
        <row r="4">
          <cell r="C4">
            <v>36130</v>
          </cell>
        </row>
      </sheetData>
      <sheetData sheetId="1537">
        <row r="4">
          <cell r="C4">
            <v>36130</v>
          </cell>
        </row>
      </sheetData>
      <sheetData sheetId="1538">
        <row r="4">
          <cell r="C4">
            <v>36130</v>
          </cell>
        </row>
      </sheetData>
      <sheetData sheetId="1539">
        <row r="4">
          <cell r="C4">
            <v>36130</v>
          </cell>
        </row>
      </sheetData>
      <sheetData sheetId="1540">
        <row r="4">
          <cell r="C4">
            <v>36130</v>
          </cell>
        </row>
      </sheetData>
      <sheetData sheetId="1541">
        <row r="4">
          <cell r="C4">
            <v>36130</v>
          </cell>
        </row>
      </sheetData>
      <sheetData sheetId="1542">
        <row r="4">
          <cell r="C4">
            <v>36130</v>
          </cell>
        </row>
      </sheetData>
      <sheetData sheetId="1543">
        <row r="4">
          <cell r="C4">
            <v>36130</v>
          </cell>
        </row>
      </sheetData>
      <sheetData sheetId="1544">
        <row r="4">
          <cell r="C4">
            <v>36130</v>
          </cell>
        </row>
      </sheetData>
      <sheetData sheetId="1545">
        <row r="4">
          <cell r="C4">
            <v>36130</v>
          </cell>
        </row>
      </sheetData>
      <sheetData sheetId="1546">
        <row r="4">
          <cell r="C4">
            <v>36130</v>
          </cell>
        </row>
      </sheetData>
      <sheetData sheetId="1547">
        <row r="4">
          <cell r="C4">
            <v>36130</v>
          </cell>
        </row>
      </sheetData>
      <sheetData sheetId="1548">
        <row r="4">
          <cell r="C4">
            <v>36130</v>
          </cell>
        </row>
      </sheetData>
      <sheetData sheetId="1549">
        <row r="4">
          <cell r="C4">
            <v>36130</v>
          </cell>
        </row>
      </sheetData>
      <sheetData sheetId="1550">
        <row r="4">
          <cell r="C4">
            <v>36130</v>
          </cell>
        </row>
      </sheetData>
      <sheetData sheetId="1551">
        <row r="4">
          <cell r="C4">
            <v>36130</v>
          </cell>
        </row>
      </sheetData>
      <sheetData sheetId="1552">
        <row r="4">
          <cell r="C4">
            <v>36130</v>
          </cell>
        </row>
      </sheetData>
      <sheetData sheetId="1553">
        <row r="4">
          <cell r="C4">
            <v>36130</v>
          </cell>
        </row>
      </sheetData>
      <sheetData sheetId="1554">
        <row r="4">
          <cell r="C4">
            <v>36130</v>
          </cell>
        </row>
      </sheetData>
      <sheetData sheetId="1555">
        <row r="4">
          <cell r="C4">
            <v>36130</v>
          </cell>
        </row>
      </sheetData>
      <sheetData sheetId="1556">
        <row r="4">
          <cell r="C4">
            <v>36130</v>
          </cell>
        </row>
      </sheetData>
      <sheetData sheetId="1557">
        <row r="4">
          <cell r="C4">
            <v>36130</v>
          </cell>
        </row>
      </sheetData>
      <sheetData sheetId="1558">
        <row r="4">
          <cell r="C4">
            <v>36130</v>
          </cell>
        </row>
      </sheetData>
      <sheetData sheetId="1559">
        <row r="4">
          <cell r="C4">
            <v>36130</v>
          </cell>
        </row>
      </sheetData>
      <sheetData sheetId="1560">
        <row r="4">
          <cell r="C4">
            <v>36130</v>
          </cell>
        </row>
      </sheetData>
      <sheetData sheetId="1561">
        <row r="4">
          <cell r="C4">
            <v>36130</v>
          </cell>
        </row>
      </sheetData>
      <sheetData sheetId="1562">
        <row r="4">
          <cell r="C4">
            <v>36130</v>
          </cell>
        </row>
      </sheetData>
      <sheetData sheetId="1563">
        <row r="4">
          <cell r="C4">
            <v>36130</v>
          </cell>
        </row>
      </sheetData>
      <sheetData sheetId="1564">
        <row r="4">
          <cell r="C4">
            <v>36130</v>
          </cell>
        </row>
      </sheetData>
      <sheetData sheetId="1565">
        <row r="4">
          <cell r="C4">
            <v>36130</v>
          </cell>
        </row>
      </sheetData>
      <sheetData sheetId="1566"/>
      <sheetData sheetId="1567"/>
      <sheetData sheetId="1568">
        <row r="4">
          <cell r="C4">
            <v>36130</v>
          </cell>
        </row>
      </sheetData>
      <sheetData sheetId="1569"/>
      <sheetData sheetId="1570"/>
      <sheetData sheetId="1571"/>
      <sheetData sheetId="1572"/>
      <sheetData sheetId="1573"/>
      <sheetData sheetId="1574">
        <row r="4">
          <cell r="C4">
            <v>36130</v>
          </cell>
        </row>
      </sheetData>
      <sheetData sheetId="1575">
        <row r="4">
          <cell r="C4">
            <v>36130</v>
          </cell>
        </row>
      </sheetData>
      <sheetData sheetId="1576">
        <row r="4">
          <cell r="C4">
            <v>36130</v>
          </cell>
        </row>
      </sheetData>
      <sheetData sheetId="1577">
        <row r="4">
          <cell r="C4">
            <v>36130</v>
          </cell>
        </row>
      </sheetData>
      <sheetData sheetId="1578">
        <row r="4">
          <cell r="C4">
            <v>36130</v>
          </cell>
        </row>
      </sheetData>
      <sheetData sheetId="1579">
        <row r="4">
          <cell r="C4">
            <v>36130</v>
          </cell>
        </row>
      </sheetData>
      <sheetData sheetId="1580">
        <row r="4">
          <cell r="C4">
            <v>36130</v>
          </cell>
        </row>
      </sheetData>
      <sheetData sheetId="1581">
        <row r="4">
          <cell r="C4">
            <v>36130</v>
          </cell>
        </row>
      </sheetData>
      <sheetData sheetId="1582"/>
      <sheetData sheetId="1583"/>
      <sheetData sheetId="1584">
        <row r="4">
          <cell r="C4">
            <v>36130</v>
          </cell>
        </row>
      </sheetData>
      <sheetData sheetId="1585">
        <row r="4">
          <cell r="C4">
            <v>36130</v>
          </cell>
        </row>
      </sheetData>
      <sheetData sheetId="1586">
        <row r="4">
          <cell r="C4">
            <v>36130</v>
          </cell>
        </row>
      </sheetData>
      <sheetData sheetId="1587">
        <row r="4">
          <cell r="C4">
            <v>36130</v>
          </cell>
        </row>
      </sheetData>
      <sheetData sheetId="1588">
        <row r="4">
          <cell r="C4">
            <v>36130</v>
          </cell>
        </row>
      </sheetData>
      <sheetData sheetId="1589">
        <row r="4">
          <cell r="C4">
            <v>36130</v>
          </cell>
        </row>
      </sheetData>
      <sheetData sheetId="1590">
        <row r="4">
          <cell r="C4">
            <v>36130</v>
          </cell>
        </row>
      </sheetData>
      <sheetData sheetId="1591">
        <row r="4">
          <cell r="C4">
            <v>36130</v>
          </cell>
        </row>
      </sheetData>
      <sheetData sheetId="1592">
        <row r="4">
          <cell r="C4">
            <v>36130</v>
          </cell>
        </row>
      </sheetData>
      <sheetData sheetId="1593">
        <row r="4">
          <cell r="C4">
            <v>36130</v>
          </cell>
        </row>
      </sheetData>
      <sheetData sheetId="1594">
        <row r="4">
          <cell r="C4">
            <v>36130</v>
          </cell>
        </row>
      </sheetData>
      <sheetData sheetId="1595">
        <row r="4">
          <cell r="C4">
            <v>36130</v>
          </cell>
        </row>
      </sheetData>
      <sheetData sheetId="1596">
        <row r="4">
          <cell r="C4">
            <v>36130</v>
          </cell>
        </row>
      </sheetData>
      <sheetData sheetId="1597">
        <row r="4">
          <cell r="C4">
            <v>36130</v>
          </cell>
        </row>
      </sheetData>
      <sheetData sheetId="1598">
        <row r="4">
          <cell r="C4">
            <v>36130</v>
          </cell>
        </row>
      </sheetData>
      <sheetData sheetId="1599">
        <row r="4">
          <cell r="C4">
            <v>36130</v>
          </cell>
        </row>
      </sheetData>
      <sheetData sheetId="1600">
        <row r="4">
          <cell r="C4">
            <v>36130</v>
          </cell>
        </row>
      </sheetData>
      <sheetData sheetId="1601">
        <row r="4">
          <cell r="C4">
            <v>36130</v>
          </cell>
        </row>
      </sheetData>
      <sheetData sheetId="1602">
        <row r="4">
          <cell r="C4">
            <v>36130</v>
          </cell>
        </row>
      </sheetData>
      <sheetData sheetId="1603">
        <row r="4">
          <cell r="C4">
            <v>36130</v>
          </cell>
        </row>
      </sheetData>
      <sheetData sheetId="1604">
        <row r="4">
          <cell r="C4">
            <v>36130</v>
          </cell>
        </row>
      </sheetData>
      <sheetData sheetId="1605">
        <row r="4">
          <cell r="C4">
            <v>36130</v>
          </cell>
        </row>
      </sheetData>
      <sheetData sheetId="1606">
        <row r="4">
          <cell r="C4">
            <v>36130</v>
          </cell>
        </row>
      </sheetData>
      <sheetData sheetId="1607">
        <row r="4">
          <cell r="C4">
            <v>36130</v>
          </cell>
        </row>
      </sheetData>
      <sheetData sheetId="1608">
        <row r="4">
          <cell r="C4">
            <v>36130</v>
          </cell>
        </row>
      </sheetData>
      <sheetData sheetId="1609">
        <row r="4">
          <cell r="C4">
            <v>36130</v>
          </cell>
        </row>
      </sheetData>
      <sheetData sheetId="1610">
        <row r="4">
          <cell r="C4">
            <v>36130</v>
          </cell>
        </row>
      </sheetData>
      <sheetData sheetId="1611">
        <row r="4">
          <cell r="C4">
            <v>36130</v>
          </cell>
        </row>
      </sheetData>
      <sheetData sheetId="1612">
        <row r="4">
          <cell r="C4">
            <v>36130</v>
          </cell>
        </row>
      </sheetData>
      <sheetData sheetId="1613">
        <row r="4">
          <cell r="C4">
            <v>36130</v>
          </cell>
        </row>
      </sheetData>
      <sheetData sheetId="1614">
        <row r="4">
          <cell r="C4">
            <v>36130</v>
          </cell>
        </row>
      </sheetData>
      <sheetData sheetId="1615">
        <row r="4">
          <cell r="C4">
            <v>36130</v>
          </cell>
        </row>
      </sheetData>
      <sheetData sheetId="1616">
        <row r="4">
          <cell r="C4">
            <v>36130</v>
          </cell>
        </row>
      </sheetData>
      <sheetData sheetId="1617">
        <row r="4">
          <cell r="C4">
            <v>36130</v>
          </cell>
        </row>
      </sheetData>
      <sheetData sheetId="1618">
        <row r="4">
          <cell r="C4">
            <v>36130</v>
          </cell>
        </row>
      </sheetData>
      <sheetData sheetId="1619">
        <row r="4">
          <cell r="C4">
            <v>36130</v>
          </cell>
        </row>
      </sheetData>
      <sheetData sheetId="1620">
        <row r="4">
          <cell r="C4">
            <v>36130</v>
          </cell>
        </row>
      </sheetData>
      <sheetData sheetId="1621">
        <row r="4">
          <cell r="C4">
            <v>36130</v>
          </cell>
        </row>
      </sheetData>
      <sheetData sheetId="1622">
        <row r="4">
          <cell r="C4">
            <v>36130</v>
          </cell>
        </row>
      </sheetData>
      <sheetData sheetId="1623">
        <row r="4">
          <cell r="C4">
            <v>36130</v>
          </cell>
        </row>
      </sheetData>
      <sheetData sheetId="1624">
        <row r="4">
          <cell r="C4">
            <v>36130</v>
          </cell>
        </row>
      </sheetData>
      <sheetData sheetId="1625">
        <row r="4">
          <cell r="C4">
            <v>36130</v>
          </cell>
        </row>
      </sheetData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>
        <row r="4">
          <cell r="C4">
            <v>36130</v>
          </cell>
        </row>
      </sheetData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>
        <row r="4">
          <cell r="C4">
            <v>36130</v>
          </cell>
        </row>
      </sheetData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>
        <row r="4">
          <cell r="C4">
            <v>36130</v>
          </cell>
        </row>
      </sheetData>
      <sheetData sheetId="1698">
        <row r="4">
          <cell r="C4">
            <v>36130</v>
          </cell>
        </row>
      </sheetData>
      <sheetData sheetId="1699"/>
      <sheetData sheetId="1700"/>
      <sheetData sheetId="1701"/>
      <sheetData sheetId="1702"/>
      <sheetData sheetId="1703"/>
      <sheetData sheetId="1704">
        <row r="4">
          <cell r="C4">
            <v>36130</v>
          </cell>
        </row>
      </sheetData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>
        <row r="4">
          <cell r="C4">
            <v>36130</v>
          </cell>
        </row>
      </sheetData>
      <sheetData sheetId="1715">
        <row r="4">
          <cell r="C4">
            <v>36130</v>
          </cell>
        </row>
      </sheetData>
      <sheetData sheetId="1716">
        <row r="4">
          <cell r="C4">
            <v>36130</v>
          </cell>
        </row>
      </sheetData>
      <sheetData sheetId="1717">
        <row r="4">
          <cell r="C4">
            <v>36130</v>
          </cell>
        </row>
      </sheetData>
      <sheetData sheetId="1718">
        <row r="4">
          <cell r="C4">
            <v>36130</v>
          </cell>
        </row>
      </sheetData>
      <sheetData sheetId="1719">
        <row r="4">
          <cell r="C4">
            <v>36130</v>
          </cell>
        </row>
      </sheetData>
      <sheetData sheetId="1720">
        <row r="4">
          <cell r="C4">
            <v>36130</v>
          </cell>
        </row>
      </sheetData>
      <sheetData sheetId="1721">
        <row r="4">
          <cell r="C4">
            <v>36130</v>
          </cell>
        </row>
      </sheetData>
      <sheetData sheetId="1722"/>
      <sheetData sheetId="1723"/>
      <sheetData sheetId="1724">
        <row r="4">
          <cell r="C4">
            <v>36130</v>
          </cell>
        </row>
      </sheetData>
      <sheetData sheetId="1725">
        <row r="4">
          <cell r="C4">
            <v>36130</v>
          </cell>
        </row>
      </sheetData>
      <sheetData sheetId="1726">
        <row r="4">
          <cell r="C4">
            <v>36130</v>
          </cell>
        </row>
      </sheetData>
      <sheetData sheetId="1727">
        <row r="4">
          <cell r="C4">
            <v>36130</v>
          </cell>
        </row>
      </sheetData>
      <sheetData sheetId="1728">
        <row r="4">
          <cell r="C4">
            <v>36130</v>
          </cell>
        </row>
      </sheetData>
      <sheetData sheetId="1729">
        <row r="4">
          <cell r="C4">
            <v>36130</v>
          </cell>
        </row>
      </sheetData>
      <sheetData sheetId="1730">
        <row r="4">
          <cell r="C4">
            <v>36130</v>
          </cell>
        </row>
      </sheetData>
      <sheetData sheetId="1731">
        <row r="4">
          <cell r="C4">
            <v>36130</v>
          </cell>
        </row>
      </sheetData>
      <sheetData sheetId="1732">
        <row r="4">
          <cell r="C4">
            <v>36130</v>
          </cell>
        </row>
      </sheetData>
      <sheetData sheetId="1733">
        <row r="4">
          <cell r="C4">
            <v>36130</v>
          </cell>
        </row>
      </sheetData>
      <sheetData sheetId="1734">
        <row r="4">
          <cell r="C4">
            <v>36130</v>
          </cell>
        </row>
      </sheetData>
      <sheetData sheetId="1735">
        <row r="4">
          <cell r="C4">
            <v>36130</v>
          </cell>
        </row>
      </sheetData>
      <sheetData sheetId="1736">
        <row r="4">
          <cell r="C4">
            <v>36130</v>
          </cell>
        </row>
      </sheetData>
      <sheetData sheetId="1737">
        <row r="4">
          <cell r="C4">
            <v>36130</v>
          </cell>
        </row>
      </sheetData>
      <sheetData sheetId="1738">
        <row r="4">
          <cell r="C4">
            <v>36130</v>
          </cell>
        </row>
      </sheetData>
      <sheetData sheetId="1739">
        <row r="4">
          <cell r="C4">
            <v>36130</v>
          </cell>
        </row>
      </sheetData>
      <sheetData sheetId="1740">
        <row r="4">
          <cell r="C4">
            <v>36130</v>
          </cell>
        </row>
      </sheetData>
      <sheetData sheetId="1741">
        <row r="4">
          <cell r="C4">
            <v>36130</v>
          </cell>
        </row>
      </sheetData>
      <sheetData sheetId="1742">
        <row r="4">
          <cell r="C4">
            <v>36130</v>
          </cell>
        </row>
      </sheetData>
      <sheetData sheetId="1743">
        <row r="4">
          <cell r="C4">
            <v>36130</v>
          </cell>
        </row>
      </sheetData>
      <sheetData sheetId="1744">
        <row r="4">
          <cell r="C4">
            <v>36130</v>
          </cell>
        </row>
      </sheetData>
      <sheetData sheetId="1745">
        <row r="4">
          <cell r="C4">
            <v>36130</v>
          </cell>
        </row>
      </sheetData>
      <sheetData sheetId="1746">
        <row r="4">
          <cell r="C4">
            <v>36130</v>
          </cell>
        </row>
      </sheetData>
      <sheetData sheetId="1747">
        <row r="4">
          <cell r="C4">
            <v>36130</v>
          </cell>
        </row>
      </sheetData>
      <sheetData sheetId="1748">
        <row r="4">
          <cell r="C4">
            <v>36130</v>
          </cell>
        </row>
      </sheetData>
      <sheetData sheetId="1749">
        <row r="4">
          <cell r="C4">
            <v>36130</v>
          </cell>
        </row>
      </sheetData>
      <sheetData sheetId="1750">
        <row r="4">
          <cell r="C4">
            <v>36130</v>
          </cell>
        </row>
      </sheetData>
      <sheetData sheetId="1751">
        <row r="4">
          <cell r="C4">
            <v>36130</v>
          </cell>
        </row>
      </sheetData>
      <sheetData sheetId="1752">
        <row r="4">
          <cell r="C4">
            <v>36130</v>
          </cell>
        </row>
      </sheetData>
      <sheetData sheetId="1753">
        <row r="4">
          <cell r="C4">
            <v>36130</v>
          </cell>
        </row>
      </sheetData>
      <sheetData sheetId="1754">
        <row r="4">
          <cell r="C4">
            <v>36130</v>
          </cell>
        </row>
      </sheetData>
      <sheetData sheetId="1755">
        <row r="4">
          <cell r="C4">
            <v>36130</v>
          </cell>
        </row>
      </sheetData>
      <sheetData sheetId="1756">
        <row r="4">
          <cell r="C4">
            <v>36130</v>
          </cell>
        </row>
      </sheetData>
      <sheetData sheetId="1757">
        <row r="4">
          <cell r="C4">
            <v>36130</v>
          </cell>
        </row>
      </sheetData>
      <sheetData sheetId="1758">
        <row r="4">
          <cell r="C4">
            <v>36130</v>
          </cell>
        </row>
      </sheetData>
      <sheetData sheetId="1759">
        <row r="4">
          <cell r="C4">
            <v>36130</v>
          </cell>
        </row>
      </sheetData>
      <sheetData sheetId="1760">
        <row r="4">
          <cell r="C4">
            <v>36130</v>
          </cell>
        </row>
      </sheetData>
      <sheetData sheetId="1761">
        <row r="4">
          <cell r="C4">
            <v>36130</v>
          </cell>
        </row>
      </sheetData>
      <sheetData sheetId="1762">
        <row r="4">
          <cell r="C4">
            <v>36130</v>
          </cell>
        </row>
      </sheetData>
      <sheetData sheetId="1763">
        <row r="4">
          <cell r="C4">
            <v>36130</v>
          </cell>
        </row>
      </sheetData>
      <sheetData sheetId="1764">
        <row r="4">
          <cell r="C4">
            <v>36130</v>
          </cell>
        </row>
      </sheetData>
      <sheetData sheetId="1765">
        <row r="4">
          <cell r="C4">
            <v>36130</v>
          </cell>
        </row>
      </sheetData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>
        <row r="4">
          <cell r="C4">
            <v>36130</v>
          </cell>
        </row>
      </sheetData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>
        <row r="4">
          <cell r="C4">
            <v>36130</v>
          </cell>
        </row>
      </sheetData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>
        <row r="4">
          <cell r="C4">
            <v>36130</v>
          </cell>
        </row>
      </sheetData>
      <sheetData sheetId="1838">
        <row r="4">
          <cell r="C4">
            <v>36130</v>
          </cell>
        </row>
      </sheetData>
      <sheetData sheetId="1839"/>
      <sheetData sheetId="1840"/>
      <sheetData sheetId="1841"/>
      <sheetData sheetId="1842"/>
      <sheetData sheetId="1843"/>
      <sheetData sheetId="1844"/>
      <sheetData sheetId="1845">
        <row r="4">
          <cell r="C4">
            <v>36130</v>
          </cell>
        </row>
      </sheetData>
      <sheetData sheetId="1846"/>
      <sheetData sheetId="1847"/>
      <sheetData sheetId="1848"/>
      <sheetData sheetId="1849"/>
      <sheetData sheetId="1850"/>
      <sheetData sheetId="1851"/>
      <sheetData sheetId="1852"/>
      <sheetData sheetId="1853">
        <row r="4">
          <cell r="C4">
            <v>36130</v>
          </cell>
        </row>
      </sheetData>
      <sheetData sheetId="1854">
        <row r="4">
          <cell r="C4">
            <v>36130</v>
          </cell>
        </row>
      </sheetData>
      <sheetData sheetId="1855">
        <row r="4">
          <cell r="C4">
            <v>36130</v>
          </cell>
        </row>
      </sheetData>
      <sheetData sheetId="1856">
        <row r="4">
          <cell r="C4">
            <v>36130</v>
          </cell>
        </row>
      </sheetData>
      <sheetData sheetId="1857">
        <row r="4">
          <cell r="C4">
            <v>36130</v>
          </cell>
        </row>
      </sheetData>
      <sheetData sheetId="1858">
        <row r="4">
          <cell r="C4">
            <v>36130</v>
          </cell>
        </row>
      </sheetData>
      <sheetData sheetId="1859">
        <row r="4">
          <cell r="C4">
            <v>36130</v>
          </cell>
        </row>
      </sheetData>
      <sheetData sheetId="1860">
        <row r="4">
          <cell r="C4">
            <v>36130</v>
          </cell>
        </row>
      </sheetData>
      <sheetData sheetId="1861"/>
      <sheetData sheetId="1862"/>
      <sheetData sheetId="1863">
        <row r="4">
          <cell r="C4">
            <v>36130</v>
          </cell>
        </row>
      </sheetData>
      <sheetData sheetId="1864">
        <row r="4">
          <cell r="C4">
            <v>36130</v>
          </cell>
        </row>
      </sheetData>
      <sheetData sheetId="1865">
        <row r="4">
          <cell r="C4">
            <v>36130</v>
          </cell>
        </row>
      </sheetData>
      <sheetData sheetId="1866">
        <row r="4">
          <cell r="C4">
            <v>36130</v>
          </cell>
        </row>
      </sheetData>
      <sheetData sheetId="1867">
        <row r="4">
          <cell r="C4">
            <v>36130</v>
          </cell>
        </row>
      </sheetData>
      <sheetData sheetId="1868">
        <row r="4">
          <cell r="C4">
            <v>36130</v>
          </cell>
        </row>
      </sheetData>
      <sheetData sheetId="1869">
        <row r="4">
          <cell r="C4">
            <v>36130</v>
          </cell>
        </row>
      </sheetData>
      <sheetData sheetId="1870">
        <row r="4">
          <cell r="C4">
            <v>36130</v>
          </cell>
        </row>
      </sheetData>
      <sheetData sheetId="1871">
        <row r="4">
          <cell r="C4">
            <v>36130</v>
          </cell>
        </row>
      </sheetData>
      <sheetData sheetId="1872">
        <row r="4">
          <cell r="C4">
            <v>36130</v>
          </cell>
        </row>
      </sheetData>
      <sheetData sheetId="1873">
        <row r="4">
          <cell r="C4">
            <v>36130</v>
          </cell>
        </row>
      </sheetData>
      <sheetData sheetId="1874">
        <row r="4">
          <cell r="C4">
            <v>36130</v>
          </cell>
        </row>
      </sheetData>
      <sheetData sheetId="1875">
        <row r="4">
          <cell r="C4">
            <v>36130</v>
          </cell>
        </row>
      </sheetData>
      <sheetData sheetId="1876">
        <row r="4">
          <cell r="C4">
            <v>36130</v>
          </cell>
        </row>
      </sheetData>
      <sheetData sheetId="1877">
        <row r="4">
          <cell r="C4">
            <v>36130</v>
          </cell>
        </row>
      </sheetData>
      <sheetData sheetId="1878">
        <row r="4">
          <cell r="C4">
            <v>36130</v>
          </cell>
        </row>
      </sheetData>
      <sheetData sheetId="1879">
        <row r="4">
          <cell r="C4">
            <v>36130</v>
          </cell>
        </row>
      </sheetData>
      <sheetData sheetId="1880">
        <row r="4">
          <cell r="C4">
            <v>36130</v>
          </cell>
        </row>
      </sheetData>
      <sheetData sheetId="1881">
        <row r="4">
          <cell r="C4">
            <v>36130</v>
          </cell>
        </row>
      </sheetData>
      <sheetData sheetId="1882">
        <row r="4">
          <cell r="C4">
            <v>36130</v>
          </cell>
        </row>
      </sheetData>
      <sheetData sheetId="1883">
        <row r="4">
          <cell r="C4">
            <v>36130</v>
          </cell>
        </row>
      </sheetData>
      <sheetData sheetId="1884">
        <row r="4">
          <cell r="C4">
            <v>36130</v>
          </cell>
        </row>
      </sheetData>
      <sheetData sheetId="1885">
        <row r="4">
          <cell r="C4">
            <v>36130</v>
          </cell>
        </row>
      </sheetData>
      <sheetData sheetId="1886">
        <row r="4">
          <cell r="C4">
            <v>36130</v>
          </cell>
        </row>
      </sheetData>
      <sheetData sheetId="1887">
        <row r="4">
          <cell r="C4">
            <v>36130</v>
          </cell>
        </row>
      </sheetData>
      <sheetData sheetId="1888">
        <row r="4">
          <cell r="C4">
            <v>36130</v>
          </cell>
        </row>
      </sheetData>
      <sheetData sheetId="1889">
        <row r="4">
          <cell r="C4">
            <v>36130</v>
          </cell>
        </row>
      </sheetData>
      <sheetData sheetId="1890">
        <row r="4">
          <cell r="C4">
            <v>36130</v>
          </cell>
        </row>
      </sheetData>
      <sheetData sheetId="1891">
        <row r="4">
          <cell r="C4">
            <v>36130</v>
          </cell>
        </row>
      </sheetData>
      <sheetData sheetId="1892">
        <row r="4">
          <cell r="C4">
            <v>36130</v>
          </cell>
        </row>
      </sheetData>
      <sheetData sheetId="1893">
        <row r="4">
          <cell r="C4">
            <v>36130</v>
          </cell>
        </row>
      </sheetData>
      <sheetData sheetId="1894">
        <row r="4">
          <cell r="C4">
            <v>36130</v>
          </cell>
        </row>
      </sheetData>
      <sheetData sheetId="1895">
        <row r="4">
          <cell r="C4">
            <v>36130</v>
          </cell>
        </row>
      </sheetData>
      <sheetData sheetId="1896">
        <row r="4">
          <cell r="C4">
            <v>36130</v>
          </cell>
        </row>
      </sheetData>
      <sheetData sheetId="1897">
        <row r="4">
          <cell r="C4">
            <v>36130</v>
          </cell>
        </row>
      </sheetData>
      <sheetData sheetId="1898">
        <row r="4">
          <cell r="C4">
            <v>36130</v>
          </cell>
        </row>
      </sheetData>
      <sheetData sheetId="1899">
        <row r="4">
          <cell r="C4">
            <v>36130</v>
          </cell>
        </row>
      </sheetData>
      <sheetData sheetId="1900">
        <row r="4">
          <cell r="C4">
            <v>36130</v>
          </cell>
        </row>
      </sheetData>
      <sheetData sheetId="1901">
        <row r="4">
          <cell r="C4">
            <v>36130</v>
          </cell>
        </row>
      </sheetData>
      <sheetData sheetId="1902">
        <row r="4">
          <cell r="C4">
            <v>36130</v>
          </cell>
        </row>
      </sheetData>
      <sheetData sheetId="1903">
        <row r="4">
          <cell r="C4">
            <v>36130</v>
          </cell>
        </row>
      </sheetData>
      <sheetData sheetId="1904">
        <row r="4">
          <cell r="C4">
            <v>36130</v>
          </cell>
        </row>
      </sheetData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>
        <row r="4">
          <cell r="C4">
            <v>36130</v>
          </cell>
        </row>
      </sheetData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>
        <row r="4">
          <cell r="C4">
            <v>36130</v>
          </cell>
        </row>
      </sheetData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4">
          <cell r="C4">
            <v>36130</v>
          </cell>
        </row>
      </sheetData>
      <sheetData sheetId="1977">
        <row r="4">
          <cell r="C4">
            <v>36130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>
        <row r="4">
          <cell r="C4">
            <v>36130</v>
          </cell>
        </row>
      </sheetData>
      <sheetData sheetId="1985"/>
      <sheetData sheetId="1986"/>
      <sheetData sheetId="1987"/>
      <sheetData sheetId="1988"/>
      <sheetData sheetId="1989"/>
      <sheetData sheetId="1990"/>
      <sheetData sheetId="1991"/>
      <sheetData sheetId="1992">
        <row r="4">
          <cell r="C4">
            <v>36130</v>
          </cell>
        </row>
      </sheetData>
      <sheetData sheetId="1993">
        <row r="4">
          <cell r="C4">
            <v>36130</v>
          </cell>
        </row>
      </sheetData>
      <sheetData sheetId="1994">
        <row r="4">
          <cell r="C4">
            <v>36130</v>
          </cell>
        </row>
      </sheetData>
      <sheetData sheetId="1995">
        <row r="4">
          <cell r="C4">
            <v>36130</v>
          </cell>
        </row>
      </sheetData>
      <sheetData sheetId="1996">
        <row r="4">
          <cell r="C4">
            <v>36130</v>
          </cell>
        </row>
      </sheetData>
      <sheetData sheetId="1997">
        <row r="4">
          <cell r="C4">
            <v>36130</v>
          </cell>
        </row>
      </sheetData>
      <sheetData sheetId="1998">
        <row r="4">
          <cell r="C4">
            <v>36130</v>
          </cell>
        </row>
      </sheetData>
      <sheetData sheetId="1999">
        <row r="4">
          <cell r="C4">
            <v>36130</v>
          </cell>
        </row>
      </sheetData>
      <sheetData sheetId="2000"/>
      <sheetData sheetId="2001"/>
      <sheetData sheetId="2002">
        <row r="4">
          <cell r="C4">
            <v>36130</v>
          </cell>
        </row>
      </sheetData>
      <sheetData sheetId="2003">
        <row r="4">
          <cell r="C4">
            <v>36130</v>
          </cell>
        </row>
      </sheetData>
      <sheetData sheetId="2004">
        <row r="4">
          <cell r="C4">
            <v>36130</v>
          </cell>
        </row>
      </sheetData>
      <sheetData sheetId="2005">
        <row r="4">
          <cell r="C4">
            <v>36130</v>
          </cell>
        </row>
      </sheetData>
      <sheetData sheetId="2006">
        <row r="4">
          <cell r="C4">
            <v>36130</v>
          </cell>
        </row>
      </sheetData>
      <sheetData sheetId="2007">
        <row r="4">
          <cell r="C4">
            <v>36130</v>
          </cell>
        </row>
      </sheetData>
      <sheetData sheetId="2008">
        <row r="4">
          <cell r="C4">
            <v>36130</v>
          </cell>
        </row>
      </sheetData>
      <sheetData sheetId="2009">
        <row r="4">
          <cell r="C4">
            <v>36130</v>
          </cell>
        </row>
      </sheetData>
      <sheetData sheetId="2010">
        <row r="4">
          <cell r="C4">
            <v>36130</v>
          </cell>
        </row>
      </sheetData>
      <sheetData sheetId="2011">
        <row r="4">
          <cell r="C4">
            <v>36130</v>
          </cell>
        </row>
      </sheetData>
      <sheetData sheetId="2012">
        <row r="4">
          <cell r="C4">
            <v>36130</v>
          </cell>
        </row>
      </sheetData>
      <sheetData sheetId="2013">
        <row r="4">
          <cell r="C4">
            <v>36130</v>
          </cell>
        </row>
      </sheetData>
      <sheetData sheetId="2014">
        <row r="4">
          <cell r="C4">
            <v>36130</v>
          </cell>
        </row>
      </sheetData>
      <sheetData sheetId="2015">
        <row r="4">
          <cell r="C4">
            <v>36130</v>
          </cell>
        </row>
      </sheetData>
      <sheetData sheetId="2016">
        <row r="4">
          <cell r="C4">
            <v>36130</v>
          </cell>
        </row>
      </sheetData>
      <sheetData sheetId="2017">
        <row r="4">
          <cell r="C4">
            <v>36130</v>
          </cell>
        </row>
      </sheetData>
      <sheetData sheetId="2018">
        <row r="4">
          <cell r="C4">
            <v>36130</v>
          </cell>
        </row>
      </sheetData>
      <sheetData sheetId="2019">
        <row r="4">
          <cell r="C4">
            <v>36130</v>
          </cell>
        </row>
      </sheetData>
      <sheetData sheetId="2020">
        <row r="4">
          <cell r="C4">
            <v>36130</v>
          </cell>
        </row>
      </sheetData>
      <sheetData sheetId="2021">
        <row r="4">
          <cell r="C4">
            <v>36130</v>
          </cell>
        </row>
      </sheetData>
      <sheetData sheetId="2022">
        <row r="4">
          <cell r="C4">
            <v>36130</v>
          </cell>
        </row>
      </sheetData>
      <sheetData sheetId="2023">
        <row r="4">
          <cell r="C4">
            <v>36130</v>
          </cell>
        </row>
      </sheetData>
      <sheetData sheetId="2024">
        <row r="4">
          <cell r="C4">
            <v>36130</v>
          </cell>
        </row>
      </sheetData>
      <sheetData sheetId="2025">
        <row r="4">
          <cell r="C4">
            <v>36130</v>
          </cell>
        </row>
      </sheetData>
      <sheetData sheetId="2026">
        <row r="4">
          <cell r="C4">
            <v>36130</v>
          </cell>
        </row>
      </sheetData>
      <sheetData sheetId="2027">
        <row r="4">
          <cell r="C4">
            <v>36130</v>
          </cell>
        </row>
      </sheetData>
      <sheetData sheetId="2028">
        <row r="4">
          <cell r="C4">
            <v>36130</v>
          </cell>
        </row>
      </sheetData>
      <sheetData sheetId="2029">
        <row r="4">
          <cell r="C4">
            <v>36130</v>
          </cell>
        </row>
      </sheetData>
      <sheetData sheetId="2030">
        <row r="4">
          <cell r="C4">
            <v>36130</v>
          </cell>
        </row>
      </sheetData>
      <sheetData sheetId="2031">
        <row r="4">
          <cell r="C4">
            <v>36130</v>
          </cell>
        </row>
      </sheetData>
      <sheetData sheetId="2032">
        <row r="4">
          <cell r="C4">
            <v>36130</v>
          </cell>
        </row>
      </sheetData>
      <sheetData sheetId="2033">
        <row r="4">
          <cell r="C4">
            <v>36130</v>
          </cell>
        </row>
      </sheetData>
      <sheetData sheetId="2034">
        <row r="4">
          <cell r="C4">
            <v>36130</v>
          </cell>
        </row>
      </sheetData>
      <sheetData sheetId="2035">
        <row r="4">
          <cell r="C4">
            <v>36130</v>
          </cell>
        </row>
      </sheetData>
      <sheetData sheetId="2036">
        <row r="4">
          <cell r="C4">
            <v>36130</v>
          </cell>
        </row>
      </sheetData>
      <sheetData sheetId="2037">
        <row r="4">
          <cell r="C4">
            <v>36130</v>
          </cell>
        </row>
      </sheetData>
      <sheetData sheetId="2038">
        <row r="4">
          <cell r="C4">
            <v>36130</v>
          </cell>
        </row>
      </sheetData>
      <sheetData sheetId="2039">
        <row r="4">
          <cell r="C4">
            <v>36130</v>
          </cell>
        </row>
      </sheetData>
      <sheetData sheetId="2040">
        <row r="4">
          <cell r="C4">
            <v>36130</v>
          </cell>
        </row>
      </sheetData>
      <sheetData sheetId="2041">
        <row r="4">
          <cell r="C4">
            <v>36130</v>
          </cell>
        </row>
      </sheetData>
      <sheetData sheetId="2042">
        <row r="4">
          <cell r="C4">
            <v>36130</v>
          </cell>
        </row>
      </sheetData>
      <sheetData sheetId="2043">
        <row r="4">
          <cell r="C4">
            <v>36130</v>
          </cell>
        </row>
      </sheetData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>
        <row r="4">
          <cell r="C4">
            <v>36130</v>
          </cell>
        </row>
      </sheetData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>
        <row r="4">
          <cell r="C4">
            <v>36130</v>
          </cell>
        </row>
      </sheetData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>
        <row r="4">
          <cell r="C4">
            <v>36130</v>
          </cell>
        </row>
      </sheetData>
      <sheetData sheetId="2116">
        <row r="4">
          <cell r="C4">
            <v>36130</v>
          </cell>
        </row>
      </sheetData>
      <sheetData sheetId="2117"/>
      <sheetData sheetId="2118"/>
      <sheetData sheetId="2119"/>
      <sheetData sheetId="2120"/>
      <sheetData sheetId="2121"/>
      <sheetData sheetId="2122"/>
      <sheetData sheetId="2123">
        <row r="4">
          <cell r="C4">
            <v>36130</v>
          </cell>
        </row>
      </sheetData>
      <sheetData sheetId="2124"/>
      <sheetData sheetId="2125"/>
      <sheetData sheetId="2126"/>
      <sheetData sheetId="2127"/>
      <sheetData sheetId="2128"/>
      <sheetData sheetId="2129"/>
      <sheetData sheetId="2130"/>
      <sheetData sheetId="2131">
        <row r="4">
          <cell r="C4">
            <v>36130</v>
          </cell>
        </row>
      </sheetData>
      <sheetData sheetId="2132">
        <row r="4">
          <cell r="C4">
            <v>36130</v>
          </cell>
        </row>
      </sheetData>
      <sheetData sheetId="2133">
        <row r="4">
          <cell r="C4">
            <v>36130</v>
          </cell>
        </row>
      </sheetData>
      <sheetData sheetId="2134">
        <row r="4">
          <cell r="C4">
            <v>36130</v>
          </cell>
        </row>
      </sheetData>
      <sheetData sheetId="2135">
        <row r="4">
          <cell r="C4">
            <v>36130</v>
          </cell>
        </row>
      </sheetData>
      <sheetData sheetId="2136">
        <row r="4">
          <cell r="C4">
            <v>36130</v>
          </cell>
        </row>
      </sheetData>
      <sheetData sheetId="2137">
        <row r="4">
          <cell r="C4">
            <v>36130</v>
          </cell>
        </row>
      </sheetData>
      <sheetData sheetId="2138">
        <row r="4">
          <cell r="C4">
            <v>36130</v>
          </cell>
        </row>
      </sheetData>
      <sheetData sheetId="2139"/>
      <sheetData sheetId="2140"/>
      <sheetData sheetId="2141">
        <row r="4">
          <cell r="C4">
            <v>36130</v>
          </cell>
        </row>
      </sheetData>
      <sheetData sheetId="2142">
        <row r="4">
          <cell r="C4">
            <v>36130</v>
          </cell>
        </row>
      </sheetData>
      <sheetData sheetId="2143">
        <row r="4">
          <cell r="C4">
            <v>36130</v>
          </cell>
        </row>
      </sheetData>
      <sheetData sheetId="2144">
        <row r="4">
          <cell r="C4">
            <v>36130</v>
          </cell>
        </row>
      </sheetData>
      <sheetData sheetId="2145">
        <row r="4">
          <cell r="C4">
            <v>36130</v>
          </cell>
        </row>
      </sheetData>
      <sheetData sheetId="2146">
        <row r="4">
          <cell r="C4">
            <v>36130</v>
          </cell>
        </row>
      </sheetData>
      <sheetData sheetId="2147">
        <row r="4">
          <cell r="C4">
            <v>36130</v>
          </cell>
        </row>
      </sheetData>
      <sheetData sheetId="2148">
        <row r="4">
          <cell r="C4">
            <v>36130</v>
          </cell>
        </row>
      </sheetData>
      <sheetData sheetId="2149">
        <row r="4">
          <cell r="C4">
            <v>36130</v>
          </cell>
        </row>
      </sheetData>
      <sheetData sheetId="2150">
        <row r="4">
          <cell r="C4">
            <v>36130</v>
          </cell>
        </row>
      </sheetData>
      <sheetData sheetId="2151">
        <row r="4">
          <cell r="C4">
            <v>36130</v>
          </cell>
        </row>
      </sheetData>
      <sheetData sheetId="2152">
        <row r="4">
          <cell r="C4">
            <v>36130</v>
          </cell>
        </row>
      </sheetData>
      <sheetData sheetId="2153">
        <row r="4">
          <cell r="C4">
            <v>36130</v>
          </cell>
        </row>
      </sheetData>
      <sheetData sheetId="2154">
        <row r="4">
          <cell r="C4">
            <v>36130</v>
          </cell>
        </row>
      </sheetData>
      <sheetData sheetId="2155">
        <row r="4">
          <cell r="C4">
            <v>36130</v>
          </cell>
        </row>
      </sheetData>
      <sheetData sheetId="2156">
        <row r="4">
          <cell r="C4">
            <v>36130</v>
          </cell>
        </row>
      </sheetData>
      <sheetData sheetId="2157">
        <row r="4">
          <cell r="C4">
            <v>36130</v>
          </cell>
        </row>
      </sheetData>
      <sheetData sheetId="2158">
        <row r="4">
          <cell r="C4">
            <v>36130</v>
          </cell>
        </row>
      </sheetData>
      <sheetData sheetId="2159">
        <row r="4">
          <cell r="C4">
            <v>36130</v>
          </cell>
        </row>
      </sheetData>
      <sheetData sheetId="2160">
        <row r="4">
          <cell r="C4">
            <v>36130</v>
          </cell>
        </row>
      </sheetData>
      <sheetData sheetId="2161">
        <row r="4">
          <cell r="C4">
            <v>36130</v>
          </cell>
        </row>
      </sheetData>
      <sheetData sheetId="2162">
        <row r="4">
          <cell r="C4">
            <v>36130</v>
          </cell>
        </row>
      </sheetData>
      <sheetData sheetId="2163">
        <row r="4">
          <cell r="C4">
            <v>36130</v>
          </cell>
        </row>
      </sheetData>
      <sheetData sheetId="2164">
        <row r="4">
          <cell r="C4">
            <v>36130</v>
          </cell>
        </row>
      </sheetData>
      <sheetData sheetId="2165">
        <row r="4">
          <cell r="C4">
            <v>36130</v>
          </cell>
        </row>
      </sheetData>
      <sheetData sheetId="2166">
        <row r="4">
          <cell r="C4">
            <v>36130</v>
          </cell>
        </row>
      </sheetData>
      <sheetData sheetId="2167">
        <row r="4">
          <cell r="C4">
            <v>36130</v>
          </cell>
        </row>
      </sheetData>
      <sheetData sheetId="2168">
        <row r="4">
          <cell r="C4">
            <v>36130</v>
          </cell>
        </row>
      </sheetData>
      <sheetData sheetId="2169">
        <row r="4">
          <cell r="C4">
            <v>36130</v>
          </cell>
        </row>
      </sheetData>
      <sheetData sheetId="2170">
        <row r="4">
          <cell r="C4">
            <v>36130</v>
          </cell>
        </row>
      </sheetData>
      <sheetData sheetId="2171">
        <row r="4">
          <cell r="C4">
            <v>36130</v>
          </cell>
        </row>
      </sheetData>
      <sheetData sheetId="2172">
        <row r="4">
          <cell r="C4">
            <v>36130</v>
          </cell>
        </row>
      </sheetData>
      <sheetData sheetId="2173">
        <row r="4">
          <cell r="C4">
            <v>36130</v>
          </cell>
        </row>
      </sheetData>
      <sheetData sheetId="2174">
        <row r="4">
          <cell r="C4">
            <v>36130</v>
          </cell>
        </row>
      </sheetData>
      <sheetData sheetId="2175">
        <row r="4">
          <cell r="C4">
            <v>36130</v>
          </cell>
        </row>
      </sheetData>
      <sheetData sheetId="2176">
        <row r="4">
          <cell r="C4">
            <v>36130</v>
          </cell>
        </row>
      </sheetData>
      <sheetData sheetId="2177">
        <row r="4">
          <cell r="C4">
            <v>36130</v>
          </cell>
        </row>
      </sheetData>
      <sheetData sheetId="2178">
        <row r="4">
          <cell r="C4">
            <v>36130</v>
          </cell>
        </row>
      </sheetData>
      <sheetData sheetId="2179">
        <row r="4">
          <cell r="C4">
            <v>36130</v>
          </cell>
        </row>
      </sheetData>
      <sheetData sheetId="2180">
        <row r="4">
          <cell r="C4">
            <v>36130</v>
          </cell>
        </row>
      </sheetData>
      <sheetData sheetId="2181">
        <row r="4">
          <cell r="C4">
            <v>36130</v>
          </cell>
        </row>
      </sheetData>
      <sheetData sheetId="2182">
        <row r="4">
          <cell r="C4">
            <v>36130</v>
          </cell>
        </row>
      </sheetData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>
        <row r="4">
          <cell r="C4">
            <v>36130</v>
          </cell>
        </row>
      </sheetData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>
        <row r="4">
          <cell r="C4">
            <v>36130</v>
          </cell>
        </row>
      </sheetData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>
        <row r="4">
          <cell r="C4">
            <v>36130</v>
          </cell>
        </row>
      </sheetData>
      <sheetData sheetId="2255">
        <row r="4">
          <cell r="C4">
            <v>36130</v>
          </cell>
        </row>
      </sheetData>
      <sheetData sheetId="2256"/>
      <sheetData sheetId="2257"/>
      <sheetData sheetId="2258"/>
      <sheetData sheetId="2259"/>
      <sheetData sheetId="2260"/>
      <sheetData sheetId="2261"/>
      <sheetData sheetId="2262">
        <row r="4">
          <cell r="C4">
            <v>36130</v>
          </cell>
        </row>
      </sheetData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>
        <row r="4">
          <cell r="C4">
            <v>36130</v>
          </cell>
        </row>
      </sheetData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>
        <row r="4">
          <cell r="C4">
            <v>36130</v>
          </cell>
        </row>
      </sheetData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Cash2"/>
      <sheetName val="Z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O-1"/>
      <sheetName val="TABLO-2"/>
      <sheetName val="TABLO-3"/>
      <sheetName val="TABLO-4"/>
      <sheetName val="TABLO-5"/>
      <sheetName val="GRAFET"/>
      <sheetName val="SATIS"/>
      <sheetName val="Dış Kapak"/>
      <sheetName val="İçindekiler"/>
      <sheetName val="ICMAL"/>
      <sheetName val="PURSANTAJ"/>
      <sheetName val="DAIRE"/>
      <sheetName val="AVANS"/>
      <sheetName val="TAKIP"/>
      <sheetName val="ARKA KAPAK"/>
      <sheetName val="önyüz"/>
      <sheetName val="Demirbaş Haf.Öd."/>
      <sheetName val="I BLOK -11.70 TEMEL BETON"/>
      <sheetName val="I BLOK -7.60 DÖŞEME (2)"/>
      <sheetName val="I BLOK -11.70 KOLON BETON"/>
      <sheetName val="I BLOK -11.70 PERDE BETON"/>
      <sheetName val="I BLOK -11.70 KİRİŞ"/>
      <sheetName val="I BLOK -7.60 DÖŞEME"/>
      <sheetName val="E BLOK -11.70 TEMEL BETON "/>
      <sheetName val="TESİSAT"/>
      <sheetName val="İCMAL"/>
      <sheetName val="BLOK-KEŞİF"/>
      <sheetName val="rayiç"/>
      <sheetName val="katsayılar"/>
      <sheetName val="Faturanızı Özelleştirin"/>
      <sheetName val="DRENAJ HENDEK (2)"/>
      <sheetName val="CPI2010.xls"/>
      <sheetName val="CPI2010"/>
      <sheetName val="çarpan"/>
      <sheetName val="Katsayi"/>
      <sheetName val="I_BLOK_-11_70_TEMEL_BETON"/>
      <sheetName val="I_BLOK_-7_60_DÖŞEME_(2)"/>
      <sheetName val="I_BLOK_-11_70_KOLON_BETON"/>
      <sheetName val="I_BLOK_-11_70_PERDE_BETON"/>
      <sheetName val="I_BLOK_-11_70_KİRİŞ"/>
      <sheetName val="I_BLOK_-7_60_DÖŞEME"/>
      <sheetName val="E_BLOK_-11_70_TEMEL_BETON_"/>
      <sheetName val="Dış_Kapak"/>
      <sheetName val="ARKA_KAPAK"/>
      <sheetName val="Demirbaş_Haf_Öd_"/>
      <sheetName val="Faturanızı_Özelleştirin"/>
      <sheetName val="DRENAJ_HENDEK_(2)"/>
      <sheetName val=" N Finansal Eğri"/>
      <sheetName val="TABLO_3"/>
      <sheetName val="입찰내역 발주처 양식"/>
      <sheetName val="DATA"/>
      <sheetName val="Bina Mahal INDEX"/>
      <sheetName val="I_BLOK_-11_70_TEMEL_BETON1"/>
      <sheetName val="I_BLOK_-7_60_DÖŞEME_(2)1"/>
      <sheetName val="I_BLOK_-11_70_KOLON_BETON1"/>
      <sheetName val="I_BLOK_-11_70_PERDE_BETON1"/>
      <sheetName val="I_BLOK_-11_70_KİRİŞ1"/>
      <sheetName val="I_BLOK_-7_60_DÖŞEME1"/>
      <sheetName val="E_BLOK_-11_70_TEMEL_BETON_1"/>
      <sheetName val="Dış_Kapak1"/>
      <sheetName val="ARKA_KAPAK1"/>
      <sheetName val="Demirbaş_Haf_Öd_1"/>
      <sheetName val="Faturanızı_Özelleştirin1"/>
      <sheetName val="DRENAJ_HENDEK_(2)1"/>
      <sheetName val="CPI2010_xls"/>
      <sheetName val="_N_Finansal_Eğri"/>
      <sheetName val="입찰내역_발주처_양식"/>
      <sheetName val="tefen_hes"/>
      <sheetName val="Aylık yık_ üni-zayii"/>
      <sheetName val="Kolommen_balans"/>
      <sheetName val="konutfiyat"/>
      <sheetName val="HAKEDİŞ "/>
      <sheetName val="TABLO01"/>
      <sheetName val="İKSA pile records"/>
      <sheetName val="gbicmalayri"/>
      <sheetName val="LISTE"/>
      <sheetName val="PROGRAM"/>
      <sheetName val="CASHFLOW"/>
    </sheetNames>
    <sheetDataSet>
      <sheetData sheetId="0" refreshError="1"/>
      <sheetData sheetId="1">
        <row r="8">
          <cell r="B8" t="str">
            <v xml:space="preserve">        TURKEY</v>
          </cell>
        </row>
      </sheetData>
      <sheetData sheetId="2">
        <row r="8">
          <cell r="B8" t="str">
            <v xml:space="preserve">        TURKEY</v>
          </cell>
        </row>
      </sheetData>
      <sheetData sheetId="3" refreshError="1"/>
      <sheetData sheetId="4" refreshError="1"/>
      <sheetData sheetId="5" refreshError="1"/>
      <sheetData sheetId="6">
        <row r="4">
          <cell r="B4">
            <v>0</v>
          </cell>
        </row>
      </sheetData>
      <sheetData sheetId="7">
        <row r="4">
          <cell r="B4">
            <v>0</v>
          </cell>
        </row>
      </sheetData>
      <sheetData sheetId="8">
        <row r="4">
          <cell r="B4">
            <v>0</v>
          </cell>
        </row>
      </sheetData>
      <sheetData sheetId="9">
        <row r="4">
          <cell r="B4">
            <v>0</v>
          </cell>
        </row>
      </sheetData>
      <sheetData sheetId="10">
        <row r="4">
          <cell r="B4">
            <v>0</v>
          </cell>
        </row>
      </sheetData>
      <sheetData sheetId="11">
        <row r="4">
          <cell r="B4">
            <v>0</v>
          </cell>
        </row>
      </sheetData>
      <sheetData sheetId="12">
        <row r="4">
          <cell r="B4">
            <v>0</v>
          </cell>
        </row>
      </sheetData>
      <sheetData sheetId="13">
        <row r="4">
          <cell r="B4">
            <v>0</v>
          </cell>
        </row>
      </sheetData>
      <sheetData sheetId="14" refreshError="1"/>
      <sheetData sheetId="15" refreshError="1"/>
      <sheetData sheetId="16" refreshError="1"/>
      <sheetData sheetId="17">
        <row r="4">
          <cell r="B4">
            <v>0</v>
          </cell>
        </row>
      </sheetData>
      <sheetData sheetId="18">
        <row r="4">
          <cell r="B4">
            <v>0</v>
          </cell>
        </row>
      </sheetData>
      <sheetData sheetId="19">
        <row r="4">
          <cell r="B4">
            <v>0</v>
          </cell>
        </row>
      </sheetData>
      <sheetData sheetId="20">
        <row r="4">
          <cell r="B4">
            <v>0</v>
          </cell>
        </row>
      </sheetData>
      <sheetData sheetId="21">
        <row r="4">
          <cell r="B4">
            <v>0</v>
          </cell>
        </row>
      </sheetData>
      <sheetData sheetId="22">
        <row r="4">
          <cell r="B4">
            <v>0</v>
          </cell>
        </row>
      </sheetData>
      <sheetData sheetId="23">
        <row r="4">
          <cell r="B4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B4">
            <v>0</v>
          </cell>
        </row>
      </sheetData>
      <sheetData sheetId="36">
        <row r="4">
          <cell r="B4">
            <v>0</v>
          </cell>
        </row>
      </sheetData>
      <sheetData sheetId="37">
        <row r="4">
          <cell r="B4">
            <v>0</v>
          </cell>
        </row>
      </sheetData>
      <sheetData sheetId="38">
        <row r="4">
          <cell r="B4">
            <v>0</v>
          </cell>
        </row>
      </sheetData>
      <sheetData sheetId="39">
        <row r="4">
          <cell r="B4">
            <v>0</v>
          </cell>
        </row>
      </sheetData>
      <sheetData sheetId="40">
        <row r="4">
          <cell r="B4">
            <v>0</v>
          </cell>
        </row>
      </sheetData>
      <sheetData sheetId="41">
        <row r="4">
          <cell r="B4">
            <v>0</v>
          </cell>
        </row>
      </sheetData>
      <sheetData sheetId="42">
        <row r="4">
          <cell r="B4">
            <v>0</v>
          </cell>
        </row>
      </sheetData>
      <sheetData sheetId="43">
        <row r="4">
          <cell r="B4">
            <v>0</v>
          </cell>
        </row>
      </sheetData>
      <sheetData sheetId="44">
        <row r="4">
          <cell r="B4">
            <v>0</v>
          </cell>
        </row>
      </sheetData>
      <sheetData sheetId="45">
        <row r="4">
          <cell r="B4">
            <v>0</v>
          </cell>
        </row>
      </sheetData>
      <sheetData sheetId="46">
        <row r="4">
          <cell r="B4">
            <v>0</v>
          </cell>
        </row>
      </sheetData>
      <sheetData sheetId="47" refreshError="1"/>
      <sheetData sheetId="48"/>
      <sheetData sheetId="49" refreshError="1"/>
      <sheetData sheetId="50" refreshError="1"/>
      <sheetData sheetId="51" refreshError="1"/>
      <sheetData sheetId="52">
        <row r="4">
          <cell r="B4">
            <v>0</v>
          </cell>
        </row>
      </sheetData>
      <sheetData sheetId="53">
        <row r="4">
          <cell r="B4">
            <v>0</v>
          </cell>
        </row>
      </sheetData>
      <sheetData sheetId="54">
        <row r="4">
          <cell r="B4">
            <v>0</v>
          </cell>
        </row>
      </sheetData>
      <sheetData sheetId="55">
        <row r="4">
          <cell r="B4">
            <v>0</v>
          </cell>
        </row>
      </sheetData>
      <sheetData sheetId="56">
        <row r="4">
          <cell r="B4">
            <v>0</v>
          </cell>
        </row>
      </sheetData>
      <sheetData sheetId="57">
        <row r="4">
          <cell r="B4">
            <v>0</v>
          </cell>
        </row>
      </sheetData>
      <sheetData sheetId="58">
        <row r="4">
          <cell r="B4">
            <v>0</v>
          </cell>
        </row>
      </sheetData>
      <sheetData sheetId="59">
        <row r="4">
          <cell r="B4">
            <v>0</v>
          </cell>
        </row>
      </sheetData>
      <sheetData sheetId="60">
        <row r="4">
          <cell r="B4">
            <v>0</v>
          </cell>
        </row>
      </sheetData>
      <sheetData sheetId="61">
        <row r="4">
          <cell r="B4">
            <v>0</v>
          </cell>
        </row>
      </sheetData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Contents"/>
      <sheetName val="Summary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BQ"/>
      <sheetName val="BQ External"/>
      <sheetName val="icmal"/>
      <sheetName val="SHOPLIST"/>
      <sheetName val="Notes"/>
      <sheetName val="Basis"/>
      <sheetName val="SubmitCal"/>
      <sheetName val="TAS"/>
      <sheetName val="Penthouse Apartment"/>
      <sheetName val="Cash2"/>
      <sheetName val="Z"/>
      <sheetName val="Raw Data"/>
      <sheetName val="sal"/>
      <sheetName val="#REF"/>
      <sheetName val="_______"/>
      <sheetName val="核算项目余额表"/>
      <sheetName val="Criteria"/>
      <sheetName val="Assumptions"/>
      <sheetName val="@risk rents and incentives"/>
      <sheetName val="Car park lease"/>
      <sheetName val="Net rent analysis"/>
      <sheetName val="Poz-1 "/>
      <sheetName val="차액보증"/>
      <sheetName val="Option"/>
      <sheetName val="Chiet tinh dz22"/>
      <sheetName val="Chiet tinh dz35"/>
      <sheetName val="StattCo yCharges"/>
      <sheetName val="1"/>
      <sheetName val="D-623D"/>
      <sheetName val="Graph Data (DO NOT PRINT)"/>
      <sheetName val="Su}}ary"/>
      <sheetName val="GFA_HQ_Building"/>
      <sheetName val="GFA_Conference"/>
      <sheetName val="BQ_External"/>
      <sheetName val="Bill_1"/>
      <sheetName val="Bill_2"/>
      <sheetName val="Bill_3"/>
      <sheetName val="Bill_4"/>
      <sheetName val="Bill_5"/>
      <sheetName val="Bill_6"/>
      <sheetName val="Bill_7"/>
      <sheetName val="LABOUR HISTOGRAM"/>
      <sheetName val="Projet, methodes &amp; couts"/>
      <sheetName val="Macro1"/>
      <sheetName val="Planning"/>
      <sheetName val="TAHRIR"/>
      <sheetName val="Bases"/>
      <sheetName val="Risques majeurs &amp; Frais Ind."/>
      <sheetName val="Bouclage"/>
      <sheetName val="AREG_05"/>
      <sheetName val="CT Thang Mo"/>
      <sheetName val="Lab Cum Hist"/>
      <sheetName val="ancillary"/>
      <sheetName val="改加胶玻璃、室外栏杆"/>
      <sheetName val=""/>
      <sheetName val="BOQ"/>
      <sheetName val="Bill No. 2"/>
      <sheetName val="intr stool brkup"/>
      <sheetName val="budget summary (2)"/>
      <sheetName val="Budget Analysis Summary"/>
      <sheetName val="Sheet2"/>
      <sheetName val="CT  PL"/>
      <sheetName val="CASHFLOWS"/>
      <sheetName val="LEVEL SHEET"/>
      <sheetName val="FOL - Bar"/>
      <sheetName val="SPT vs PHI"/>
      <sheetName val="ANNEXURE-A"/>
      <sheetName val="Sheet1"/>
      <sheetName val="Data"/>
      <sheetName val="Tender Summary"/>
      <sheetName val="Insurance Ext"/>
      <sheetName val="Prelims"/>
      <sheetName val="LABOUR_HISTOGRAM"/>
      <sheetName val="JAS"/>
      <sheetName val="List"/>
      <sheetName val="Body Sheet"/>
      <sheetName val="1.0 Executive Summary"/>
      <sheetName val="HQ-TO"/>
      <sheetName val="Customize Your Invoice"/>
      <sheetName val="B"/>
      <sheetName val="HVAC BoQ"/>
      <sheetName val="PriceSummary"/>
      <sheetName val="企业表一"/>
      <sheetName val="M-5C"/>
      <sheetName val="M-5A"/>
      <sheetName val="Budget"/>
      <sheetName val="GFA_HQ_Building1"/>
      <sheetName val="GFA_Conference1"/>
      <sheetName val="BQ_External1"/>
      <sheetName val="Penthouse_Apartment"/>
      <sheetName val="StattCo_yCharges"/>
      <sheetName val="Raw_Data"/>
      <sheetName val="@risk_rents_and_incentives"/>
      <sheetName val="Car_park_lease"/>
      <sheetName val="Net_rent_analysis"/>
      <sheetName val="Poz-1_"/>
      <sheetName val="Chiet_tinh_dz22"/>
      <sheetName val="Chiet_tinh_dz35"/>
      <sheetName val="Lab_Cum_Hist"/>
      <sheetName val="Graph_Data_(DO_NOT_PRINT)"/>
      <sheetName val="Projet,_methodes_&amp;_couts"/>
      <sheetName val="Risques_majeurs_&amp;_Frais_Ind_"/>
      <sheetName val="CT_Thang_Mo"/>
      <sheetName val="Bill_No__2"/>
      <sheetName val="SPT_vs_PHI"/>
      <sheetName val="budget_summary_(2)"/>
      <sheetName val="Budget_Analysis_Summary"/>
      <sheetName val="CT__PL"/>
      <sheetName val="LEVEL_SHEET"/>
      <sheetName val="FOL_-_Bar"/>
      <sheetName val="Currencies"/>
      <sheetName val="Ap A"/>
      <sheetName val="COC"/>
      <sheetName val="ConferenceCentre_x0000_옰ʒ䄂ʒ鵠ʐ䄂ʒ閐̐䄂ʒ蕈̐"/>
      <sheetName val="Bill 1"/>
      <sheetName val="Bill 2"/>
      <sheetName val="Bill 3"/>
      <sheetName val="Bill 4"/>
      <sheetName val="Bill 5"/>
      <sheetName val="Bill 6"/>
      <sheetName val="Bill 7"/>
      <sheetName val="POWER"/>
      <sheetName val="MTP"/>
      <sheetName val="Rate analysis"/>
      <sheetName val="concrete"/>
      <sheetName val="beam-reinft-IIInd floor"/>
      <sheetName val="Top sheet"/>
      <sheetName val="SHOPLIST.xls"/>
      <sheetName val="Geneí¬_x0008_i_x0000__x0000__x0014__x0000_0."/>
      <sheetName val="70_x0000_,/0_x0000_s«_x0008_i_x0000_Æø_x0003_í¬_x0008_i_x0000_"/>
      <sheetName val="LABOUR_HISTOGRAM1"/>
      <sheetName val="기계내역서"/>
      <sheetName val="DATAS"/>
      <sheetName val="Inputs"/>
      <sheetName val="2 Div 14 "/>
      <sheetName val="Sheet3"/>
      <sheetName val="beam-reinft-machine rm"/>
      <sheetName val="girder"/>
      <sheetName val="Rocker"/>
      <sheetName val="98Price"/>
      <sheetName val="POWER ASSUMPTIONS"/>
      <sheetName val="Rate_Analysis"/>
      <sheetName val="ACT_SPS"/>
      <sheetName val="SPSF"/>
      <sheetName val="Invoice Summary"/>
      <sheetName val="SAP"/>
      <sheetName val="PROJECT BRIEF"/>
      <sheetName val="Civil Boq"/>
      <sheetName val="Tender_Summary"/>
      <sheetName val="Insurance_Ext"/>
      <sheetName val="C (3)"/>
      <sheetName val="공종별_집계금액"/>
      <sheetName val="Customize_Your_Invoice"/>
      <sheetName val="HVAC_BoQ"/>
      <sheetName val="Dubai golf"/>
      <sheetName val="GFA_HQ_Building2"/>
      <sheetName val="GFA_Conference2"/>
      <sheetName val="BQ_External2"/>
      <sheetName val="Penthouse_Apartment1"/>
      <sheetName val="StattCo_yCharges1"/>
      <sheetName val="Raw_Data1"/>
      <sheetName val="Bill_No__21"/>
      <sheetName val="Graph_Data_(DO_NOT_PRINT)1"/>
      <sheetName val="Chiet_tinh_dz221"/>
      <sheetName val="Chiet_tinh_dz351"/>
      <sheetName val="CT_Thang_Mo1"/>
      <sheetName val="@risk_rents_and_incentives1"/>
      <sheetName val="Car_park_lease1"/>
      <sheetName val="Net_rent_analysis1"/>
      <sheetName val="Poz-1_1"/>
      <sheetName val="Lab_Cum_Hist1"/>
      <sheetName val="FOL_-_Bar1"/>
      <sheetName val="LEVEL_SHEET1"/>
      <sheetName val="SPT_vs_PHI1"/>
      <sheetName val="budget_summary_(2)1"/>
      <sheetName val="Budget_Analysis_Summary1"/>
      <sheetName val="Projet,_methodes_&amp;_couts1"/>
      <sheetName val="Risques_majeurs_&amp;_Frais_Ind_1"/>
      <sheetName val="CT__PL1"/>
      <sheetName val="intr_stool_brkup"/>
      <sheetName val="Top_sheet"/>
      <sheetName val="Body_Sheet"/>
      <sheetName val="1_0_Executive_Summary"/>
      <sheetName val="마산월령동골조물량변경"/>
      <sheetName val="Wall"/>
      <sheetName val="WITHOUT C&amp;I PROFIT (3)"/>
      <sheetName val="250mm"/>
      <sheetName val="200mm"/>
      <sheetName val="160mm"/>
      <sheetName val="FITTINGS"/>
      <sheetName val="VALVE CHAMBERS"/>
      <sheetName val="Fire Hydrants"/>
      <sheetName val="B.GATE VALVE"/>
      <sheetName val="Sub G1 Fire"/>
      <sheetName val="Sub G12 Fire"/>
      <sheetName val="Softscape Buildup"/>
      <sheetName val="Mat'l Rate"/>
      <sheetName val="GFA_HQ_Building3"/>
      <sheetName val="GFA_Conference3"/>
      <sheetName val="StattCo_yCharges2"/>
      <sheetName val="BQ_External3"/>
      <sheetName val="Penthouse_Apartment2"/>
      <sheetName val="LABOUR_HISTOGRAM3"/>
      <sheetName val="Chiet_tinh_dz222"/>
      <sheetName val="Chiet_tinh_dz352"/>
      <sheetName val="CT_Thang_Mo2"/>
      <sheetName val="Raw_Data2"/>
      <sheetName val="@risk_rents_and_incentives2"/>
      <sheetName val="Car_park_lease2"/>
      <sheetName val="Net_rent_analysis2"/>
      <sheetName val="Poz-1_2"/>
      <sheetName val="Lab_Cum_Hist2"/>
      <sheetName val="Graph_Data_(DO_NOT_PRINT)2"/>
      <sheetName val="LEVEL_SHEET2"/>
      <sheetName val="Bill_No__22"/>
      <sheetName val="Tender_Summary2"/>
      <sheetName val="Insurance_Ext2"/>
      <sheetName val="FOL_-_Bar2"/>
      <sheetName val="SPT_vs_PHI2"/>
      <sheetName val="Customize_Your_Invoice2"/>
      <sheetName val="HVAC_BoQ2"/>
      <sheetName val="Body_Sheet1"/>
      <sheetName val="1_0_Executive_Summary1"/>
      <sheetName val="Top_sheet1"/>
      <sheetName val="intr_stool_brkup1"/>
      <sheetName val="Rate_analysis1"/>
      <sheetName val="LABOUR_HISTOGRAM2"/>
      <sheetName val="Tender_Summary1"/>
      <sheetName val="Insurance_Ext1"/>
      <sheetName val="Customize_Your_Invoice1"/>
      <sheetName val="HVAC_BoQ1"/>
      <sheetName val="GFA_HQ_Building4"/>
      <sheetName val="GFA_Conference4"/>
      <sheetName val="StattCo_yCharges3"/>
      <sheetName val="BQ_External4"/>
      <sheetName val="Penthouse_Apartment3"/>
      <sheetName val="LABOUR_HISTOGRAM4"/>
      <sheetName val="Chiet_tinh_dz223"/>
      <sheetName val="Chiet_tinh_dz353"/>
      <sheetName val="CT_Thang_Mo3"/>
      <sheetName val="Raw_Data3"/>
      <sheetName val="@risk_rents_and_incentives3"/>
      <sheetName val="Car_park_lease3"/>
      <sheetName val="Net_rent_analysis3"/>
      <sheetName val="Poz-1_3"/>
      <sheetName val="Lab_Cum_Hist3"/>
      <sheetName val="Graph_Data_(DO_NOT_PRINT)3"/>
      <sheetName val="LEVEL_SHEET3"/>
      <sheetName val="Bill_No__23"/>
      <sheetName val="Tender_Summary3"/>
      <sheetName val="Insurance_Ext3"/>
      <sheetName val="FOL_-_Bar3"/>
      <sheetName val="SPT_vs_PHI3"/>
      <sheetName val="Customize_Your_Invoice3"/>
      <sheetName val="HVAC_BoQ3"/>
      <sheetName val="budget_summary_(2)2"/>
      <sheetName val="Budget_Analysis_Summary2"/>
      <sheetName val="Body_Sheet2"/>
      <sheetName val="1_0_Executive_Summary2"/>
      <sheetName val="Projet,_methodes_&amp;_couts2"/>
      <sheetName val="Risques_majeurs_&amp;_Frais_Ind_2"/>
      <sheetName val="CT__PL2"/>
      <sheetName val="Top_sheet2"/>
      <sheetName val="intr_stool_brkup2"/>
      <sheetName val="Rate_analysis2"/>
      <sheetName val="GFA_HQ_Building5"/>
      <sheetName val="GFA_Conference5"/>
      <sheetName val="StattCo_yCharges4"/>
      <sheetName val="BQ_External5"/>
      <sheetName val="Penthouse_Apartment4"/>
      <sheetName val="LABOUR_HISTOGRAM5"/>
      <sheetName val="Chiet_tinh_dz224"/>
      <sheetName val="Chiet_tinh_dz354"/>
      <sheetName val="CT_Thang_Mo4"/>
      <sheetName val="Raw_Data4"/>
      <sheetName val="@risk_rents_and_incentives4"/>
      <sheetName val="Car_park_lease4"/>
      <sheetName val="Net_rent_analysis4"/>
      <sheetName val="Poz-1_4"/>
      <sheetName val="Lab_Cum_Hist4"/>
      <sheetName val="Graph_Data_(DO_NOT_PRINT)4"/>
      <sheetName val="LEVEL_SHEET4"/>
      <sheetName val="Bill_No__24"/>
      <sheetName val="Tender_Summary4"/>
      <sheetName val="Insurance_Ext4"/>
      <sheetName val="FOL_-_Bar4"/>
      <sheetName val="SPT_vs_PHI4"/>
      <sheetName val="Customize_Your_Invoice4"/>
      <sheetName val="HVAC_BoQ4"/>
      <sheetName val="budget_summary_(2)3"/>
      <sheetName val="Budget_Analysis_Summary3"/>
      <sheetName val="Body_Sheet3"/>
      <sheetName val="1_0_Executive_Summary3"/>
      <sheetName val="Projet,_methodes_&amp;_couts3"/>
      <sheetName val="Risques_majeurs_&amp;_Frais_Ind_3"/>
      <sheetName val="CT__PL3"/>
      <sheetName val="Top_sheet3"/>
      <sheetName val="intr_stool_brkup3"/>
      <sheetName val="Rate_analysis3"/>
      <sheetName val="CODE"/>
      <sheetName val="HIRED LABOUR CODE"/>
      <sheetName val="PA- Consutant "/>
      <sheetName val="Design"/>
      <sheetName val="upa"/>
      <sheetName val="foot-slab reinft"/>
      <sheetName val="Activity List"/>
      <sheetName val="Geneí¬_x0008_i"/>
      <sheetName val="70"/>
      <sheetName val="ABSTRACT"/>
      <sheetName val="DETAILED  BOQ"/>
      <sheetName val="M-Book for Conc"/>
      <sheetName val="M-Book for FW"/>
      <sheetName val="Vehicles"/>
      <sheetName val="BILL COV"/>
      <sheetName val="Ra  stair"/>
      <sheetName val="PROJECT_BRIEF1"/>
      <sheetName val="Geneí¬i0_"/>
      <sheetName val="70,/0s«iÆøí¬i"/>
      <sheetName val="Bill_22"/>
      <sheetName val="C_(3)1"/>
      <sheetName val="Ap_A1"/>
      <sheetName val="2_Div_14_1"/>
      <sheetName val="Bill_11"/>
      <sheetName val="Bill_31"/>
      <sheetName val="Bill_41"/>
      <sheetName val="Bill_51"/>
      <sheetName val="Bill_61"/>
      <sheetName val="Bill_71"/>
      <sheetName val="SHOPLIST_xls"/>
      <sheetName val="Dubai_golf"/>
      <sheetName val="beam-reinft-IIInd_floor"/>
      <sheetName val="Invoice_Summary"/>
      <sheetName val="POWER_ASSUMPTIONS"/>
      <sheetName val="beam-reinft-machine_rm"/>
      <sheetName val="PROJECT_BRIEF"/>
      <sheetName val="Bill_21"/>
      <sheetName val="C_(3)"/>
      <sheetName val="Ap_A"/>
      <sheetName val="2_Div_14_"/>
      <sheetName val="MOS"/>
      <sheetName val="GFA_HQ_Building6"/>
      <sheetName val="GFA_Conference6"/>
      <sheetName val="BQ_External6"/>
      <sheetName val="Raw_Data5"/>
      <sheetName val="Penthouse_Apartment5"/>
      <sheetName val="StattCo_yCharges5"/>
      <sheetName val="@risk_rents_and_incentives5"/>
      <sheetName val="Car_park_lease5"/>
      <sheetName val="Net_rent_analysis5"/>
      <sheetName val="Poz-1_5"/>
      <sheetName val="Chiet_tinh_dz225"/>
      <sheetName val="Chiet_tinh_dz355"/>
      <sheetName val="LEVEL_SHEET5"/>
      <sheetName val="LABOUR_HISTOGRAM6"/>
      <sheetName val="Lab_Cum_Hist5"/>
      <sheetName val="Graph_Data_(DO_NOT_PRINT)5"/>
      <sheetName val="Body_Sheet4"/>
      <sheetName val="1_0_Executive_Summary4"/>
      <sheetName val="CT_Thang_Mo5"/>
      <sheetName val="Customize_Your_Invoice5"/>
      <sheetName val="HVAC_BoQ5"/>
      <sheetName val="Bill_No__25"/>
      <sheetName val="budget_summary_(2)4"/>
      <sheetName val="Budget_Analysis_Summary4"/>
      <sheetName val="Projet,_methodes_&amp;_couts4"/>
      <sheetName val="Risques_majeurs_&amp;_Frais_Ind_4"/>
      <sheetName val="SPT_vs_PHI5"/>
      <sheetName val="CT__PL4"/>
      <sheetName val="FOL_-_Bar5"/>
      <sheetName val="Tender_Summary5"/>
      <sheetName val="Insurance_Ext5"/>
      <sheetName val="Top_sheet4"/>
      <sheetName val="intr_stool_brkup4"/>
      <sheetName val="2_Div_14_2"/>
      <sheetName val="SHOPLIST_xls1"/>
      <sheetName val="Bill_23"/>
      <sheetName val="Ap_A2"/>
      <sheetName val="Bill_12"/>
      <sheetName val="Bill_32"/>
      <sheetName val="Bill_42"/>
      <sheetName val="Bill_52"/>
      <sheetName val="Bill_62"/>
      <sheetName val="Bill_72"/>
      <sheetName val="Invoice_Summary1"/>
      <sheetName val="beam-reinft-IIInd_floor1"/>
      <sheetName val="beam-reinft-machine_rm1"/>
      <sheetName val="PROJECT_BRIEF2"/>
      <sheetName val="C_(3)2"/>
      <sheetName val="POWER_ASSUMPTIONS1"/>
      <sheetName val="Dubai_golf1"/>
      <sheetName val="WITHOUT_C&amp;I_PROFIT_(3)"/>
      <sheetName val="Geneí¬i"/>
      <sheetName val="Civil_Boq"/>
      <sheetName val="DETAILED__BOQ"/>
      <sheetName val="M-Book_for_Conc"/>
      <sheetName val="M-Book_for_FW"/>
      <sheetName val="Activity_List"/>
      <sheetName val="HIRED_LABOUR_CODE"/>
      <sheetName val="PA-_Consutant_"/>
      <sheetName val="foot-slab_reinft"/>
      <sheetName val="B03"/>
      <sheetName val="B09.1"/>
      <sheetName val="CERTIFICATE"/>
      <sheetName val="Working for RCC"/>
      <sheetName val="ConferenceCentre?옰ʒ䄂ʒ鵠ʐ䄂ʒ閐̐䄂ʒ蕈̐"/>
      <sheetName val="Chiet t"/>
      <sheetName val="Staffing and Rates IA"/>
      <sheetName val="Рабочий лист"/>
      <sheetName val="ФМ"/>
      <sheetName val="Сравнение"/>
      <sheetName val="Materials Cost(PCC)"/>
      <sheetName val="India F&amp;S Template"/>
      <sheetName val="Annex"/>
      <sheetName val="factors"/>
      <sheetName val="P4-B"/>
      <sheetName val="Break_Up"/>
      <sheetName val="RESULT"/>
      <sheetName val="IO LIST"/>
      <sheetName val="Formulas"/>
      <sheetName val="Material "/>
      <sheetName val="Quote Sheet"/>
      <sheetName val="Toolbox"/>
      <sheetName val="bill nb2-Plumbing &amp; Drainag"/>
      <sheetName val="Pl &amp; Dr B"/>
      <sheetName val="Pl &amp; Dr G"/>
      <sheetName val="Pl &amp; Dr M"/>
      <sheetName val="Pl &amp; Dr 1"/>
      <sheetName val="Pl &amp; Dr 2"/>
      <sheetName val="Pl &amp; Dr 3"/>
      <sheetName val="Pl &amp; Dr 4"/>
      <sheetName val="Pl &amp; Dr 5"/>
      <sheetName val="Pl &amp; Dr 6"/>
      <sheetName val="Pl &amp; Dr 7"/>
      <sheetName val="Pl &amp; Dr 8"/>
      <sheetName val="Pl &amp; Dr R"/>
      <sheetName val="FF B"/>
      <sheetName val="FF G"/>
      <sheetName val="FF M"/>
      <sheetName val="FF 1"/>
      <sheetName val="FF 2 "/>
      <sheetName val="FF 3"/>
      <sheetName val="FF 4"/>
      <sheetName val="FF 5"/>
      <sheetName val="FF 6 "/>
      <sheetName val="FF 7"/>
      <sheetName val="FF 8"/>
      <sheetName val="FF R"/>
      <sheetName val="bill nb3-FF"/>
      <sheetName val="HVAC B"/>
      <sheetName val="HVAC G"/>
      <sheetName val="HVAC M"/>
      <sheetName val="HVAC 1"/>
      <sheetName val="HVAC 2"/>
      <sheetName val="HVAC 3"/>
      <sheetName val="HVAC 4"/>
      <sheetName val="HVAC 5"/>
      <sheetName val="HVAC 6"/>
      <sheetName val="HVAC 7"/>
      <sheetName val="HVAC 8"/>
      <sheetName val="HVAC R"/>
      <sheetName val="bill nb4-HVAC"/>
      <sheetName val="Pre"/>
      <sheetName val="SC B"/>
      <sheetName val="SC G"/>
      <sheetName val="SC M"/>
      <sheetName val="SC 1"/>
      <sheetName val="SC 2"/>
      <sheetName val="SC 3"/>
      <sheetName val="SC 4"/>
      <sheetName val="SC 5"/>
      <sheetName val="SC 6"/>
      <sheetName val="SC 7"/>
      <sheetName val="SC 8"/>
      <sheetName val="SC R"/>
      <sheetName val="6-SC"/>
      <sheetName val="AV B"/>
      <sheetName val="AV G"/>
      <sheetName val="AV M"/>
      <sheetName val="AV 1"/>
      <sheetName val="AV 2"/>
      <sheetName val="AV 3"/>
      <sheetName val="AV 4"/>
      <sheetName val="AV 5"/>
      <sheetName val="AV 6"/>
      <sheetName val="AV 7"/>
      <sheetName val="AV 8"/>
      <sheetName val="7-AV"/>
      <sheetName val="EL B"/>
      <sheetName val="ELG"/>
      <sheetName val="EL M"/>
      <sheetName val="EL 1"/>
      <sheetName val="EL 2"/>
      <sheetName val="EL 3"/>
      <sheetName val="EL 4"/>
      <sheetName val="EL 5"/>
      <sheetName val="EL 6"/>
      <sheetName val="EL 7"/>
      <sheetName val="EL 8"/>
      <sheetName val="EL R"/>
      <sheetName val="EL TR"/>
      <sheetName val="8- EL"/>
      <sheetName val="FA B"/>
      <sheetName val="FA G"/>
      <sheetName val="FA M"/>
      <sheetName val="FA 1"/>
      <sheetName val="FA 2"/>
      <sheetName val="FA 3"/>
      <sheetName val="FA 4"/>
      <sheetName val="FA 5"/>
      <sheetName val="FA 6"/>
      <sheetName val="FA 7"/>
      <sheetName val="FA 8"/>
      <sheetName val="FA R"/>
      <sheetName val="9- FA"/>
      <sheetName val="INSTR"/>
      <sheetName val="Day work"/>
      <sheetName val="GFA_HQ_Building8"/>
      <sheetName val="GFA_Conference7"/>
      <sheetName val="BQ_External7"/>
      <sheetName val="Graph_Data_(DO_NOT_PRINT)6"/>
      <sheetName val="Penthouse_Apartment6"/>
      <sheetName val="Chiet_tinh_dz226"/>
      <sheetName val="Chiet_tinh_dz356"/>
      <sheetName val="StattCo_yCharges6"/>
      <sheetName val="Raw_Data6"/>
      <sheetName val="LABOUR_HISTOGRAM7"/>
      <sheetName val="@risk_rents_and_incentives6"/>
      <sheetName val="Car_park_lease6"/>
      <sheetName val="Net_rent_analysis6"/>
      <sheetName val="Poz-1_6"/>
      <sheetName val="CT_Thang_Mo6"/>
      <sheetName val="Lab_Cum_Hist6"/>
      <sheetName val="LEVEL_SHEET6"/>
      <sheetName val="Bill_No__26"/>
      <sheetName val="Tender_Summary6"/>
      <sheetName val="Insurance_Ext6"/>
      <sheetName val="FOL_-_Bar6"/>
      <sheetName val="SPT_vs_PHI6"/>
      <sheetName val="Customize_Your_Invoice6"/>
      <sheetName val="HVAC_BoQ6"/>
      <sheetName val="budget_summary_(2)5"/>
      <sheetName val="Budget_Analysis_Summary5"/>
      <sheetName val="Body_Sheet5"/>
      <sheetName val="1_0_Executive_Summary5"/>
      <sheetName val="Projet,_methodes_&amp;_couts5"/>
      <sheetName val="Risques_majeurs_&amp;_Frais_Ind_5"/>
      <sheetName val="Top_sheet5"/>
      <sheetName val="CT__PL5"/>
      <sheetName val="intr_stool_brkup5"/>
      <sheetName val="Rate_analysis5"/>
      <sheetName val="GFA_HQ_Building7"/>
      <sheetName val="Rate_analysis4"/>
      <sheetName val="Div. 02"/>
      <sheetName val="Div. 03"/>
      <sheetName val="Div. 04"/>
      <sheetName val="Div. 05"/>
      <sheetName val="Div. 06"/>
      <sheetName val="Div. 07"/>
      <sheetName val="Div. 08"/>
      <sheetName val="Div. 09"/>
      <sheetName val="Div. 10"/>
      <sheetName val="Div. 11"/>
      <sheetName val="Div. 12"/>
      <sheetName val="Div.13"/>
      <sheetName val="EXTERNAL WORKS"/>
      <sheetName val="PARAMETER"/>
      <sheetName val="PRODUCTIVITY RATE"/>
      <sheetName val="U.R.A - MASONRY"/>
      <sheetName val="U.R.A - PLASTERING"/>
      <sheetName val="U.R.A - TILING"/>
      <sheetName val="U.R.A - GRANITE"/>
      <sheetName val="V.C 2 - EARTHWORK"/>
      <sheetName val="V.C 9 - CERAMIC"/>
      <sheetName val="V.C 9 - FINISHES"/>
      <sheetName val="Eq. Mobilization"/>
      <sheetName val="RA-markate"/>
      <sheetName val="BOQ_Direct_selling cost"/>
      <sheetName val="Data_Summary"/>
      <sheetName val="Softscape_Buildup"/>
      <sheetName val="Mat'l_Rate"/>
      <sheetName val="Ap_A3"/>
      <sheetName val="2_Div_14_3"/>
      <sheetName val="SHOPLIST_xls2"/>
      <sheetName val="PROJECT_BRIEF3"/>
      <sheetName val="Bill_24"/>
      <sheetName val="C_(3)3"/>
      <sheetName val="Bill_13"/>
      <sheetName val="Bill_33"/>
      <sheetName val="Bill_43"/>
      <sheetName val="Bill_53"/>
      <sheetName val="Bill_63"/>
      <sheetName val="Bill_73"/>
      <sheetName val="Dubai_golf2"/>
      <sheetName val="beam-reinft-IIInd_floor2"/>
      <sheetName val="Invoice_Summary2"/>
      <sheetName val="POWER_ASSUMPTIONS2"/>
      <sheetName val="beam-reinft-machine_rm2"/>
      <sheetName val="Civil_Boq1"/>
      <sheetName val="WITHOUT_C&amp;I_PROFIT_(3)1"/>
      <sheetName val="Activity_List1"/>
      <sheetName val="Softscape_Buildup1"/>
      <sheetName val="Mat'l_Rate1"/>
      <sheetName val="GFA_HQ_Building9"/>
      <sheetName val="GFA_Conference8"/>
      <sheetName val="StattCo_yCharges7"/>
      <sheetName val="BQ_External8"/>
      <sheetName val="Penthouse_Apartment7"/>
      <sheetName val="LABOUR_HISTOGRAM8"/>
      <sheetName val="Chiet_tinh_dz227"/>
      <sheetName val="Chiet_tinh_dz357"/>
      <sheetName val="CT_Thang_Mo7"/>
      <sheetName val="Raw_Data7"/>
      <sheetName val="@risk_rents_and_incentives7"/>
      <sheetName val="Car_park_lease7"/>
      <sheetName val="Net_rent_analysis7"/>
      <sheetName val="Poz-1_7"/>
      <sheetName val="Lab_Cum_Hist7"/>
      <sheetName val="Graph_Data_(DO_NOT_PRINT)7"/>
      <sheetName val="LEVEL_SHEET7"/>
      <sheetName val="SPT_vs_PHI7"/>
      <sheetName val="Bill_No__27"/>
      <sheetName val="Tender_Summary7"/>
      <sheetName val="Insurance_Ext7"/>
      <sheetName val="FOL_-_Bar7"/>
      <sheetName val="Customize_Your_Invoice7"/>
      <sheetName val="HVAC_BoQ7"/>
      <sheetName val="budget_summary_(2)6"/>
      <sheetName val="Budget_Analysis_Summary6"/>
      <sheetName val="Projet,_methodes_&amp;_couts6"/>
      <sheetName val="Risques_majeurs_&amp;_Frais_Ind_6"/>
      <sheetName val="Body_Sheet6"/>
      <sheetName val="1_0_Executive_Summary6"/>
      <sheetName val="Top_sheet6"/>
      <sheetName val="Rate_analysis6"/>
      <sheetName val="intr_stool_brkup6"/>
      <sheetName val="CT__PL6"/>
      <sheetName val="Ap_A4"/>
      <sheetName val="2_Div_14_4"/>
      <sheetName val="SHOPLIST_xls3"/>
      <sheetName val="PROJECT_BRIEF4"/>
      <sheetName val="Bill_25"/>
      <sheetName val="C_(3)4"/>
      <sheetName val="Bill_14"/>
      <sheetName val="Bill_34"/>
      <sheetName val="Bill_44"/>
      <sheetName val="Bill_54"/>
      <sheetName val="Bill_64"/>
      <sheetName val="Bill_74"/>
      <sheetName val="Dubai_golf3"/>
      <sheetName val="beam-reinft-IIInd_floor3"/>
      <sheetName val="Invoice_Summary3"/>
      <sheetName val="POWER_ASSUMPTIONS3"/>
      <sheetName val="beam-reinft-machine_rm3"/>
      <sheetName val="Civil_Boq2"/>
      <sheetName val="WITHOUT_C&amp;I_PROFIT_(3)2"/>
      <sheetName val="Activity_List2"/>
      <sheetName val="Softscape_Buildup2"/>
      <sheetName val="Mat'l_Rate2"/>
      <sheetName val="BILL_COV"/>
      <sheetName val="Ra__stair"/>
      <sheetName val="COLUMN"/>
      <sheetName val="w't table"/>
      <sheetName val="cp-e1"/>
      <sheetName val="갑지"/>
      <sheetName val="15-MECH"/>
      <sheetName val="Dropdown"/>
      <sheetName val="Elemental Buildup"/>
      <sheetName val="77S(O)"/>
      <sheetName val="PointNo.5"/>
      <sheetName val="11-hsd"/>
      <sheetName val="13-septic"/>
      <sheetName val="7-ug"/>
      <sheetName val="2-utility"/>
      <sheetName val="18-misc"/>
      <sheetName val="5-pipe"/>
      <sheetName val="VALVE_CHAMBERS"/>
      <sheetName val="Fire_Hydrants"/>
      <sheetName val="B_GATE_VALVE"/>
      <sheetName val="Sub_G1_Fire"/>
      <sheetName val="Sub_G12_Fire"/>
      <sheetName val="DETAILED__BOQ1"/>
      <sheetName val="M-Book_for_Conc1"/>
      <sheetName val="M-Book_for_FW1"/>
      <sheetName val="HIRED_LABOUR_CODE1"/>
      <sheetName val="PA-_Consutant_1"/>
      <sheetName val="foot-slab_reinft1"/>
      <sheetName val="VALVE_CHAMBERS1"/>
      <sheetName val="Fire_Hydrants1"/>
      <sheetName val="B_GATE_VALVE1"/>
      <sheetName val="Sub_G1_Fire1"/>
      <sheetName val="Sub_G12_Fire1"/>
      <sheetName val="DETAILED__BOQ2"/>
      <sheetName val="M-Book_for_Conc2"/>
      <sheetName val="M-Book_for_FW2"/>
      <sheetName val="Ra__stair1"/>
      <sheetName val="HIRED_LABOUR_CODE2"/>
      <sheetName val="PA-_Consutant_2"/>
      <sheetName val="foot-slab_reinft2"/>
      <sheetName val="BILL_COV1"/>
      <sheetName val="B185-B-2"/>
      <sheetName val="B185-B-3"/>
      <sheetName val="B185-B-4"/>
      <sheetName val="B185-B-5"/>
      <sheetName val="B185-B-6"/>
      <sheetName val="B185-B-7"/>
      <sheetName val="B185-B-8"/>
      <sheetName val="B185-B-9.1"/>
      <sheetName val="B185-B-9.2"/>
      <sheetName val="Materials_Cost(PCC)"/>
      <sheetName val="India_F&amp;S_Template"/>
      <sheetName val="IO_LIST"/>
      <sheetName val="Material_"/>
      <sheetName val="Quote_Sheet"/>
      <sheetName val="Day_work"/>
      <sheetName val="PMWeb data"/>
      <sheetName val="GFA_HQ_Building10"/>
      <sheetName val="GFA_Conference9"/>
      <sheetName val="StattCo_yCharges8"/>
      <sheetName val="BQ_External9"/>
      <sheetName val="Penthouse_Apartment8"/>
      <sheetName val="LABOUR_HISTOGRAM9"/>
      <sheetName val="Chiet_tinh_dz228"/>
      <sheetName val="Chiet_tinh_dz358"/>
      <sheetName val="CT_Thang_Mo8"/>
      <sheetName val="Raw_Data8"/>
      <sheetName val="@risk_rents_and_incentives8"/>
      <sheetName val="Car_park_lease8"/>
      <sheetName val="Net_rent_analysis8"/>
      <sheetName val="Poz-1_8"/>
      <sheetName val="Lab_Cum_Hist8"/>
      <sheetName val="Graph_Data_(DO_NOT_PRINT)8"/>
      <sheetName val="LEVEL_SHEET8"/>
      <sheetName val="SPT_vs_PHI8"/>
      <sheetName val="Bill_No__28"/>
      <sheetName val="Tender_Summary8"/>
      <sheetName val="Insurance_Ext8"/>
      <sheetName val="FOL_-_Bar8"/>
      <sheetName val="Customize_Your_Invoice8"/>
      <sheetName val="HVAC_BoQ8"/>
      <sheetName val="budget_summary_(2)7"/>
      <sheetName val="Budget_Analysis_Summary7"/>
      <sheetName val="Projet,_methodes_&amp;_couts7"/>
      <sheetName val="Risques_majeurs_&amp;_Frais_Ind_7"/>
      <sheetName val="Body_Sheet7"/>
      <sheetName val="1_0_Executive_Summary7"/>
      <sheetName val="Top_sheet7"/>
      <sheetName val="Rate_analysis7"/>
      <sheetName val="intr_stool_brkup7"/>
      <sheetName val="CT__PL7"/>
      <sheetName val="Ap_A5"/>
      <sheetName val="2_Div_14_5"/>
      <sheetName val="SHOPLIST_xls4"/>
      <sheetName val="PROJECT_BRIEF5"/>
      <sheetName val="Bill_26"/>
      <sheetName val="C_(3)5"/>
      <sheetName val="Bill_15"/>
      <sheetName val="Bill_35"/>
      <sheetName val="Bill_45"/>
      <sheetName val="Bill_55"/>
      <sheetName val="Bill_65"/>
      <sheetName val="Bill_75"/>
      <sheetName val="Dubai_golf4"/>
      <sheetName val="beam-reinft-IIInd_floor4"/>
      <sheetName val="Invoice_Summary4"/>
      <sheetName val="POWER_ASSUMPTIONS4"/>
      <sheetName val="beam-reinft-machine_rm4"/>
      <sheetName val="Civil_Boq3"/>
      <sheetName val="WITHOUT_C&amp;I_PROFIT_(3)3"/>
      <sheetName val="Activity_List3"/>
      <sheetName val="Softscape_Buildup3"/>
      <sheetName val="Mat'l_Rate3"/>
      <sheetName val="房屋及建筑物"/>
      <sheetName val="XL4Poppy"/>
      <sheetName val="CHART OF ACCOUNTS"/>
      <sheetName val="E-Bill No.6 A-O"/>
      <sheetName val="Quantity"/>
      <sheetName val="??-BLDG"/>
      <sheetName val="PNT-QUOT-#3"/>
      <sheetName val="COAT&amp;WRAP-QIOT-#3"/>
      <sheetName val="ml"/>
      <sheetName val="col-reinft1"/>
      <sheetName val="ConferenceCentre_x005f_x0000_옰ʒ䄂ʒ鵠ʐ䄂ʒ"/>
      <sheetName val="Geneí¬_x005f_x0008_i_x005f_x0000__x005f_x0000__x0"/>
      <sheetName val="70_x005f_x0000_,/0_x005f_x0000_s«_x005f_x0008_i_x"/>
      <sheetName val="_x005f_x0000__x005f_x0000__x005f_x0000__x005f_x0000__x0"/>
      <sheetName val="escalation"/>
      <sheetName val="ANAL"/>
      <sheetName val="PMWeb_data"/>
      <sheetName val="SS_MH"/>
      <sheetName val="SS MH"/>
      <sheetName val="Table"/>
      <sheetName val="Day_work1"/>
      <sheetName val="Gra¦_x0004_)_x0000__x0000__x0000_VW_x0000__x0000__x0000__x0000__x0000__x0000__x0000__x0000__x0000_ U"/>
      <sheetName val="/VW_x0000_VU_x0000_)_x0000__x0000__x0000_)_x0000__x0000__x0000__x0001__x0000__x0000__x0000_tÏØ0 _x0008__x0000__x0000_ _x0008_"/>
      <sheetName val="/VW_x0000_VU_x0000_)_x0000__x0000__x0000_)_x0000__x0000__x0000__x0001__x0000__x0000__x0000_tÏØ0_x0009__x0008__x0000__x0000__x0009__x0008_"/>
      <sheetName val="Gra¦_x0004_)"/>
      <sheetName val="/VW"/>
      <sheetName val="2.2)Revised Cash Flow"/>
      <sheetName val="70_x005f_x0000_,_0_x005f_x0000_s«_x005f_x0008_i_x"/>
      <sheetName val="Geneí¬_x005f_x0008_i"/>
      <sheetName val="BS"/>
      <sheetName val="GFA_HQ_Building11"/>
      <sheetName val="GFA_Conference10"/>
      <sheetName val="StattCo_yCharges9"/>
      <sheetName val="BQ_External10"/>
      <sheetName val="Penthouse_Apartment9"/>
      <sheetName val="LABOUR_HISTOGRAM10"/>
      <sheetName val="Chiet_tinh_dz229"/>
      <sheetName val="Chiet_tinh_dz359"/>
      <sheetName val="CT_Thang_Mo9"/>
      <sheetName val="Raw_Data9"/>
      <sheetName val="@risk_rents_and_incentives9"/>
      <sheetName val="Car_park_lease9"/>
      <sheetName val="Net_rent_analysis9"/>
      <sheetName val="Poz-1_9"/>
      <sheetName val="Lab_Cum_Hist9"/>
      <sheetName val="Graph_Data_(DO_NOT_PRINT)9"/>
      <sheetName val="LEVEL_SHEET9"/>
      <sheetName val="SPT_vs_PHI9"/>
      <sheetName val="Bill_No__29"/>
      <sheetName val="Tender_Summary9"/>
      <sheetName val="Insurance_Ext9"/>
      <sheetName val="FOL_-_Bar9"/>
      <sheetName val="Customize_Your_Invoice9"/>
      <sheetName val="HVAC_BoQ9"/>
      <sheetName val="budget_summary_(2)8"/>
      <sheetName val="Budget_Analysis_Summary8"/>
      <sheetName val="Projet,_methodes_&amp;_couts8"/>
      <sheetName val="Risques_majeurs_&amp;_Frais_Ind_8"/>
      <sheetName val="Body_Sheet8"/>
      <sheetName val="1_0_Executive_Summary8"/>
      <sheetName val="Top_sheet8"/>
      <sheetName val="Rate_analysis8"/>
      <sheetName val="intr_stool_brkup8"/>
      <sheetName val="CT__PL8"/>
      <sheetName val="Ap_A6"/>
      <sheetName val="2_Div_14_6"/>
      <sheetName val="SHOPLIST_xls5"/>
      <sheetName val="PROJECT_BRIEF6"/>
      <sheetName val="Bill_27"/>
      <sheetName val="C_(3)6"/>
      <sheetName val="Bill_16"/>
      <sheetName val="Bill_36"/>
      <sheetName val="Bill_46"/>
      <sheetName val="Bill_56"/>
      <sheetName val="Bill_66"/>
      <sheetName val="Bill_76"/>
      <sheetName val="Dubai_golf5"/>
      <sheetName val="beam-reinft-IIInd_floor5"/>
      <sheetName val="Invoice_Summary5"/>
      <sheetName val="POWER_ASSUMPTIONS5"/>
      <sheetName val="beam-reinft-machine_rm5"/>
      <sheetName val="Civil_Boq4"/>
      <sheetName val="WITHOUT_C&amp;I_PROFIT_(3)4"/>
      <sheetName val="Activity_List4"/>
      <sheetName val="Softscape_Buildup4"/>
      <sheetName val="Mat'l_Rate4"/>
      <sheetName val="BILL_COV2"/>
      <sheetName val="Ra__stair2"/>
      <sheetName val="Eq__Mobilization"/>
      <sheetName val="Working_for_RCC"/>
      <sheetName val="B185-B-9_1"/>
      <sheetName val="B185-B-9_2"/>
      <sheetName val="BOQ_Direct_selling_cost"/>
      <sheetName val="CHART_OF_ACCOUNTS"/>
      <sheetName val="E-Bill_No_6_A-O"/>
      <sheetName val="B09_1"/>
      <sheetName val="Div__02"/>
      <sheetName val="Div__03"/>
      <sheetName val="Div__04"/>
      <sheetName val="Div__05"/>
      <sheetName val="Div__06"/>
      <sheetName val="Div__07"/>
      <sheetName val="Div__08"/>
      <sheetName val="Div__09"/>
      <sheetName val="Div__10"/>
      <sheetName val="Div__11"/>
      <sheetName val="Div__12"/>
      <sheetName val="Div_13"/>
      <sheetName val="EXTERNAL_WORKS"/>
      <sheetName val="PRODUCTIVITY_RATE"/>
      <sheetName val="U_R_A_-_MASONRY"/>
      <sheetName val="U_R_A_-_PLASTERING"/>
      <sheetName val="U_R_A_-_TILING"/>
      <sheetName val="U_R_A_-_GRANITE"/>
      <sheetName val="V_C_2_-_EARTHWORK"/>
      <sheetName val="V_C_9_-_CERAMIC"/>
      <sheetName val="V_C_9_-_FINISHES"/>
      <sheetName val="집계표(OPTION)"/>
      <sheetName val="Materials_Cost(PCC)1"/>
      <sheetName val="India_F&amp;S_Template1"/>
      <sheetName val="IO_LIST1"/>
      <sheetName val="Material_1"/>
      <sheetName val="Quote_Sheet1"/>
      <sheetName val="Div__021"/>
      <sheetName val="Div__031"/>
      <sheetName val="Div__041"/>
      <sheetName val="Div__051"/>
      <sheetName val="Div__061"/>
      <sheetName val="Div__071"/>
      <sheetName val="Div__081"/>
      <sheetName val="Div__091"/>
      <sheetName val="Div__101"/>
      <sheetName val="Div__111"/>
      <sheetName val="Div__121"/>
      <sheetName val="Div_131"/>
      <sheetName val="EXTERNAL_WORKS1"/>
      <sheetName val="PRODUCTIVITY_RATE1"/>
      <sheetName val="U_R_A_-_MASONRY1"/>
      <sheetName val="U_R_A_-_PLASTERING1"/>
      <sheetName val="U_R_A_-_TILING1"/>
      <sheetName val="U_R_A_-_GRANITE1"/>
      <sheetName val="V_C_2_-_EARTHWORK1"/>
      <sheetName val="V_C_9_-_CERAMIC1"/>
      <sheetName val="V_C_9_-_FINISHES1"/>
      <sheetName val="HIRED_LABOUR_CODE3"/>
      <sheetName val="PA-_Consutant_3"/>
      <sheetName val="foot-slab_reinft3"/>
      <sheetName val="DETAILED__BOQ3"/>
      <sheetName val="M-Book_for_Conc3"/>
      <sheetName val="M-Book_for_FW3"/>
      <sheetName val="VALVE_CHAMBERS2"/>
      <sheetName val="Fire_Hydrants2"/>
      <sheetName val="B_GATE_VALVE2"/>
      <sheetName val="Sub_G1_Fire2"/>
      <sheetName val="Sub_G12_Fire2"/>
      <sheetName val="w't_table"/>
      <sheetName val="bill_nb2-Plumbing_&amp;_Drainag"/>
      <sheetName val="Pl_&amp;_Dr_B"/>
      <sheetName val="Pl_&amp;_Dr_G"/>
      <sheetName val="Pl_&amp;_Dr_M"/>
      <sheetName val="Pl_&amp;_Dr_1"/>
      <sheetName val="Pl_&amp;_Dr_2"/>
      <sheetName val="Pl_&amp;_Dr_3"/>
      <sheetName val="Pl_&amp;_Dr_4"/>
      <sheetName val="Pl_&amp;_Dr_5"/>
      <sheetName val="Pl_&amp;_Dr_6"/>
      <sheetName val="Pl_&amp;_Dr_7"/>
      <sheetName val="Pl_&amp;_Dr_8"/>
      <sheetName val="Pl_&amp;_Dr_R"/>
      <sheetName val="FF_B"/>
      <sheetName val="FF_G"/>
      <sheetName val="FF_M"/>
      <sheetName val="FF_1"/>
      <sheetName val="FF_2_"/>
      <sheetName val="FF_3"/>
      <sheetName val="FF_4"/>
      <sheetName val="FF_5"/>
      <sheetName val="FF_6_"/>
      <sheetName val="FF_7"/>
      <sheetName val="FF_8"/>
      <sheetName val="FF_R"/>
      <sheetName val="bill_nb3-FF"/>
      <sheetName val="HVAC_B"/>
      <sheetName val="HVAC_G"/>
      <sheetName val="HVAC_M"/>
      <sheetName val="HVAC_1"/>
      <sheetName val="HVAC_2"/>
      <sheetName val="HVAC_3"/>
      <sheetName val="HVAC_4"/>
      <sheetName val="HVAC_5"/>
      <sheetName val="HVAC_6"/>
      <sheetName val="HVAC_7"/>
      <sheetName val="HVAC_8"/>
      <sheetName val="HVAC_R"/>
      <sheetName val="bill_nb4-HVAC"/>
      <sheetName val="SC_B"/>
      <sheetName val="SC_G"/>
      <sheetName val="SC_M"/>
      <sheetName val="SC_1"/>
      <sheetName val="SC_2"/>
      <sheetName val="SC_3"/>
      <sheetName val="SC_4"/>
      <sheetName val="SC_5"/>
      <sheetName val="SC_6"/>
      <sheetName val="SC_7"/>
      <sheetName val="SC_8"/>
      <sheetName val="SC_R"/>
      <sheetName val="AV_B"/>
      <sheetName val="AV_G"/>
      <sheetName val="AV_M"/>
      <sheetName val="AV_1"/>
      <sheetName val="AV_2"/>
      <sheetName val="AV_3"/>
      <sheetName val="AV_4"/>
      <sheetName val="AV_5"/>
      <sheetName val="AV_6"/>
      <sheetName val="AV_7"/>
      <sheetName val="AV_8"/>
      <sheetName val="EL_B"/>
      <sheetName val="EL_M"/>
      <sheetName val="EL_1"/>
      <sheetName val="EL_2"/>
      <sheetName val="EL_3"/>
      <sheetName val="EL_4"/>
      <sheetName val="EL_5"/>
      <sheetName val="EL_6"/>
      <sheetName val="EL_7"/>
      <sheetName val="EL_8"/>
      <sheetName val="EL_R"/>
      <sheetName val="EL_TR"/>
      <sheetName val="8-_EL"/>
      <sheetName val="FA_B"/>
      <sheetName val="FA_G"/>
      <sheetName val="FA_M"/>
      <sheetName val="FA_1"/>
      <sheetName val="FA_2"/>
      <sheetName val="FA_3"/>
      <sheetName val="FA_4"/>
      <sheetName val="FA_5"/>
      <sheetName val="FA_6"/>
      <sheetName val="FA_7"/>
      <sheetName val="FA_8"/>
      <sheetName val="FA_R"/>
      <sheetName val="9-_FA"/>
      <sheetName val="SStaff-Sept2013"/>
      <sheetName val="Index List"/>
      <sheetName val="Type List"/>
      <sheetName val="File Types"/>
      <sheetName val="Employee List"/>
      <sheetName val="Division 2"/>
      <sheetName val="Division3"/>
      <sheetName val="Division 4"/>
      <sheetName val="Division 5"/>
      <sheetName val="Division 6"/>
      <sheetName val="Division 7"/>
      <sheetName val="Division 8"/>
      <sheetName val="Division 9"/>
      <sheetName val="Division 10"/>
      <sheetName val="Division11"/>
      <sheetName val="Division 12"/>
      <sheetName val="Division 14"/>
      <sheetName val="Division 21"/>
      <sheetName val="Division 22"/>
      <sheetName val="Division 23"/>
      <sheetName val="Division 26"/>
      <sheetName val="Division 27"/>
      <sheetName val="Division 28"/>
      <sheetName val="Division 31"/>
      <sheetName val="Division 32"/>
      <sheetName val="Division 33"/>
      <sheetName val="SUM"/>
      <sheetName val="SIEMENS"/>
      <sheetName val="입찰내역 발주처 양식"/>
      <sheetName val="Material List "/>
      <sheetName val="B6.2 "/>
      <sheetName val="PointNo_5"/>
      <sheetName val="Elemental_Buildup"/>
      <sheetName val="Рабочий_лист"/>
      <sheetName val="Summary of Work"/>
      <sheetName val="2_2)Revised_Cash_Flow"/>
      <sheetName val="Lists"/>
      <sheetName val="Day_work2"/>
      <sheetName val="Gra¦)VW_U"/>
      <sheetName val="/VWVU))tÏØ0  "/>
      <sheetName val="/VWVU))tÏØ0__"/>
      <sheetName val="LIST DO NOT REMOVE"/>
      <sheetName val="%"/>
      <sheetName val="Demand"/>
      <sheetName val="Occ"/>
      <sheetName val="PRECAST lightconc-II"/>
      <sheetName val="P&amp;L-BDMC"/>
      <sheetName val="final abstract"/>
      <sheetName val="Detail"/>
      <sheetName val="p&amp;m"/>
      <sheetName val="Voucher"/>
      <sheetName val="Staff Acco."/>
      <sheetName val="TBAL9697 -group wise  sdpl"/>
      <sheetName val="Old"/>
      <sheetName val="GFA_HQ_Building12"/>
      <sheetName val="GFA_Conference11"/>
      <sheetName val="BQ_External11"/>
      <sheetName val="Projet,_methodes_&amp;_couts9"/>
      <sheetName val="Risques_majeurs_&amp;_Frais_Ind_9"/>
      <sheetName val="Penthouse_Apartment10"/>
      <sheetName val="LABOUR_HISTOGRAM11"/>
      <sheetName val="StattCo_yCharges10"/>
      <sheetName val="Chiet_tinh_dz2210"/>
      <sheetName val="Chiet_tinh_dz3510"/>
      <sheetName val="Raw_Data10"/>
      <sheetName val="CT_Thang_Mo10"/>
      <sheetName val="LEVEL_SHEET10"/>
      <sheetName val="SPT_vs_PHI10"/>
      <sheetName val="@risk_rents_and_incentives10"/>
      <sheetName val="Car_park_lease10"/>
      <sheetName val="Net_rent_analysis10"/>
      <sheetName val="Poz-1_10"/>
      <sheetName val="Lab_Cum_Hist10"/>
      <sheetName val="Graph_Data_(DO_NOT_PRINT)10"/>
      <sheetName val="Bill_No__210"/>
      <sheetName val="budget_summary_(2)9"/>
      <sheetName val="Budget_Analysis_Summary9"/>
      <sheetName val="Customize_Your_Invoice10"/>
      <sheetName val="HVAC_BoQ10"/>
      <sheetName val="FOL_-_Bar10"/>
      <sheetName val="Tender_Summary10"/>
      <sheetName val="Insurance_Ext10"/>
      <sheetName val="CT__PL9"/>
      <sheetName val="intr_stool_brkup9"/>
      <sheetName val="Top_sheet9"/>
      <sheetName val="Rate_analysis9"/>
      <sheetName val="PROJECT_BRIEF7"/>
      <sheetName val="Body_Sheet9"/>
      <sheetName val="1_0_Executive_Summary9"/>
      <sheetName val="C_(3)7"/>
      <sheetName val="Bill_28"/>
      <sheetName val="Ap_A7"/>
      <sheetName val="2_Div_14_7"/>
      <sheetName val="Bill_17"/>
      <sheetName val="Bill_37"/>
      <sheetName val="Bill_47"/>
      <sheetName val="Bill_57"/>
      <sheetName val="Bill_67"/>
      <sheetName val="Bill_77"/>
      <sheetName val="SHOPLIST_xls6"/>
      <sheetName val="Dubai_golf6"/>
      <sheetName val="beam-reinft-IIInd_floor6"/>
      <sheetName val="Invoice_Summary6"/>
      <sheetName val="POWER_ASSUMPTIONS6"/>
      <sheetName val="beam-reinft-machine_rm6"/>
      <sheetName val="WITHOUT_C&amp;I_PROFIT_(3)5"/>
      <sheetName val="Civil_Boq5"/>
      <sheetName val="Activity_List5"/>
      <sheetName val="Softscape_Buildup5"/>
      <sheetName val="Mat'l_Rate5"/>
      <sheetName val="HIRED_LABOUR_CODE4"/>
      <sheetName val="PA-_Consutant_4"/>
      <sheetName val="foot-slab_reinft4"/>
      <sheetName val="DETAILED__BOQ4"/>
      <sheetName val="M-Book_for_Conc4"/>
      <sheetName val="M-Book_for_FW4"/>
      <sheetName val="BILL_COV3"/>
      <sheetName val="Ra__stair3"/>
      <sheetName val="VALVE_CHAMBERS3"/>
      <sheetName val="Fire_Hydrants3"/>
      <sheetName val="B_GATE_VALVE3"/>
      <sheetName val="Sub_G1_Fire3"/>
      <sheetName val="Sub_G12_Fire3"/>
      <sheetName val="Materials_Cost(PCC)2"/>
      <sheetName val="India_F&amp;S_Template2"/>
      <sheetName val="IO_LIST2"/>
      <sheetName val="Material_2"/>
      <sheetName val="Quote_Sheet2"/>
      <sheetName val="Eq__Mobilization1"/>
      <sheetName val="Working_for_RCC1"/>
      <sheetName val="B185-B-9_11"/>
      <sheetName val="B185-B-9_21"/>
      <sheetName val="BOQ_Direct_selling_cost1"/>
      <sheetName val="CHART_OF_ACCOUNTS1"/>
      <sheetName val="E-Bill_No_6_A-O1"/>
      <sheetName val="B09_11"/>
      <sheetName val="bill_nb2-Plumbing_&amp;_Drainag1"/>
      <sheetName val="Pl_&amp;_Dr_B1"/>
      <sheetName val="Pl_&amp;_Dr_G1"/>
      <sheetName val="Pl_&amp;_Dr_M1"/>
      <sheetName val="Pl_&amp;_Dr_11"/>
      <sheetName val="Pl_&amp;_Dr_21"/>
      <sheetName val="Pl_&amp;_Dr_31"/>
      <sheetName val="Pl_&amp;_Dr_41"/>
      <sheetName val="Pl_&amp;_Dr_51"/>
      <sheetName val="Pl_&amp;_Dr_61"/>
      <sheetName val="Pl_&amp;_Dr_71"/>
      <sheetName val="Pl_&amp;_Dr_81"/>
      <sheetName val="Pl_&amp;_Dr_R1"/>
      <sheetName val="FF_B1"/>
      <sheetName val="FF_G1"/>
      <sheetName val="FF_M1"/>
      <sheetName val="FF_11"/>
      <sheetName val="FF_2_1"/>
      <sheetName val="FF_31"/>
      <sheetName val="FF_41"/>
      <sheetName val="FF_51"/>
      <sheetName val="FF_6_1"/>
      <sheetName val="FF_71"/>
      <sheetName val="FF_81"/>
      <sheetName val="FF_R1"/>
      <sheetName val="bill_nb3-FF1"/>
      <sheetName val="HVAC_B1"/>
      <sheetName val="HVAC_G1"/>
      <sheetName val="HVAC_M1"/>
      <sheetName val="HVAC_11"/>
      <sheetName val="HVAC_21"/>
      <sheetName val="HVAC_31"/>
      <sheetName val="HVAC_41"/>
      <sheetName val="HVAC_51"/>
      <sheetName val="HVAC_61"/>
      <sheetName val="HVAC_71"/>
      <sheetName val="HVAC_81"/>
      <sheetName val="HVAC_R1"/>
      <sheetName val="bill_nb4-HVAC1"/>
      <sheetName val="SC_B1"/>
      <sheetName val="SC_G1"/>
      <sheetName val="SC_M1"/>
      <sheetName val="SC_11"/>
      <sheetName val="SC_21"/>
      <sheetName val="SC_31"/>
      <sheetName val="SC_41"/>
      <sheetName val="SC_51"/>
      <sheetName val="SC_61"/>
      <sheetName val="SC_71"/>
      <sheetName val="SC_81"/>
      <sheetName val="SC_R1"/>
      <sheetName val="AV_B1"/>
      <sheetName val="AV_G1"/>
      <sheetName val="AV_M1"/>
      <sheetName val="AV_11"/>
      <sheetName val="AV_21"/>
      <sheetName val="AV_31"/>
      <sheetName val="AV_41"/>
      <sheetName val="AV_51"/>
      <sheetName val="AV_61"/>
      <sheetName val="AV_71"/>
      <sheetName val="AV_81"/>
      <sheetName val="EL_B1"/>
      <sheetName val="EL_M1"/>
      <sheetName val="EL_11"/>
      <sheetName val="EL_21"/>
      <sheetName val="EL_31"/>
      <sheetName val="EL_41"/>
      <sheetName val="EL_51"/>
      <sheetName val="EL_61"/>
      <sheetName val="EL_71"/>
      <sheetName val="EL_81"/>
      <sheetName val="EL_R1"/>
      <sheetName val="EL_TR1"/>
      <sheetName val="8-_EL1"/>
      <sheetName val="FA_B1"/>
      <sheetName val="FA_G1"/>
      <sheetName val="FA_M1"/>
      <sheetName val="FA_11"/>
      <sheetName val="FA_21"/>
      <sheetName val="FA_31"/>
      <sheetName val="FA_41"/>
      <sheetName val="FA_51"/>
      <sheetName val="FA_61"/>
      <sheetName val="FA_71"/>
      <sheetName val="FA_81"/>
      <sheetName val="FA_R1"/>
      <sheetName val="9-_FA1"/>
      <sheetName val="Div__022"/>
      <sheetName val="Div__032"/>
      <sheetName val="Div__042"/>
      <sheetName val="Div__052"/>
      <sheetName val="Div__062"/>
      <sheetName val="Div__072"/>
      <sheetName val="Div__082"/>
      <sheetName val="Div__092"/>
      <sheetName val="Div__102"/>
      <sheetName val="Div__112"/>
      <sheetName val="Div__122"/>
      <sheetName val="Div_132"/>
      <sheetName val="EXTERNAL_WORKS2"/>
      <sheetName val="PRODUCTIVITY_RATE2"/>
      <sheetName val="U_R_A_-_MASONRY2"/>
      <sheetName val="U_R_A_-_PLASTERING2"/>
      <sheetName val="U_R_A_-_TILING2"/>
      <sheetName val="U_R_A_-_GRANITE2"/>
      <sheetName val="V_C_2_-_EARTHWORK2"/>
      <sheetName val="V_C_9_-_CERAMIC2"/>
      <sheetName val="V_C_9_-_FINISHES2"/>
      <sheetName val="PMWeb_data1"/>
      <sheetName val="w't_table1"/>
      <sheetName val="SS_MH1"/>
      <sheetName val="Chiet_t"/>
      <sheetName val="Staffing_and_Rates_IA"/>
      <sheetName val="Index_List"/>
      <sheetName val="Type_List"/>
      <sheetName val="File_Types"/>
      <sheetName val="Gra¦)"/>
      <sheetName val="입찰내역_발주처_양식"/>
      <sheetName val="Material_List_"/>
      <sheetName val="Elemental_Buildup1"/>
      <sheetName val="PointNo_51"/>
      <sheetName val="B6_2_"/>
      <sheetName val="LIST_DO_NOT_REMOVE"/>
      <sheetName val="VCH-SLC"/>
      <sheetName val="Item- Compact"/>
      <sheetName val="Supplier"/>
      <sheetName val="BLK2"/>
      <sheetName val="BLK3"/>
      <sheetName val="E &amp; R"/>
      <sheetName val="radar"/>
      <sheetName val="UG"/>
      <sheetName val="Earthwork"/>
      <sheetName val="GIAVLIEU"/>
      <sheetName val="Project Cost Breakdown"/>
      <sheetName val="Back up"/>
      <sheetName val="GRSummary"/>
      <sheetName val="SITE WORK"/>
      <sheetName val="office"/>
      <sheetName val="Lab"/>
      <sheetName val="PRECAST_lightconc-II"/>
      <sheetName val="final_abstract"/>
      <sheetName val="PRECAST_lightconc-II1"/>
      <sheetName val="final_abstract1"/>
      <sheetName val="PRECAST_lightconc-II2"/>
      <sheetName val="BOQ_Direct_selling_cost2"/>
      <sheetName val="final_abstract2"/>
      <sheetName val="Materials_Cost(PCC)3"/>
      <sheetName val="India_F&amp;S_Template3"/>
      <sheetName val="IO_LIST3"/>
      <sheetName val="Material_3"/>
      <sheetName val="Quote_Sheet3"/>
      <sheetName val="PRECAST_lightconc-II3"/>
      <sheetName val="BOQ_Direct_selling_cost3"/>
      <sheetName val="final_abstract3"/>
      <sheetName val="Materials_Cost(PCC)4"/>
      <sheetName val="India_F&amp;S_Template4"/>
      <sheetName val="IO_LIST4"/>
      <sheetName val="Material_4"/>
      <sheetName val="Quote_Sheet4"/>
      <sheetName val="PRECAST_lightconc-II4"/>
      <sheetName val="BOQ_Direct_selling_cost4"/>
      <sheetName val="final_abstract4"/>
      <sheetName val="ABS"/>
      <sheetName val="R20_R30_work"/>
      <sheetName val="Ave.wtd.rates"/>
      <sheetName val="Labour &amp; Plant"/>
      <sheetName val="Debits as on 12.04.08"/>
      <sheetName val="Intro"/>
      <sheetName val="STAFFSCHED "/>
      <sheetName val="Progress"/>
      <sheetName val="Prices"/>
      <sheetName val="Rate summary"/>
      <sheetName val="#REF!"/>
      <sheetName val="SW-TEO"/>
      <sheetName val="科目余额表正式"/>
      <sheetName val="Mall waterproofing"/>
      <sheetName val="MSCP waterproofing"/>
      <sheetName val="-----------------"/>
      <sheetName val="Sub_G1_Five"/>
      <sheetName val="BG"/>
      <sheetName val="RAB AR&amp;STR"/>
      <sheetName val="Annex 1 Sect 3a"/>
      <sheetName val="Annex 1 Sect 3a.1"/>
      <sheetName val="Annex 1 Sect 3b"/>
      <sheetName val="Annex 1 Sect 3c"/>
      <sheetName val="HOURLY RATES"/>
      <sheetName val="Division_2"/>
      <sheetName val="Division_4"/>
      <sheetName val="Division_5"/>
      <sheetName val="Division_6"/>
      <sheetName val="Division_7"/>
      <sheetName val="Division_8"/>
      <sheetName val="Division_9"/>
      <sheetName val="Division_10"/>
      <sheetName val="Division_12"/>
      <sheetName val="Division_14"/>
      <sheetName val="Division_21"/>
      <sheetName val="Division_22"/>
      <sheetName val="Division_23"/>
      <sheetName val="Division_26"/>
      <sheetName val="Division_27"/>
      <sheetName val="Division_28"/>
      <sheetName val="Division_31"/>
      <sheetName val="Division_32"/>
      <sheetName val="Division_33"/>
      <sheetName val="train cash"/>
      <sheetName val="accom cash"/>
      <sheetName val="ConferenceCentre_x0000_옰ʒ䄂ʒ鵠ʐ䄂ʒ"/>
      <sheetName val="Geneí¬_x0008_i_x0000__x0000__x0"/>
      <sheetName val="70_x0000_,_0_x0000_s«_x0008_i_x"/>
      <sheetName val="_x0000__x0000__x0000__x0000__x0"/>
      <sheetName val="INDIGINEOUS ITEMS "/>
      <sheetName val="Coding"/>
      <sheetName val="d-safe DELUXE"/>
      <sheetName val="PT 141- Site A Landscape"/>
      <sheetName val="Header"/>
      <sheetName val="Risk Breakdown Structure"/>
      <sheetName val="BASE_APR17_HISTOGRAMS"/>
      <sheetName val="PRJDATA"/>
      <sheetName val="Master"/>
      <sheetName val="Geneí¬_x0008_i??_x0014_?0."/>
      <sheetName val="70?,/0?s«_x0008_i?Æø_x0003_í¬_x0008_i?"/>
      <sheetName val="AOP Summary-2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/>
      <sheetData sheetId="169"/>
      <sheetData sheetId="170"/>
      <sheetData sheetId="171"/>
      <sheetData sheetId="172" refreshError="1"/>
      <sheetData sheetId="173" refreshError="1"/>
      <sheetData sheetId="174" refreshError="1"/>
      <sheetData sheetId="175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/>
      <sheetData sheetId="429"/>
      <sheetData sheetId="430"/>
      <sheetData sheetId="43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 refreshError="1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 refreshError="1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 refreshError="1"/>
      <sheetData sheetId="1048" refreshError="1"/>
      <sheetData sheetId="1049" refreshError="1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 refreshError="1"/>
      <sheetData sheetId="1071"/>
      <sheetData sheetId="1072"/>
      <sheetData sheetId="1073"/>
      <sheetData sheetId="1074"/>
      <sheetData sheetId="1075" refreshError="1"/>
      <sheetData sheetId="1076" refreshError="1"/>
      <sheetData sheetId="1077" refreshError="1"/>
      <sheetData sheetId="1078"/>
      <sheetData sheetId="1079"/>
      <sheetData sheetId="1080"/>
      <sheetData sheetId="1081"/>
      <sheetData sheetId="1082"/>
      <sheetData sheetId="1083" refreshError="1"/>
      <sheetData sheetId="1084"/>
      <sheetData sheetId="1085"/>
      <sheetData sheetId="1086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/>
      <sheetData sheetId="1097"/>
      <sheetData sheetId="1098" refreshError="1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 refreshError="1"/>
      <sheetData sheetId="1156" refreshError="1"/>
      <sheetData sheetId="1157" refreshError="1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/>
      <sheetData sheetId="1324"/>
      <sheetData sheetId="1325"/>
      <sheetData sheetId="1326"/>
      <sheetData sheetId="1327" refreshError="1"/>
      <sheetData sheetId="1328" refreshError="1"/>
      <sheetData sheetId="1329" refreshError="1"/>
      <sheetData sheetId="1330"/>
      <sheetData sheetId="1331"/>
      <sheetData sheetId="1332"/>
      <sheetData sheetId="1333"/>
      <sheetData sheetId="1334"/>
      <sheetData sheetId="1335" refreshError="1"/>
      <sheetData sheetId="1336" refreshError="1"/>
      <sheetData sheetId="1337" refreshError="1"/>
      <sheetData sheetId="1338" refreshError="1"/>
      <sheetData sheetId="1339"/>
      <sheetData sheetId="1340"/>
      <sheetData sheetId="1341" refreshError="1"/>
      <sheetData sheetId="1342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/>
      <sheetData sheetId="1349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 refreshError="1"/>
      <sheetData sheetId="1405" refreshError="1"/>
      <sheetData sheetId="140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G"/>
      <sheetName val="H"/>
      <sheetName val="I"/>
      <sheetName val="J"/>
      <sheetName val="K"/>
      <sheetName val="L"/>
      <sheetName val="M"/>
      <sheetName val="N"/>
      <sheetName val="O"/>
      <sheetName val="P"/>
      <sheetName val="Q"/>
      <sheetName val="R"/>
      <sheetName val="S"/>
      <sheetName val="T"/>
      <sheetName val="U"/>
      <sheetName val="V"/>
      <sheetName val="W"/>
      <sheetName val="X"/>
      <sheetName val="Y"/>
      <sheetName val="Z"/>
      <sheetName val="AA"/>
      <sheetName val="Cash1"/>
      <sheetName val="Cash2"/>
      <sheetName val="Cash_Sum"/>
      <sheetName val="Scope"/>
      <sheetName val="katsayı"/>
      <sheetName val="Testing"/>
      <sheetName val="Qo-1585"/>
      <sheetName val="ANALIZ"/>
      <sheetName val="③赤紙(日文)"/>
      <sheetName val="KADIKES2"/>
      <sheetName val="Co_Ef"/>
      <sheetName val="Co Eff"/>
      <sheetName val="C1ㅇ"/>
      <sheetName val="Base BM-rebar"/>
      <sheetName val="Raw Data"/>
      <sheetName val="List"/>
      <sheetName val="BOQ"/>
      <sheetName val="TESİSAT"/>
      <sheetName val="Fit Out B2a"/>
      <sheetName val="Option"/>
      <sheetName val="C3"/>
      <sheetName val="FOL - Bar"/>
      <sheetName val="기계내역서"/>
      <sheetName val="Calendar"/>
      <sheetName val="Payments and Cash Calls"/>
      <sheetName val="Day work"/>
      <sheetName val="Base_BM-rebar"/>
      <sheetName val="Raw_Data"/>
      <sheetName val="COST"/>
      <sheetName val="FitOutConfCentre"/>
      <sheetName val="#REF"/>
      <sheetName val="KABLO"/>
      <sheetName val="Trade"/>
      <sheetName val="Sheet1"/>
      <sheetName val="SubmitCal"/>
      <sheetName val="1"/>
      <sheetName val="Schedules"/>
      <sheetName val="analizler"/>
      <sheetName val="Register"/>
      <sheetName val="공사내역"/>
      <sheetName val="1.11.b"/>
      <sheetName val="mvac_Offer"/>
      <sheetName val="mvac_BOQ"/>
      <sheetName val="Summary"/>
      <sheetName val="Factors"/>
      <sheetName val="AOP Summary-2"/>
      <sheetName val="Chiet tinh dz22"/>
      <sheetName val="입찰내역 발주처 양식"/>
      <sheetName val="NPV"/>
      <sheetName val="Co_Eff"/>
      <sheetName val="Base_BM-rebar1"/>
      <sheetName val="Raw_Data1"/>
      <sheetName val="Fit_Out_B2a"/>
      <sheetName val="FOL_-_Bar"/>
      <sheetName val="Payments_and_Cash_Calls"/>
      <sheetName val="Day_work"/>
      <sheetName val="SPT vs PHI"/>
      <sheetName val="NOTES"/>
      <sheetName val="Fit_Out_B2a1"/>
      <sheetName val="Co_Eff1"/>
      <sheetName val="Chiet_tinh_dz22"/>
      <sheetName val="입찰내역_발주처_양식"/>
      <sheetName val="AOP_Summary-2"/>
      <sheetName val="SPT_vs_PHI"/>
      <sheetName val="Basic Material Costs"/>
      <sheetName val="Control"/>
      <sheetName val="Direct"/>
      <sheetName val="Database"/>
      <sheetName val="Material-1"/>
      <sheetName val="3004"/>
      <sheetName val="SERVICES I"/>
      <sheetName val="rayıc"/>
      <sheetName val="SEX"/>
      <sheetName val="Base_BM-rebar2"/>
      <sheetName val="Raw_Data2"/>
      <sheetName val="FOL_-_Bar1"/>
      <sheetName val="Payments_and_Cash_Calls1"/>
      <sheetName val="Day_work1"/>
      <sheetName val=" N Finansal Eğri"/>
      <sheetName val="HKED.KEŞFİ İmalat"/>
      <sheetName val="YEŞİL DEFTER-İmalat"/>
      <sheetName val="Rapor"/>
      <sheetName val="ESCON"/>
      <sheetName val="34. BLOK EK ISLER-NO1 HAKEDIS"/>
      <sheetName val="Lstsub"/>
      <sheetName val="QUOTE_E"/>
      <sheetName val="item #13  Structur"/>
      <sheetName val="Item # 20 Structure"/>
      <sheetName val="opstat"/>
      <sheetName val="costs"/>
      <sheetName val="sal"/>
      <sheetName val="BQMPALOC"/>
      <sheetName val="MASTER_RATE ANALYSIS"/>
      <sheetName val="Gravel in pond"/>
      <sheetName val="data"/>
      <sheetName val="Eq. Mobilization"/>
      <sheetName val="(Not to print)"/>
      <sheetName val="item_#13__Structur"/>
      <sheetName val="Item_#_20_Structure"/>
      <sheetName val="MASTER_RATE_ANALYSIS"/>
      <sheetName val="Gravel_in_pond"/>
      <sheetName val="Eq__Mobilization"/>
      <sheetName val="报价费率计算表"/>
      <sheetName val="laroux"/>
      <sheetName val="Summary "/>
      <sheetName val="VVa"/>
      <sheetName val="BOQ-FD PA"/>
      <sheetName val="Price List FD PA"/>
      <sheetName val="TABLO-3"/>
      <sheetName val="Degiskenler"/>
      <sheetName val="imput costi par."/>
      <sheetName val="MOS"/>
      <sheetName val="LOB"/>
      <sheetName val="MS08-01 S"/>
      <sheetName val="MS08-01 P"/>
      <sheetName val="Cashflow Analysis"/>
      <sheetName val="Rate Analysis"/>
      <sheetName val="mapping"/>
      <sheetName val="BYBU96"/>
      <sheetName val="DBs"/>
      <sheetName val="Cost Sheet"/>
      <sheetName val="fire detection offer"/>
      <sheetName val="fire detection cost"/>
      <sheetName val="Price List"/>
      <sheetName val="Sayfa1"/>
      <sheetName val="INDIRECT COST"/>
      <sheetName val="Sheet2"/>
      <sheetName val="Sheet3"/>
      <sheetName val="Project"/>
      <sheetName val="PRICE INFO"/>
      <sheetName val="RC SUMMARY"/>
      <sheetName val="LABOUR PRODUCTIVITY-TAV"/>
      <sheetName val="MATERIAL PRICES"/>
      <sheetName val="CONCRETE ANALYSIS"/>
      <sheetName val="PriceSummary"/>
      <sheetName val="Finansal tamamlanma Eğrisi"/>
      <sheetName val="BUS BAR"/>
      <sheetName val="BUTCE KURLARI"/>
      <sheetName val="GBA"/>
      <sheetName val="CLAY"/>
      <sheetName val="Form 6"/>
      <sheetName val="Design"/>
      <sheetName val="Ra  stair"/>
      <sheetName val="fORMAT"/>
      <sheetName val="Certificate "/>
      <sheetName val="Valn Cover"/>
      <sheetName val="Contract P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>
        <row r="179">
          <cell r="T179">
            <v>205</v>
          </cell>
          <cell r="U179">
            <v>218</v>
          </cell>
          <cell r="V179">
            <v>302</v>
          </cell>
          <cell r="W179">
            <v>419</v>
          </cell>
          <cell r="X179">
            <v>433</v>
          </cell>
          <cell r="Y179">
            <v>430</v>
          </cell>
          <cell r="Z179">
            <v>494</v>
          </cell>
          <cell r="AA179">
            <v>520</v>
          </cell>
          <cell r="AB179">
            <v>522</v>
          </cell>
          <cell r="AC179">
            <v>508</v>
          </cell>
          <cell r="AD179">
            <v>581</v>
          </cell>
          <cell r="AE179">
            <v>524</v>
          </cell>
          <cell r="AF179">
            <v>526</v>
          </cell>
          <cell r="AG179">
            <v>502</v>
          </cell>
          <cell r="AH179">
            <v>248</v>
          </cell>
        </row>
        <row r="180">
          <cell r="T180">
            <v>205</v>
          </cell>
          <cell r="U180">
            <v>423</v>
          </cell>
          <cell r="V180">
            <v>725</v>
          </cell>
          <cell r="W180">
            <v>1144</v>
          </cell>
          <cell r="X180">
            <v>1577</v>
          </cell>
          <cell r="Y180">
            <v>2007</v>
          </cell>
          <cell r="Z180">
            <v>2501</v>
          </cell>
          <cell r="AA180">
            <v>3021</v>
          </cell>
          <cell r="AB180">
            <v>3543</v>
          </cell>
          <cell r="AC180">
            <v>4051</v>
          </cell>
          <cell r="AD180">
            <v>4632</v>
          </cell>
          <cell r="AE180">
            <v>5156</v>
          </cell>
          <cell r="AF180">
            <v>5682</v>
          </cell>
          <cell r="AG180">
            <v>6184</v>
          </cell>
          <cell r="AH180">
            <v>6432</v>
          </cell>
        </row>
      </sheetData>
      <sheetData sheetId="25" refreshError="1"/>
      <sheetData sheetId="26" refreshError="1"/>
      <sheetData sheetId="27" refreshError="1">
        <row r="16">
          <cell r="G16">
            <v>3100889.7360623879</v>
          </cell>
          <cell r="J16">
            <v>-3100889.7360623879</v>
          </cell>
          <cell r="K16">
            <v>-3100889.7360623879</v>
          </cell>
        </row>
        <row r="17">
          <cell r="G17">
            <v>934385.75607295427</v>
          </cell>
          <cell r="J17">
            <v>3270260.8906708667</v>
          </cell>
          <cell r="K17">
            <v>169371.15460847877</v>
          </cell>
        </row>
        <row r="18">
          <cell r="G18">
            <v>944284.9960087979</v>
          </cell>
          <cell r="J18">
            <v>-441747.35457777925</v>
          </cell>
          <cell r="K18">
            <v>-272376.19996930048</v>
          </cell>
        </row>
        <row r="19">
          <cell r="G19">
            <v>1100235.2378667907</v>
          </cell>
          <cell r="J19">
            <v>-565829.35575965873</v>
          </cell>
          <cell r="K19">
            <v>-838205.55572895915</v>
          </cell>
        </row>
        <row r="20">
          <cell r="G20">
            <v>1079751.2161132174</v>
          </cell>
          <cell r="J20">
            <v>-339427.47117581428</v>
          </cell>
          <cell r="K20">
            <v>-1177633.0269047734</v>
          </cell>
        </row>
        <row r="21">
          <cell r="G21">
            <v>1123783.6778401346</v>
          </cell>
          <cell r="J21">
            <v>-96645.766817710944</v>
          </cell>
          <cell r="K21">
            <v>-1274278.7937224843</v>
          </cell>
        </row>
        <row r="22">
          <cell r="G22">
            <v>1105143.8836787788</v>
          </cell>
          <cell r="J22">
            <v>-43686.328851310071</v>
          </cell>
          <cell r="K22">
            <v>-1317965.1225737943</v>
          </cell>
        </row>
        <row r="23">
          <cell r="G23">
            <v>1211873.7212221269</v>
          </cell>
          <cell r="J23">
            <v>-157770.37578145368</v>
          </cell>
          <cell r="K23">
            <v>-1475735.498355248</v>
          </cell>
        </row>
        <row r="24">
          <cell r="G24">
            <v>1242897.4469518734</v>
          </cell>
          <cell r="J24">
            <v>-31904.301259564934</v>
          </cell>
          <cell r="K24">
            <v>-1507639.7996148129</v>
          </cell>
        </row>
        <row r="25">
          <cell r="G25">
            <v>1242388.6634660121</v>
          </cell>
          <cell r="J25">
            <v>32340.963578523137</v>
          </cell>
          <cell r="K25">
            <v>-1475298.8360362898</v>
          </cell>
        </row>
        <row r="26">
          <cell r="G26">
            <v>1173097.4003922935</v>
          </cell>
          <cell r="J26">
            <v>106535.03291010531</v>
          </cell>
          <cell r="K26">
            <v>-1368763.8031261845</v>
          </cell>
        </row>
        <row r="27">
          <cell r="G27">
            <v>1246958.3770815907</v>
          </cell>
          <cell r="J27">
            <v>-1645.5875842371024</v>
          </cell>
          <cell r="K27">
            <v>-1370409.3907104216</v>
          </cell>
        </row>
        <row r="28">
          <cell r="G28">
            <v>1129849.8697283007</v>
          </cell>
          <cell r="J28">
            <v>294415.34818107402</v>
          </cell>
          <cell r="K28">
            <v>-1075994.0425293476</v>
          </cell>
        </row>
        <row r="29">
          <cell r="G29">
            <v>1362669.9593027527</v>
          </cell>
          <cell r="J29">
            <v>-78134.719742490212</v>
          </cell>
          <cell r="K29">
            <v>-1154128.7622718378</v>
          </cell>
        </row>
        <row r="30">
          <cell r="G30">
            <v>1257111.2537174637</v>
          </cell>
          <cell r="J30">
            <v>32326.792100662133</v>
          </cell>
          <cell r="K30">
            <v>-1121801.9701711757</v>
          </cell>
        </row>
        <row r="31">
          <cell r="G31">
            <v>766806.14375081041</v>
          </cell>
          <cell r="J31">
            <v>463798.22697295237</v>
          </cell>
          <cell r="K31">
            <v>-658003.7431982233</v>
          </cell>
        </row>
        <row r="32">
          <cell r="J32">
            <v>607947.97597508598</v>
          </cell>
          <cell r="K32">
            <v>-50055.767223137314</v>
          </cell>
        </row>
        <row r="33">
          <cell r="J33">
            <v>0</v>
          </cell>
          <cell r="K33">
            <v>-50055.767223137314</v>
          </cell>
        </row>
        <row r="34">
          <cell r="J34">
            <v>0</v>
          </cell>
          <cell r="K34">
            <v>-50055.767223137314</v>
          </cell>
        </row>
        <row r="35">
          <cell r="J35">
            <v>1051161.6616859552</v>
          </cell>
          <cell r="K35">
            <v>1001105.8944628179</v>
          </cell>
        </row>
        <row r="36">
          <cell r="J36">
            <v>0</v>
          </cell>
          <cell r="K36">
            <v>1001105.8944628179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Raw Data"/>
      <sheetName val="Airport Cost Comparisons Rev05"/>
      <sheetName val="Estimate"/>
      <sheetName val="#REF"/>
      <sheetName val="Risk"/>
      <sheetName val="Bech_Lab"/>
      <sheetName val="Direct_Lbr"/>
      <sheetName val="Sheet1"/>
      <sheetName val="WAGERATE BY CRAFT"/>
      <sheetName val="Rates"/>
      <sheetName val="Detail"/>
      <sheetName val="A"/>
      <sheetName val="B"/>
      <sheetName val="Salary Ranges"/>
      <sheetName val="As sold PFS"/>
      <sheetName val="Input"/>
      <sheetName val="Period -Worksheet"/>
      <sheetName val="@RISK Correlations"/>
      <sheetName val="Labour"/>
      <sheetName val="Project Info"/>
      <sheetName val="Link In"/>
      <sheetName val="CRF-BE Rates"/>
      <sheetName val="Project Work Off Contribution"/>
      <sheetName val="H.O. RATES"/>
      <sheetName val="FIELD RATES"/>
      <sheetName val="COVER"/>
      <sheetName val="TOTAL SCHEDULE"/>
      <sheetName val="Man-Plan Forecast"/>
      <sheetName val="COEFF"/>
      <sheetName val="SubmitCal"/>
      <sheetName val="#3E1_GCR"/>
      <sheetName val=" GULF"/>
      <sheetName val="Sheet2"/>
      <sheetName val="İCMAL"/>
      <sheetName val="BQ"/>
      <sheetName val="keşif özeti"/>
      <sheetName val="BQ External"/>
      <sheetName val="Cash2"/>
      <sheetName val="Z"/>
      <sheetName val="Currency"/>
      <sheetName val="cp-e1"/>
      <sheetName val="General"/>
      <sheetName val="C3"/>
      <sheetName val="w't table"/>
      <sheetName val="İSKONTO  KAR ORANI"/>
      <sheetName val="Kapak"/>
      <sheetName val="ÖN"/>
      <sheetName val="SHOTCRETE ATAŞMAN"/>
      <sheetName val="Ön Kapak"/>
      <sheetName val="fw50+ Kırı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POZLAR"/>
      <sheetName val="YAİS_KATSAYILAR"/>
      <sheetName val="ÖZET"/>
      <sheetName val="Cover"/>
      <sheetName val="Rev sht"/>
      <sheetName val="DB Schedule 36 way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tcmb.gov.tr/kurlar/today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11">
    <tabColor rgb="FF0070C0"/>
    <pageSetUpPr fitToPage="1"/>
  </sheetPr>
  <dimension ref="A1:U91"/>
  <sheetViews>
    <sheetView tabSelected="1" view="pageBreakPreview" topLeftCell="B1" zoomScale="115" zoomScaleNormal="70" zoomScaleSheetLayoutView="115" workbookViewId="0">
      <pane ySplit="9" topLeftCell="A10" activePane="bottomLeft" state="frozen"/>
      <selection pane="bottomLeft" activeCell="H79" sqref="H79"/>
    </sheetView>
  </sheetViews>
  <sheetFormatPr defaultColWidth="8.85546875" defaultRowHeight="15"/>
  <cols>
    <col min="1" max="1" width="8.5703125" style="20" customWidth="1"/>
    <col min="2" max="2" width="37.85546875" style="20" customWidth="1"/>
    <col min="3" max="3" width="7.42578125" style="20" customWidth="1"/>
    <col min="4" max="4" width="4.7109375" style="35" customWidth="1"/>
    <col min="5" max="5" width="14" style="35" customWidth="1"/>
    <col min="6" max="6" width="17.42578125" style="35" customWidth="1"/>
    <col min="7" max="7" width="13.7109375" style="17" customWidth="1"/>
    <col min="8" max="8" width="17.85546875" style="17" customWidth="1"/>
    <col min="9" max="9" width="3.85546875" style="17" customWidth="1"/>
    <col min="10" max="10" width="15.42578125" customWidth="1"/>
    <col min="11" max="11" width="18.28515625" customWidth="1"/>
    <col min="12" max="12" width="13.42578125" customWidth="1"/>
    <col min="13" max="13" width="22.7109375" customWidth="1"/>
    <col min="14" max="14" width="14.7109375" customWidth="1"/>
    <col min="16" max="16" width="15.85546875" customWidth="1"/>
    <col min="17" max="17" width="20.140625" customWidth="1"/>
    <col min="18" max="18" width="16.42578125" customWidth="1"/>
    <col min="19" max="16384" width="8.85546875" style="20"/>
  </cols>
  <sheetData>
    <row r="1" spans="1:21" s="18" customFormat="1">
      <c r="D1" s="19"/>
      <c r="E1" s="19"/>
      <c r="F1" s="19"/>
      <c r="G1" s="19"/>
      <c r="H1" s="19"/>
      <c r="I1" s="19"/>
      <c r="J1"/>
      <c r="K1"/>
      <c r="L1"/>
      <c r="M1"/>
      <c r="N1"/>
      <c r="O1"/>
      <c r="P1"/>
      <c r="Q1"/>
      <c r="R1"/>
      <c r="S1"/>
      <c r="T1"/>
      <c r="U1"/>
    </row>
    <row r="2" spans="1:21" ht="15" customHeight="1">
      <c r="A2" s="66" t="s">
        <v>52</v>
      </c>
      <c r="B2" s="67"/>
      <c r="C2" s="67"/>
      <c r="D2" s="67"/>
      <c r="E2" s="55"/>
      <c r="F2" s="55"/>
      <c r="G2" s="72"/>
      <c r="H2" s="72"/>
      <c r="I2" s="29"/>
      <c r="R2" s="20"/>
    </row>
    <row r="3" spans="1:21" ht="15" customHeight="1">
      <c r="A3" s="68"/>
      <c r="B3" s="69"/>
      <c r="C3" s="69"/>
      <c r="D3" s="69"/>
      <c r="E3" s="56"/>
      <c r="F3" s="56"/>
      <c r="G3" s="65"/>
      <c r="H3" s="65"/>
      <c r="I3" s="30"/>
      <c r="R3" s="20"/>
    </row>
    <row r="4" spans="1:21" ht="15" customHeight="1">
      <c r="A4" s="68"/>
      <c r="B4" s="69"/>
      <c r="C4" s="69"/>
      <c r="D4" s="69"/>
      <c r="E4" s="56"/>
      <c r="F4" s="56"/>
      <c r="G4" s="65"/>
      <c r="H4" s="65"/>
      <c r="I4" s="30"/>
      <c r="R4" s="20"/>
    </row>
    <row r="5" spans="1:21" ht="15" customHeight="1">
      <c r="A5" s="68"/>
      <c r="B5" s="69"/>
      <c r="C5" s="69"/>
      <c r="D5" s="69"/>
      <c r="E5" s="56"/>
      <c r="F5" s="56"/>
      <c r="G5" s="65"/>
      <c r="H5" s="65"/>
      <c r="I5" s="30"/>
      <c r="R5" s="20"/>
    </row>
    <row r="6" spans="1:21" ht="15" customHeight="1">
      <c r="A6" s="68"/>
      <c r="B6" s="69"/>
      <c r="C6" s="69"/>
      <c r="D6" s="69"/>
      <c r="E6" s="56"/>
      <c r="F6" s="56"/>
      <c r="G6" s="73"/>
      <c r="H6" s="74"/>
      <c r="I6" s="31"/>
      <c r="R6" s="20"/>
    </row>
    <row r="7" spans="1:21" ht="15" customHeight="1">
      <c r="A7" s="70"/>
      <c r="B7" s="71"/>
      <c r="C7" s="71"/>
      <c r="D7" s="71"/>
      <c r="E7" s="57"/>
      <c r="F7" s="57"/>
      <c r="G7" s="65"/>
      <c r="H7" s="65"/>
      <c r="I7" s="30"/>
      <c r="R7" s="20"/>
    </row>
    <row r="8" spans="1:21">
      <c r="S8"/>
      <c r="T8"/>
      <c r="U8"/>
    </row>
    <row r="9" spans="1:21" s="23" customFormat="1" ht="38.25" customHeight="1">
      <c r="A9" s="42" t="s">
        <v>39</v>
      </c>
      <c r="B9" s="38" t="s">
        <v>40</v>
      </c>
      <c r="C9" s="41" t="s">
        <v>36</v>
      </c>
      <c r="D9" s="43"/>
      <c r="E9" s="43" t="s">
        <v>104</v>
      </c>
      <c r="F9" s="43" t="s">
        <v>105</v>
      </c>
      <c r="G9" s="37" t="s">
        <v>34</v>
      </c>
      <c r="H9" s="37" t="s">
        <v>35</v>
      </c>
      <c r="I9" s="32"/>
    </row>
    <row r="10" spans="1:21" s="23" customFormat="1" ht="20.100000000000001" customHeight="1">
      <c r="A10" s="50" t="s">
        <v>37</v>
      </c>
      <c r="B10" s="51" t="s">
        <v>53</v>
      </c>
      <c r="C10" s="36"/>
      <c r="D10" s="36"/>
      <c r="E10" s="36"/>
      <c r="F10" s="36"/>
      <c r="G10" s="54"/>
      <c r="H10" s="54"/>
      <c r="I10" s="28"/>
    </row>
    <row r="11" spans="1:21" s="23" customFormat="1" ht="20.100000000000001" customHeight="1">
      <c r="A11" s="45" t="s">
        <v>43</v>
      </c>
      <c r="B11" s="44" t="s">
        <v>44</v>
      </c>
      <c r="C11" s="39"/>
      <c r="D11" s="36"/>
      <c r="E11" s="36"/>
      <c r="F11" s="36"/>
      <c r="G11" s="53"/>
      <c r="H11" s="53"/>
      <c r="I11" s="28"/>
    </row>
    <row r="12" spans="1:21" s="23" customFormat="1" ht="13.5">
      <c r="A12" s="36"/>
      <c r="B12" s="40" t="s">
        <v>65</v>
      </c>
      <c r="C12" s="39">
        <v>6</v>
      </c>
      <c r="D12" s="36" t="s">
        <v>41</v>
      </c>
      <c r="E12" s="77">
        <v>800</v>
      </c>
      <c r="F12" s="63">
        <f>C12*E12</f>
        <v>4800</v>
      </c>
      <c r="G12" s="53">
        <v>750</v>
      </c>
      <c r="H12" s="53">
        <f>C12*G12</f>
        <v>4500</v>
      </c>
      <c r="I12" s="28"/>
    </row>
    <row r="13" spans="1:21" s="23" customFormat="1" ht="13.5">
      <c r="A13" s="36"/>
      <c r="B13" s="40" t="s">
        <v>54</v>
      </c>
      <c r="C13" s="39">
        <v>12</v>
      </c>
      <c r="D13" s="36" t="s">
        <v>41</v>
      </c>
      <c r="E13" s="77">
        <v>630</v>
      </c>
      <c r="F13" s="63">
        <f>E13*C13</f>
        <v>7560</v>
      </c>
      <c r="G13" s="53">
        <v>500</v>
      </c>
      <c r="H13" s="53">
        <f>C13*G13</f>
        <v>6000</v>
      </c>
      <c r="I13" s="28"/>
    </row>
    <row r="14" spans="1:21" s="23" customFormat="1" ht="13.5">
      <c r="A14" s="36"/>
      <c r="B14" s="40" t="s">
        <v>55</v>
      </c>
      <c r="C14" s="39">
        <v>84</v>
      </c>
      <c r="D14" s="36" t="s">
        <v>41</v>
      </c>
      <c r="E14" s="77">
        <v>365</v>
      </c>
      <c r="F14" s="63">
        <f>C14*E14</f>
        <v>30660</v>
      </c>
      <c r="G14" s="53">
        <v>350</v>
      </c>
      <c r="H14" s="53">
        <f>C14*G14</f>
        <v>29400</v>
      </c>
      <c r="I14" s="28"/>
    </row>
    <row r="15" spans="1:21" s="23" customFormat="1" ht="13.5">
      <c r="A15" s="36"/>
      <c r="B15" s="40" t="s">
        <v>56</v>
      </c>
      <c r="C15" s="39">
        <v>336</v>
      </c>
      <c r="D15" s="36" t="s">
        <v>41</v>
      </c>
      <c r="E15" s="77">
        <v>115</v>
      </c>
      <c r="F15" s="63">
        <f>C15*E15</f>
        <v>38640</v>
      </c>
      <c r="G15" s="53">
        <v>100</v>
      </c>
      <c r="H15" s="53">
        <f>C15*G15</f>
        <v>33600</v>
      </c>
      <c r="I15" s="28"/>
    </row>
    <row r="16" spans="1:21" s="23" customFormat="1" ht="13.5">
      <c r="A16" s="46" t="s">
        <v>47</v>
      </c>
      <c r="B16" s="40" t="s">
        <v>45</v>
      </c>
      <c r="C16" s="39">
        <v>1</v>
      </c>
      <c r="D16" s="36" t="s">
        <v>46</v>
      </c>
      <c r="E16" s="63"/>
      <c r="F16" s="63">
        <f>SUM(F12:F14)*0.6</f>
        <v>25812</v>
      </c>
      <c r="G16" s="53"/>
      <c r="H16" s="53"/>
      <c r="I16" s="28"/>
    </row>
    <row r="17" spans="1:9" s="23" customFormat="1" ht="13.5">
      <c r="A17" s="46" t="s">
        <v>89</v>
      </c>
      <c r="B17" s="40" t="s">
        <v>48</v>
      </c>
      <c r="C17" s="39">
        <v>1</v>
      </c>
      <c r="D17" s="36" t="s">
        <v>46</v>
      </c>
      <c r="E17" s="63"/>
      <c r="F17" s="63">
        <f>F15*0.3</f>
        <v>11592</v>
      </c>
      <c r="G17" s="53"/>
      <c r="H17" s="53"/>
      <c r="I17" s="28"/>
    </row>
    <row r="18" spans="1:9" s="23" customFormat="1" ht="13.5">
      <c r="A18" s="46" t="s">
        <v>88</v>
      </c>
      <c r="B18" s="40" t="s">
        <v>61</v>
      </c>
      <c r="C18" s="39">
        <f>SUM(C12:C15)</f>
        <v>438</v>
      </c>
      <c r="D18" s="36" t="s">
        <v>41</v>
      </c>
      <c r="E18" s="63"/>
      <c r="F18" s="63">
        <v>20000</v>
      </c>
      <c r="G18" s="53">
        <v>35</v>
      </c>
      <c r="H18" s="53">
        <f>C18*G18</f>
        <v>15330</v>
      </c>
      <c r="I18" s="28"/>
    </row>
    <row r="19" spans="1:9" s="23" customFormat="1" ht="20.100000000000001" customHeight="1">
      <c r="A19" s="46"/>
      <c r="B19" s="44" t="s">
        <v>58</v>
      </c>
      <c r="C19" s="39"/>
      <c r="D19" s="36"/>
      <c r="E19" s="36"/>
      <c r="F19" s="36"/>
      <c r="G19" s="53"/>
      <c r="H19" s="53"/>
      <c r="I19" s="28"/>
    </row>
    <row r="20" spans="1:9" s="23" customFormat="1" ht="13.5">
      <c r="A20" s="46" t="s">
        <v>98</v>
      </c>
      <c r="B20" s="40" t="s">
        <v>59</v>
      </c>
      <c r="C20" s="39">
        <v>77</v>
      </c>
      <c r="D20" s="36" t="s">
        <v>42</v>
      </c>
      <c r="E20" s="36"/>
      <c r="F20" s="36"/>
      <c r="G20" s="53">
        <v>500</v>
      </c>
      <c r="H20" s="53">
        <f>C20*G20</f>
        <v>38500</v>
      </c>
      <c r="I20" s="28"/>
    </row>
    <row r="21" spans="1:9" s="23" customFormat="1" ht="13.5">
      <c r="A21" s="46" t="s">
        <v>98</v>
      </c>
      <c r="B21" s="40" t="s">
        <v>60</v>
      </c>
      <c r="C21" s="39">
        <v>6</v>
      </c>
      <c r="D21" s="36" t="s">
        <v>42</v>
      </c>
      <c r="E21" s="36"/>
      <c r="F21" s="36"/>
      <c r="G21" s="53"/>
      <c r="H21" s="53"/>
      <c r="I21" s="28"/>
    </row>
    <row r="22" spans="1:9" s="23" customFormat="1" ht="13.5">
      <c r="A22" s="46" t="s">
        <v>99</v>
      </c>
      <c r="B22" s="40" t="s">
        <v>57</v>
      </c>
      <c r="C22" s="39">
        <v>1</v>
      </c>
      <c r="D22" s="36" t="s">
        <v>42</v>
      </c>
      <c r="E22" s="36"/>
      <c r="F22" s="36"/>
      <c r="G22" s="53">
        <v>20000</v>
      </c>
      <c r="H22" s="53">
        <v>20000</v>
      </c>
      <c r="I22" s="28"/>
    </row>
    <row r="23" spans="1:9" s="23" customFormat="1" ht="13.5">
      <c r="A23" s="46" t="s">
        <v>99</v>
      </c>
      <c r="B23" s="40" t="s">
        <v>62</v>
      </c>
      <c r="C23" s="39">
        <v>1</v>
      </c>
      <c r="D23" s="36" t="s">
        <v>42</v>
      </c>
      <c r="E23" s="36"/>
      <c r="F23" s="36"/>
      <c r="G23" s="53">
        <v>200</v>
      </c>
      <c r="H23" s="53">
        <f>C23*G23</f>
        <v>200</v>
      </c>
      <c r="I23" s="28"/>
    </row>
    <row r="24" spans="1:9" s="23" customFormat="1" ht="13.5">
      <c r="A24" s="46" t="s">
        <v>47</v>
      </c>
      <c r="B24" s="40" t="s">
        <v>63</v>
      </c>
      <c r="C24" s="39">
        <v>1</v>
      </c>
      <c r="D24" s="36" t="s">
        <v>42</v>
      </c>
      <c r="E24" s="36"/>
      <c r="F24" s="36"/>
      <c r="G24" s="53">
        <v>200</v>
      </c>
      <c r="H24" s="53">
        <f>C24*G24</f>
        <v>200</v>
      </c>
      <c r="I24" s="28"/>
    </row>
    <row r="25" spans="1:9" s="23" customFormat="1" ht="13.5">
      <c r="A25" s="46" t="s">
        <v>47</v>
      </c>
      <c r="B25" s="40" t="s">
        <v>87</v>
      </c>
      <c r="C25" s="39">
        <v>2</v>
      </c>
      <c r="D25" s="36" t="s">
        <v>42</v>
      </c>
      <c r="E25" s="36"/>
      <c r="F25" s="36"/>
      <c r="G25" s="53">
        <v>100</v>
      </c>
      <c r="H25" s="53">
        <f>C25*G25</f>
        <v>200</v>
      </c>
      <c r="I25" s="28"/>
    </row>
    <row r="26" spans="1:9" s="23" customFormat="1" ht="13.5">
      <c r="A26" s="46" t="s">
        <v>88</v>
      </c>
      <c r="B26" s="40" t="s">
        <v>90</v>
      </c>
      <c r="C26" s="39">
        <v>1</v>
      </c>
      <c r="D26" s="36" t="s">
        <v>46</v>
      </c>
      <c r="E26" s="63">
        <v>2000</v>
      </c>
      <c r="F26" s="63">
        <f>E26*C26</f>
        <v>2000</v>
      </c>
      <c r="G26" s="53">
        <v>15000</v>
      </c>
      <c r="H26" s="53">
        <v>15000</v>
      </c>
      <c r="I26" s="28"/>
    </row>
    <row r="27" spans="1:9" s="23" customFormat="1" ht="20.100000000000001" customHeight="1">
      <c r="A27" s="46"/>
      <c r="B27" s="44" t="s">
        <v>50</v>
      </c>
      <c r="C27" s="36">
        <v>1</v>
      </c>
      <c r="D27" s="36" t="s">
        <v>46</v>
      </c>
      <c r="E27" s="63">
        <v>25000</v>
      </c>
      <c r="F27" s="63">
        <f>E27*C27</f>
        <v>25000</v>
      </c>
      <c r="G27" s="53">
        <v>50000</v>
      </c>
      <c r="H27" s="53">
        <f>SUM(H12:H15)*0.4</f>
        <v>29400</v>
      </c>
      <c r="I27" s="28"/>
    </row>
    <row r="28" spans="1:9" s="23" customFormat="1" ht="20.100000000000001" customHeight="1">
      <c r="A28" s="50">
        <v>2</v>
      </c>
      <c r="B28" s="51" t="s">
        <v>64</v>
      </c>
      <c r="C28" s="36"/>
      <c r="D28" s="36"/>
      <c r="E28" s="36"/>
      <c r="F28" s="63"/>
      <c r="G28" s="53"/>
      <c r="H28" s="53"/>
      <c r="I28" s="28"/>
    </row>
    <row r="29" spans="1:9" s="23" customFormat="1" ht="19.5" customHeight="1">
      <c r="A29" s="45" t="s">
        <v>43</v>
      </c>
      <c r="B29" s="44" t="s">
        <v>44</v>
      </c>
      <c r="C29" s="39"/>
      <c r="D29" s="36"/>
      <c r="E29" s="36"/>
      <c r="F29" s="63"/>
      <c r="G29" s="53"/>
      <c r="H29" s="53"/>
      <c r="I29" s="28"/>
    </row>
    <row r="30" spans="1:9" s="23" customFormat="1" ht="13.5">
      <c r="A30" s="36"/>
      <c r="B30" s="40" t="s">
        <v>55</v>
      </c>
      <c r="C30" s="39">
        <v>78</v>
      </c>
      <c r="D30" s="36" t="s">
        <v>41</v>
      </c>
      <c r="E30" s="63">
        <v>365</v>
      </c>
      <c r="F30" s="63">
        <f>E30*C30</f>
        <v>28470</v>
      </c>
      <c r="G30" s="53">
        <v>350</v>
      </c>
      <c r="H30" s="53">
        <f>C30*G30</f>
        <v>27300</v>
      </c>
      <c r="I30" s="28"/>
    </row>
    <row r="31" spans="1:9" s="23" customFormat="1" ht="13.5">
      <c r="A31" s="36"/>
      <c r="B31" s="40" t="s">
        <v>66</v>
      </c>
      <c r="C31" s="39">
        <v>72</v>
      </c>
      <c r="D31" s="36" t="s">
        <v>41</v>
      </c>
      <c r="E31" s="63">
        <v>260</v>
      </c>
      <c r="F31" s="63">
        <f>E31*C31</f>
        <v>18720</v>
      </c>
      <c r="G31" s="53">
        <v>300</v>
      </c>
      <c r="H31" s="53">
        <f>C31*G31</f>
        <v>21600</v>
      </c>
      <c r="I31" s="28"/>
    </row>
    <row r="32" spans="1:9" s="23" customFormat="1" ht="13.5">
      <c r="A32" s="36"/>
      <c r="B32" s="40" t="s">
        <v>72</v>
      </c>
      <c r="C32" s="39">
        <v>78</v>
      </c>
      <c r="D32" s="36" t="s">
        <v>41</v>
      </c>
      <c r="E32" s="63">
        <v>205</v>
      </c>
      <c r="F32" s="63">
        <f>E32*C32</f>
        <v>15990</v>
      </c>
      <c r="G32" s="53">
        <v>250</v>
      </c>
      <c r="H32" s="53">
        <f>C32*G32</f>
        <v>19500</v>
      </c>
      <c r="I32" s="28"/>
    </row>
    <row r="33" spans="1:9" s="23" customFormat="1" ht="13.5">
      <c r="A33" s="36"/>
      <c r="B33" s="40" t="s">
        <v>73</v>
      </c>
      <c r="C33" s="39">
        <v>18</v>
      </c>
      <c r="D33" s="36" t="s">
        <v>41</v>
      </c>
      <c r="E33" s="63">
        <v>165</v>
      </c>
      <c r="F33" s="63">
        <f>E33*C33</f>
        <v>2970</v>
      </c>
      <c r="G33" s="53">
        <v>200</v>
      </c>
      <c r="H33" s="53">
        <f>C33*G33</f>
        <v>3600</v>
      </c>
      <c r="I33" s="28"/>
    </row>
    <row r="34" spans="1:9" s="23" customFormat="1" ht="13.5">
      <c r="A34" s="36"/>
      <c r="B34" s="40" t="s">
        <v>56</v>
      </c>
      <c r="C34" s="39">
        <v>84</v>
      </c>
      <c r="D34" s="36" t="s">
        <v>41</v>
      </c>
      <c r="E34" s="63">
        <v>125</v>
      </c>
      <c r="F34" s="63">
        <f>E34*C34</f>
        <v>10500</v>
      </c>
      <c r="G34" s="53">
        <v>100</v>
      </c>
      <c r="H34" s="53">
        <f>C34*G34</f>
        <v>8400</v>
      </c>
      <c r="I34" s="28"/>
    </row>
    <row r="35" spans="1:9" s="23" customFormat="1" ht="13.5">
      <c r="A35" s="46" t="s">
        <v>47</v>
      </c>
      <c r="B35" s="40" t="s">
        <v>45</v>
      </c>
      <c r="C35" s="39">
        <v>1</v>
      </c>
      <c r="D35" s="36" t="s">
        <v>46</v>
      </c>
      <c r="E35" s="63"/>
      <c r="F35" s="63">
        <f>SUM(F30:F32)*0.9</f>
        <v>56862</v>
      </c>
      <c r="G35" s="53"/>
      <c r="H35" s="53"/>
      <c r="I35" s="28"/>
    </row>
    <row r="36" spans="1:9" s="23" customFormat="1" ht="13.5">
      <c r="A36" s="46" t="s">
        <v>89</v>
      </c>
      <c r="B36" s="40" t="s">
        <v>48</v>
      </c>
      <c r="C36" s="39">
        <v>1</v>
      </c>
      <c r="D36" s="36" t="s">
        <v>46</v>
      </c>
      <c r="E36" s="63"/>
      <c r="F36" s="63">
        <f>SUM(F33:F34)*0.7</f>
        <v>9429</v>
      </c>
      <c r="G36" s="53"/>
      <c r="H36" s="53"/>
      <c r="I36" s="28"/>
    </row>
    <row r="37" spans="1:9" s="23" customFormat="1" ht="13.5">
      <c r="A37" s="46" t="s">
        <v>88</v>
      </c>
      <c r="B37" s="40" t="s">
        <v>49</v>
      </c>
      <c r="C37" s="39">
        <f>SUM(C30:C34)</f>
        <v>330</v>
      </c>
      <c r="D37" s="36" t="s">
        <v>41</v>
      </c>
      <c r="E37" s="63"/>
      <c r="F37" s="63">
        <v>10000</v>
      </c>
      <c r="G37" s="53">
        <v>35</v>
      </c>
      <c r="H37" s="53">
        <f>C37*G37</f>
        <v>11550</v>
      </c>
      <c r="I37" s="28"/>
    </row>
    <row r="38" spans="1:9" s="23" customFormat="1" ht="13.5">
      <c r="A38" s="36"/>
      <c r="B38" s="40" t="s">
        <v>92</v>
      </c>
      <c r="C38" s="39">
        <v>4</v>
      </c>
      <c r="D38" s="36" t="s">
        <v>42</v>
      </c>
      <c r="E38" s="63">
        <v>1032</v>
      </c>
      <c r="F38" s="63">
        <f>C38*E38</f>
        <v>4128</v>
      </c>
      <c r="G38" s="53">
        <v>100</v>
      </c>
      <c r="H38" s="53">
        <f>C38*G38</f>
        <v>400</v>
      </c>
      <c r="I38" s="28"/>
    </row>
    <row r="39" spans="1:9" s="23" customFormat="1" ht="13.5">
      <c r="A39" s="36"/>
      <c r="B39" s="40" t="s">
        <v>93</v>
      </c>
      <c r="C39" s="39">
        <v>6</v>
      </c>
      <c r="D39" s="36" t="s">
        <v>42</v>
      </c>
      <c r="E39" s="63">
        <v>456</v>
      </c>
      <c r="F39" s="63">
        <f>C39*E39</f>
        <v>2736</v>
      </c>
      <c r="G39" s="53">
        <v>100</v>
      </c>
      <c r="H39" s="53">
        <f>C39*G39</f>
        <v>600</v>
      </c>
      <c r="I39" s="28"/>
    </row>
    <row r="40" spans="1:9" s="23" customFormat="1" ht="20.100000000000001" customHeight="1">
      <c r="A40" s="46"/>
      <c r="B40" s="44" t="s">
        <v>58</v>
      </c>
      <c r="C40" s="39"/>
      <c r="D40" s="36"/>
      <c r="E40" s="36"/>
      <c r="F40" s="36"/>
      <c r="G40" s="53"/>
      <c r="H40" s="53"/>
      <c r="I40" s="28"/>
    </row>
    <row r="41" spans="1:9" s="23" customFormat="1" ht="13.5">
      <c r="A41" s="46" t="s">
        <v>98</v>
      </c>
      <c r="B41" s="40" t="s">
        <v>75</v>
      </c>
      <c r="C41" s="39">
        <v>22</v>
      </c>
      <c r="D41" s="36" t="s">
        <v>42</v>
      </c>
      <c r="E41" s="36"/>
      <c r="F41" s="36"/>
      <c r="G41" s="53">
        <v>500</v>
      </c>
      <c r="H41" s="53">
        <f>C41*G41</f>
        <v>11000</v>
      </c>
      <c r="I41" s="28"/>
    </row>
    <row r="42" spans="1:9" s="23" customFormat="1" ht="13.5">
      <c r="A42" s="46" t="s">
        <v>78</v>
      </c>
      <c r="B42" s="40" t="s">
        <v>74</v>
      </c>
      <c r="C42" s="39">
        <v>2</v>
      </c>
      <c r="D42" s="36" t="s">
        <v>42</v>
      </c>
      <c r="E42" s="36"/>
      <c r="F42" s="36"/>
      <c r="G42" s="53"/>
      <c r="H42" s="53"/>
      <c r="I42" s="28"/>
    </row>
    <row r="43" spans="1:9" s="23" customFormat="1" ht="13.5">
      <c r="A43" s="52" t="s">
        <v>102</v>
      </c>
      <c r="B43" s="44" t="s">
        <v>76</v>
      </c>
      <c r="C43" s="39">
        <v>2</v>
      </c>
      <c r="D43" s="36" t="s">
        <v>42</v>
      </c>
      <c r="E43" s="36"/>
      <c r="F43" s="36"/>
      <c r="G43" s="53">
        <v>4500</v>
      </c>
      <c r="H43" s="53">
        <f>C43*G43</f>
        <v>9000</v>
      </c>
      <c r="I43" s="28"/>
    </row>
    <row r="44" spans="1:9" s="23" customFormat="1" ht="27">
      <c r="A44" s="46"/>
      <c r="B44" s="40" t="s">
        <v>77</v>
      </c>
      <c r="C44" s="39">
        <v>1</v>
      </c>
      <c r="D44" s="36" t="s">
        <v>42</v>
      </c>
      <c r="E44" s="36"/>
      <c r="F44" s="36"/>
      <c r="G44" s="53"/>
      <c r="H44" s="53">
        <f t="shared" ref="H44:H53" si="0">C44*G44</f>
        <v>0</v>
      </c>
      <c r="I44" s="28"/>
    </row>
    <row r="45" spans="1:9" s="23" customFormat="1" ht="13.5">
      <c r="A45" s="46" t="s">
        <v>100</v>
      </c>
      <c r="B45" s="40" t="s">
        <v>69</v>
      </c>
      <c r="C45" s="39">
        <v>4</v>
      </c>
      <c r="D45" s="36" t="s">
        <v>42</v>
      </c>
      <c r="E45" s="36"/>
      <c r="F45" s="36"/>
      <c r="G45" s="53">
        <v>3000</v>
      </c>
      <c r="H45" s="53">
        <f t="shared" si="0"/>
        <v>12000</v>
      </c>
      <c r="I45" s="28"/>
    </row>
    <row r="46" spans="1:9" s="23" customFormat="1" ht="13.5">
      <c r="A46" s="46" t="s">
        <v>100</v>
      </c>
      <c r="B46" s="40" t="s">
        <v>79</v>
      </c>
      <c r="C46" s="39">
        <v>1</v>
      </c>
      <c r="D46" s="36" t="s">
        <v>42</v>
      </c>
      <c r="E46" s="36"/>
      <c r="F46" s="36"/>
      <c r="G46" s="53">
        <v>2000</v>
      </c>
      <c r="H46" s="53">
        <f t="shared" si="0"/>
        <v>2000</v>
      </c>
      <c r="I46" s="28"/>
    </row>
    <row r="47" spans="1:9" s="23" customFormat="1" ht="13.5">
      <c r="A47" s="46" t="s">
        <v>98</v>
      </c>
      <c r="B47" s="40" t="s">
        <v>80</v>
      </c>
      <c r="C47" s="39">
        <v>1</v>
      </c>
      <c r="D47" s="36" t="s">
        <v>42</v>
      </c>
      <c r="E47" s="36"/>
      <c r="F47" s="36"/>
      <c r="G47" s="53">
        <v>500</v>
      </c>
      <c r="H47" s="53">
        <f t="shared" si="0"/>
        <v>500</v>
      </c>
      <c r="I47" s="28"/>
    </row>
    <row r="48" spans="1:9" s="23" customFormat="1" ht="13.5">
      <c r="A48" s="46" t="s">
        <v>47</v>
      </c>
      <c r="B48" s="40" t="s">
        <v>63</v>
      </c>
      <c r="C48" s="39">
        <v>1</v>
      </c>
      <c r="D48" s="36" t="s">
        <v>42</v>
      </c>
      <c r="E48" s="36"/>
      <c r="F48" s="36"/>
      <c r="G48" s="53">
        <v>100</v>
      </c>
      <c r="H48" s="53">
        <f t="shared" si="0"/>
        <v>100</v>
      </c>
      <c r="I48" s="28"/>
    </row>
    <row r="49" spans="1:9" s="23" customFormat="1" ht="13.5">
      <c r="A49" s="46" t="s">
        <v>98</v>
      </c>
      <c r="B49" s="40" t="s">
        <v>71</v>
      </c>
      <c r="C49" s="39">
        <v>1</v>
      </c>
      <c r="D49" s="36" t="s">
        <v>42</v>
      </c>
      <c r="E49" s="36"/>
      <c r="F49" s="36"/>
      <c r="G49" s="53">
        <v>3600</v>
      </c>
      <c r="H49" s="53">
        <f t="shared" si="0"/>
        <v>3600</v>
      </c>
      <c r="I49" s="28"/>
    </row>
    <row r="50" spans="1:9" s="23" customFormat="1" ht="13.5">
      <c r="A50" s="46" t="s">
        <v>100</v>
      </c>
      <c r="B50" s="40" t="s">
        <v>70</v>
      </c>
      <c r="C50" s="39">
        <v>1</v>
      </c>
      <c r="D50" s="36" t="s">
        <v>42</v>
      </c>
      <c r="E50" s="36"/>
      <c r="F50" s="36"/>
      <c r="G50" s="53">
        <v>8250</v>
      </c>
      <c r="H50" s="53">
        <f t="shared" si="0"/>
        <v>8250</v>
      </c>
      <c r="I50" s="28"/>
    </row>
    <row r="51" spans="1:9" s="23" customFormat="1" ht="13.5">
      <c r="A51" s="46" t="s">
        <v>96</v>
      </c>
      <c r="B51" s="40" t="s">
        <v>67</v>
      </c>
      <c r="C51" s="39">
        <v>1</v>
      </c>
      <c r="D51" s="36" t="s">
        <v>42</v>
      </c>
      <c r="E51" s="36"/>
      <c r="F51" s="36"/>
      <c r="G51" s="53">
        <v>32000</v>
      </c>
      <c r="H51" s="53">
        <f t="shared" si="0"/>
        <v>32000</v>
      </c>
      <c r="I51" s="28"/>
    </row>
    <row r="52" spans="1:9" s="23" customFormat="1" ht="13.5">
      <c r="A52" s="46" t="s">
        <v>97</v>
      </c>
      <c r="B52" s="40" t="s">
        <v>94</v>
      </c>
      <c r="C52" s="39">
        <v>1000</v>
      </c>
      <c r="D52" s="36" t="s">
        <v>68</v>
      </c>
      <c r="E52" s="36"/>
      <c r="F52" s="36"/>
      <c r="G52" s="53"/>
      <c r="H52" s="53">
        <f t="shared" si="0"/>
        <v>0</v>
      </c>
      <c r="I52" s="28"/>
    </row>
    <row r="53" spans="1:9" s="23" customFormat="1" ht="13.5">
      <c r="A53" s="46" t="s">
        <v>47</v>
      </c>
      <c r="B53" s="40" t="s">
        <v>87</v>
      </c>
      <c r="C53" s="39">
        <v>2</v>
      </c>
      <c r="D53" s="36" t="s">
        <v>42</v>
      </c>
      <c r="E53" s="36"/>
      <c r="F53" s="36"/>
      <c r="G53" s="53">
        <v>100</v>
      </c>
      <c r="H53" s="53">
        <f t="shared" si="0"/>
        <v>200</v>
      </c>
      <c r="I53" s="28"/>
    </row>
    <row r="54" spans="1:9" s="23" customFormat="1" ht="20.100000000000001" customHeight="1">
      <c r="A54" s="46" t="s">
        <v>88</v>
      </c>
      <c r="B54" s="44" t="s">
        <v>50</v>
      </c>
      <c r="C54" s="36">
        <v>1</v>
      </c>
      <c r="D54" s="36" t="s">
        <v>46</v>
      </c>
      <c r="E54" s="63">
        <v>25000</v>
      </c>
      <c r="F54" s="63">
        <v>25000</v>
      </c>
      <c r="G54" s="53">
        <v>50000</v>
      </c>
      <c r="H54" s="53">
        <v>50000</v>
      </c>
      <c r="I54" s="28"/>
    </row>
    <row r="55" spans="1:9" s="23" customFormat="1" ht="20.100000000000001" customHeight="1">
      <c r="A55" s="50">
        <v>3</v>
      </c>
      <c r="B55" s="47" t="s">
        <v>81</v>
      </c>
      <c r="C55" s="36"/>
      <c r="D55" s="36"/>
      <c r="E55" s="36"/>
      <c r="F55" s="36"/>
      <c r="G55" s="53"/>
      <c r="H55" s="53"/>
      <c r="I55" s="28"/>
    </row>
    <row r="56" spans="1:9" s="23" customFormat="1" ht="20.100000000000001" customHeight="1">
      <c r="A56" s="45" t="s">
        <v>43</v>
      </c>
      <c r="B56" s="44" t="s">
        <v>44</v>
      </c>
      <c r="C56" s="39"/>
      <c r="D56" s="36"/>
      <c r="E56" s="36"/>
      <c r="F56" s="36"/>
      <c r="G56" s="53"/>
      <c r="H56" s="53"/>
      <c r="I56" s="28"/>
    </row>
    <row r="57" spans="1:9" s="23" customFormat="1" ht="13.5">
      <c r="A57" s="36"/>
      <c r="B57" s="40" t="s">
        <v>66</v>
      </c>
      <c r="C57" s="39">
        <v>42</v>
      </c>
      <c r="D57" s="36" t="s">
        <v>41</v>
      </c>
      <c r="E57" s="63">
        <v>260</v>
      </c>
      <c r="F57" s="63">
        <f>E57*C57</f>
        <v>10920</v>
      </c>
      <c r="G57" s="53">
        <v>300</v>
      </c>
      <c r="H57" s="53">
        <f>C57*G57</f>
        <v>12600</v>
      </c>
      <c r="I57" s="28"/>
    </row>
    <row r="58" spans="1:9" s="23" customFormat="1" ht="13.5">
      <c r="A58" s="36"/>
      <c r="B58" s="40" t="s">
        <v>72</v>
      </c>
      <c r="C58" s="39">
        <v>18</v>
      </c>
      <c r="D58" s="36" t="s">
        <v>41</v>
      </c>
      <c r="E58" s="63">
        <v>205</v>
      </c>
      <c r="F58" s="63">
        <f>E58*C58</f>
        <v>3690</v>
      </c>
      <c r="G58" s="53">
        <v>250</v>
      </c>
      <c r="H58" s="53">
        <f>C58*G58</f>
        <v>4500</v>
      </c>
      <c r="I58" s="28"/>
    </row>
    <row r="59" spans="1:9" s="23" customFormat="1" ht="13.5">
      <c r="A59" s="36"/>
      <c r="B59" s="40" t="s">
        <v>73</v>
      </c>
      <c r="C59" s="39">
        <v>30</v>
      </c>
      <c r="D59" s="36" t="s">
        <v>41</v>
      </c>
      <c r="E59" s="63">
        <v>165</v>
      </c>
      <c r="F59" s="63">
        <f>E59*C59</f>
        <v>4950</v>
      </c>
      <c r="G59" s="53">
        <v>200</v>
      </c>
      <c r="H59" s="53">
        <f>C59*G59</f>
        <v>6000</v>
      </c>
      <c r="I59" s="28"/>
    </row>
    <row r="60" spans="1:9" s="23" customFormat="1" ht="13.5">
      <c r="A60" s="36"/>
      <c r="B60" s="40" t="s">
        <v>56</v>
      </c>
      <c r="C60" s="39">
        <v>18</v>
      </c>
      <c r="D60" s="36" t="s">
        <v>41</v>
      </c>
      <c r="E60" s="63">
        <v>125</v>
      </c>
      <c r="F60" s="63">
        <f>E60*C60</f>
        <v>2250</v>
      </c>
      <c r="G60" s="53">
        <v>100</v>
      </c>
      <c r="H60" s="53">
        <f>C60*G60</f>
        <v>1800</v>
      </c>
      <c r="I60" s="28"/>
    </row>
    <row r="61" spans="1:9" s="23" customFormat="1" ht="13.5">
      <c r="A61" s="36"/>
      <c r="B61" s="40" t="s">
        <v>82</v>
      </c>
      <c r="C61" s="39">
        <v>78</v>
      </c>
      <c r="D61" s="36" t="s">
        <v>41</v>
      </c>
      <c r="E61" s="63">
        <v>70</v>
      </c>
      <c r="F61" s="63">
        <f>E61*C61</f>
        <v>5460</v>
      </c>
      <c r="G61" s="53">
        <v>75</v>
      </c>
      <c r="H61" s="53">
        <f>C61*G61</f>
        <v>5850</v>
      </c>
      <c r="I61" s="28"/>
    </row>
    <row r="62" spans="1:9" s="23" customFormat="1" ht="13.5">
      <c r="A62" s="46" t="s">
        <v>47</v>
      </c>
      <c r="B62" s="40" t="s">
        <v>45</v>
      </c>
      <c r="C62" s="39">
        <v>1</v>
      </c>
      <c r="D62" s="36" t="s">
        <v>46</v>
      </c>
      <c r="E62" s="36"/>
      <c r="F62" s="63">
        <f>SUM(F57:F58)*1.7</f>
        <v>24837</v>
      </c>
      <c r="G62" s="53"/>
      <c r="H62" s="53"/>
      <c r="I62" s="28"/>
    </row>
    <row r="63" spans="1:9" s="23" customFormat="1" ht="13.5">
      <c r="A63" s="46"/>
      <c r="B63" s="40" t="s">
        <v>48</v>
      </c>
      <c r="C63" s="39">
        <v>1</v>
      </c>
      <c r="D63" s="36" t="s">
        <v>46</v>
      </c>
      <c r="E63" s="36"/>
      <c r="F63" s="63">
        <f>SUM(F59:F61)*0.4</f>
        <v>5064</v>
      </c>
      <c r="G63" s="53"/>
      <c r="H63" s="53"/>
      <c r="I63" s="28"/>
    </row>
    <row r="64" spans="1:9" s="23" customFormat="1" ht="13.5">
      <c r="A64" s="46" t="s">
        <v>88</v>
      </c>
      <c r="B64" s="40" t="s">
        <v>49</v>
      </c>
      <c r="C64" s="39">
        <f>SUM(C57:C61)</f>
        <v>186</v>
      </c>
      <c r="D64" s="36" t="s">
        <v>41</v>
      </c>
      <c r="E64" s="36"/>
      <c r="F64" s="63">
        <v>10000</v>
      </c>
      <c r="G64" s="53">
        <v>35</v>
      </c>
      <c r="H64" s="53">
        <f>C64*G64</f>
        <v>6510</v>
      </c>
      <c r="I64" s="28"/>
    </row>
    <row r="65" spans="1:21" s="23" customFormat="1" ht="20.100000000000001" customHeight="1">
      <c r="A65" s="46"/>
      <c r="B65" s="44" t="s">
        <v>58</v>
      </c>
      <c r="C65" s="39"/>
      <c r="D65" s="36"/>
      <c r="E65" s="36"/>
      <c r="F65" s="36"/>
      <c r="G65" s="53"/>
      <c r="H65" s="53"/>
      <c r="I65" s="28"/>
    </row>
    <row r="66" spans="1:21" s="23" customFormat="1" ht="13.5">
      <c r="A66" s="46" t="s">
        <v>98</v>
      </c>
      <c r="B66" s="40" t="s">
        <v>101</v>
      </c>
      <c r="C66" s="39">
        <v>26</v>
      </c>
      <c r="D66" s="36" t="s">
        <v>42</v>
      </c>
      <c r="E66" s="36"/>
      <c r="F66" s="36"/>
      <c r="G66" s="53">
        <v>500</v>
      </c>
      <c r="H66" s="53">
        <f t="shared" ref="H66:H74" si="1">C66*G66</f>
        <v>13000</v>
      </c>
      <c r="I66" s="28"/>
    </row>
    <row r="67" spans="1:21" s="23" customFormat="1" ht="13.5">
      <c r="A67" s="46" t="s">
        <v>98</v>
      </c>
      <c r="B67" s="40" t="s">
        <v>91</v>
      </c>
      <c r="C67" s="39">
        <v>22</v>
      </c>
      <c r="D67" s="36" t="s">
        <v>42</v>
      </c>
      <c r="E67" s="36"/>
      <c r="F67" s="36"/>
      <c r="G67" s="53">
        <v>500</v>
      </c>
      <c r="H67" s="53">
        <f t="shared" si="1"/>
        <v>11000</v>
      </c>
      <c r="I67" s="28"/>
    </row>
    <row r="68" spans="1:21" s="23" customFormat="1" ht="13.5">
      <c r="A68" s="46" t="s">
        <v>98</v>
      </c>
      <c r="B68" s="40" t="s">
        <v>84</v>
      </c>
      <c r="C68" s="39">
        <v>1</v>
      </c>
      <c r="D68" s="36" t="s">
        <v>42</v>
      </c>
      <c r="E68" s="36"/>
      <c r="F68" s="36"/>
      <c r="G68" s="53">
        <v>12500</v>
      </c>
      <c r="H68" s="53">
        <v>12500</v>
      </c>
      <c r="I68" s="28"/>
    </row>
    <row r="69" spans="1:21" s="23" customFormat="1" ht="13.5">
      <c r="A69" s="46" t="s">
        <v>99</v>
      </c>
      <c r="B69" s="40" t="s">
        <v>83</v>
      </c>
      <c r="C69" s="39">
        <v>1</v>
      </c>
      <c r="D69" s="36" t="s">
        <v>42</v>
      </c>
      <c r="E69" s="36"/>
      <c r="F69" s="36"/>
      <c r="G69" s="53">
        <v>2500</v>
      </c>
      <c r="H69" s="53">
        <f t="shared" si="1"/>
        <v>2500</v>
      </c>
      <c r="I69" s="28"/>
    </row>
    <row r="70" spans="1:21" s="23" customFormat="1" ht="13.5">
      <c r="A70" s="46" t="s">
        <v>99</v>
      </c>
      <c r="B70" s="40" t="s">
        <v>79</v>
      </c>
      <c r="C70" s="39">
        <v>2</v>
      </c>
      <c r="D70" s="36" t="s">
        <v>42</v>
      </c>
      <c r="E70" s="36"/>
      <c r="F70" s="36"/>
      <c r="G70" s="53">
        <v>2000</v>
      </c>
      <c r="H70" s="53">
        <f t="shared" si="1"/>
        <v>4000</v>
      </c>
      <c r="I70" s="28"/>
    </row>
    <row r="71" spans="1:21" s="23" customFormat="1" ht="13.5">
      <c r="A71" s="46" t="s">
        <v>98</v>
      </c>
      <c r="B71" s="40" t="s">
        <v>80</v>
      </c>
      <c r="C71" s="39">
        <v>2</v>
      </c>
      <c r="D71" s="36" t="s">
        <v>42</v>
      </c>
      <c r="E71" s="36"/>
      <c r="F71" s="36"/>
      <c r="G71" s="53">
        <v>500</v>
      </c>
      <c r="H71" s="53">
        <f t="shared" si="1"/>
        <v>1000</v>
      </c>
      <c r="I71" s="28"/>
    </row>
    <row r="72" spans="1:21" s="23" customFormat="1" ht="13.5">
      <c r="A72" s="46" t="s">
        <v>99</v>
      </c>
      <c r="B72" s="40" t="s">
        <v>85</v>
      </c>
      <c r="C72" s="39">
        <v>2</v>
      </c>
      <c r="D72" s="36" t="s">
        <v>42</v>
      </c>
      <c r="E72" s="36"/>
      <c r="F72" s="36"/>
      <c r="G72" s="53">
        <v>200</v>
      </c>
      <c r="H72" s="53">
        <f t="shared" si="1"/>
        <v>400</v>
      </c>
      <c r="I72" s="28"/>
    </row>
    <row r="73" spans="1:21" s="23" customFormat="1" ht="13.5">
      <c r="A73" s="46" t="s">
        <v>98</v>
      </c>
      <c r="B73" s="40" t="s">
        <v>86</v>
      </c>
      <c r="C73" s="39">
        <v>2</v>
      </c>
      <c r="D73" s="36" t="s">
        <v>42</v>
      </c>
      <c r="E73" s="36"/>
      <c r="F73" s="36"/>
      <c r="G73" s="53">
        <v>3000</v>
      </c>
      <c r="H73" s="53">
        <f t="shared" si="1"/>
        <v>6000</v>
      </c>
      <c r="I73" s="28"/>
    </row>
    <row r="74" spans="1:21" s="23" customFormat="1" ht="13.5">
      <c r="A74" s="46" t="s">
        <v>47</v>
      </c>
      <c r="B74" s="40" t="s">
        <v>87</v>
      </c>
      <c r="C74" s="39">
        <v>2</v>
      </c>
      <c r="D74" s="36" t="s">
        <v>42</v>
      </c>
      <c r="E74" s="36"/>
      <c r="F74" s="36"/>
      <c r="G74" s="53">
        <v>100</v>
      </c>
      <c r="H74" s="53">
        <f t="shared" si="1"/>
        <v>200</v>
      </c>
      <c r="I74" s="28"/>
    </row>
    <row r="75" spans="1:21" s="23" customFormat="1" ht="20.100000000000001" customHeight="1">
      <c r="A75" s="46" t="s">
        <v>88</v>
      </c>
      <c r="B75" s="44" t="s">
        <v>50</v>
      </c>
      <c r="C75" s="36">
        <v>1</v>
      </c>
      <c r="D75" s="36" t="s">
        <v>46</v>
      </c>
      <c r="E75" s="63">
        <v>6000</v>
      </c>
      <c r="F75" s="58">
        <v>6000</v>
      </c>
      <c r="G75" s="53">
        <v>45000</v>
      </c>
      <c r="H75" s="53">
        <f>SUM(H57:H61)*0.6</f>
        <v>18450</v>
      </c>
      <c r="I75" s="28"/>
    </row>
    <row r="76" spans="1:21" s="23" customFormat="1" ht="20.100000000000001" customHeight="1">
      <c r="A76" s="46" t="s">
        <v>88</v>
      </c>
      <c r="B76" s="44" t="s">
        <v>95</v>
      </c>
      <c r="C76" s="36">
        <v>1</v>
      </c>
      <c r="D76" s="36" t="s">
        <v>46</v>
      </c>
      <c r="E76" s="36"/>
      <c r="F76" s="36"/>
      <c r="G76" s="53"/>
      <c r="H76" s="53"/>
      <c r="I76" s="28"/>
    </row>
    <row r="77" spans="1:21" s="23" customFormat="1" ht="30" customHeight="1">
      <c r="A77" s="46"/>
      <c r="B77" s="44" t="s">
        <v>51</v>
      </c>
      <c r="C77" s="36">
        <v>1</v>
      </c>
      <c r="D77" s="36" t="s">
        <v>46</v>
      </c>
      <c r="E77" s="36"/>
      <c r="F77" s="36"/>
      <c r="G77" s="53"/>
      <c r="H77" s="53"/>
      <c r="I77" s="28"/>
    </row>
    <row r="78" spans="1:21" s="23" customFormat="1" ht="15" customHeight="1">
      <c r="A78" s="34"/>
      <c r="B78" s="24"/>
      <c r="C78" s="26"/>
      <c r="D78" s="27"/>
      <c r="E78" s="27"/>
      <c r="F78" s="27"/>
      <c r="G78" s="48"/>
      <c r="H78" s="49"/>
      <c r="I78" s="28"/>
    </row>
    <row r="79" spans="1:21" s="23" customFormat="1" ht="15" customHeight="1">
      <c r="A79" s="59" t="s">
        <v>103</v>
      </c>
      <c r="B79" s="64" t="s">
        <v>106</v>
      </c>
      <c r="C79" s="64"/>
      <c r="D79" s="64"/>
      <c r="E79" s="60"/>
      <c r="F79" s="62">
        <f>SUM(F12:F77)</f>
        <v>424040</v>
      </c>
      <c r="G79" s="61"/>
      <c r="H79" s="62">
        <f>SUM(H12:H77)</f>
        <v>520240</v>
      </c>
      <c r="I79" s="33"/>
      <c r="J79" s="25"/>
      <c r="K79" s="25"/>
      <c r="L79" s="25"/>
      <c r="M79" s="25"/>
      <c r="N79" s="25"/>
      <c r="O79" s="25"/>
      <c r="P79" s="25"/>
    </row>
    <row r="80" spans="1:21">
      <c r="S80"/>
      <c r="T80"/>
      <c r="U80"/>
    </row>
    <row r="81" spans="19:21">
      <c r="S81"/>
      <c r="T81"/>
      <c r="U81"/>
    </row>
    <row r="82" spans="19:21">
      <c r="S82"/>
      <c r="T82"/>
      <c r="U82"/>
    </row>
    <row r="83" spans="19:21">
      <c r="S83"/>
      <c r="T83"/>
      <c r="U83"/>
    </row>
    <row r="84" spans="19:21">
      <c r="S84"/>
      <c r="T84"/>
      <c r="U84"/>
    </row>
    <row r="85" spans="19:21">
      <c r="S85"/>
      <c r="T85"/>
      <c r="U85"/>
    </row>
    <row r="86" spans="19:21">
      <c r="S86"/>
      <c r="T86"/>
      <c r="U86"/>
    </row>
    <row r="87" spans="19:21">
      <c r="S87"/>
      <c r="T87"/>
      <c r="U87"/>
    </row>
    <row r="88" spans="19:21">
      <c r="S88"/>
      <c r="T88"/>
      <c r="U88"/>
    </row>
    <row r="89" spans="19:21">
      <c r="S89"/>
      <c r="T89"/>
      <c r="U89"/>
    </row>
    <row r="90" spans="19:21">
      <c r="S90"/>
      <c r="T90"/>
      <c r="U90"/>
    </row>
    <row r="91" spans="19:21">
      <c r="S91"/>
      <c r="T91"/>
      <c r="U91"/>
    </row>
  </sheetData>
  <sheetProtection selectLockedCells="1"/>
  <autoFilter ref="A9:H77" xr:uid="{00000000-0009-0000-0000-000003000000}">
    <filterColumn colId="2" showButton="0"/>
  </autoFilter>
  <mergeCells count="8">
    <mergeCell ref="B79:D79"/>
    <mergeCell ref="G7:H7"/>
    <mergeCell ref="A2:D7"/>
    <mergeCell ref="G2:H2"/>
    <mergeCell ref="G3:H3"/>
    <mergeCell ref="G4:H4"/>
    <mergeCell ref="G5:H5"/>
    <mergeCell ref="G6:H6"/>
  </mergeCells>
  <phoneticPr fontId="75" type="noConversion"/>
  <printOptions horizontalCentered="1"/>
  <pageMargins left="0.23622047244094491" right="0.23622047244094491" top="2.7952755905511815" bottom="0.19685039370078741" header="0" footer="3.937007874015748E-2"/>
  <pageSetup paperSize="9" scale="81" fitToHeight="0" orientation="portrait" r:id="rId1"/>
  <headerFooter scaleWithDoc="0">
    <oddHeader>&amp;L&amp;G</oddHeader>
    <oddFooter>&amp;R&amp;9&amp;P/&amp;N</oddFooter>
  </headerFooter>
  <rowBreaks count="1" manualBreakCount="1">
    <brk id="44" max="7" man="1"/>
  </row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/>
  <dimension ref="A1:C1085"/>
  <sheetViews>
    <sheetView workbookViewId="0">
      <selection sqref="A1:D2"/>
    </sheetView>
  </sheetViews>
  <sheetFormatPr defaultRowHeight="15"/>
  <cols>
    <col min="2" max="2" width="10.140625" bestFit="1" customWidth="1"/>
    <col min="3" max="3" width="9.7109375" bestFit="1" customWidth="1"/>
  </cols>
  <sheetData>
    <row r="1" spans="1:3">
      <c r="A1" t="s">
        <v>31</v>
      </c>
      <c r="B1" s="21">
        <v>44519</v>
      </c>
      <c r="C1" s="22">
        <v>0.71576388888888898</v>
      </c>
    </row>
    <row r="2" spans="1:3">
      <c r="A2" t="s">
        <v>31</v>
      </c>
      <c r="B2" s="21">
        <v>44610</v>
      </c>
      <c r="C2" s="22">
        <v>0.42193287037037036</v>
      </c>
    </row>
    <row r="3" spans="1:3">
      <c r="A3" t="s">
        <v>31</v>
      </c>
      <c r="B3" s="21">
        <v>44636</v>
      </c>
      <c r="C3" s="22">
        <v>0.45959490740740744</v>
      </c>
    </row>
    <row r="4" spans="1:3">
      <c r="A4" t="s">
        <v>31</v>
      </c>
      <c r="B4" s="21">
        <v>44636</v>
      </c>
      <c r="C4" s="22">
        <v>0.55902777777777779</v>
      </c>
    </row>
    <row r="5" spans="1:3">
      <c r="A5" t="s">
        <v>31</v>
      </c>
      <c r="B5" s="21">
        <v>44722</v>
      </c>
      <c r="C5" s="22">
        <v>0.59917824074074078</v>
      </c>
    </row>
    <row r="6" spans="1:3">
      <c r="A6" t="s">
        <v>31</v>
      </c>
      <c r="B6" s="21">
        <v>44722</v>
      </c>
      <c r="C6" s="22">
        <v>0.62204861111111109</v>
      </c>
    </row>
    <row r="7" spans="1:3">
      <c r="A7" t="s">
        <v>31</v>
      </c>
      <c r="B7" s="21">
        <v>44722</v>
      </c>
      <c r="C7" s="22">
        <v>0.63989583333333333</v>
      </c>
    </row>
    <row r="8" spans="1:3">
      <c r="A8" t="s">
        <v>31</v>
      </c>
      <c r="B8" s="21">
        <v>44790</v>
      </c>
      <c r="C8" s="22">
        <v>0.44364583333333335</v>
      </c>
    </row>
    <row r="9" spans="1:3">
      <c r="A9" t="s">
        <v>31</v>
      </c>
      <c r="B9" s="21">
        <v>44907</v>
      </c>
      <c r="C9" s="22">
        <v>0.48104166666666665</v>
      </c>
    </row>
    <row r="10" spans="1:3">
      <c r="A10" t="s">
        <v>31</v>
      </c>
      <c r="B10" s="21">
        <v>44907</v>
      </c>
      <c r="C10" s="22">
        <v>0.48311342592592593</v>
      </c>
    </row>
    <row r="11" spans="1:3">
      <c r="A11" t="s">
        <v>31</v>
      </c>
      <c r="B11" s="21">
        <v>44973</v>
      </c>
      <c r="C11" s="22">
        <v>0.49940972222222224</v>
      </c>
    </row>
    <row r="12" spans="1:3">
      <c r="A12" t="s">
        <v>31</v>
      </c>
      <c r="B12" s="21">
        <v>44973</v>
      </c>
      <c r="C12" s="22">
        <v>0.62673611111111105</v>
      </c>
    </row>
    <row r="13" spans="1:3">
      <c r="A13" t="s">
        <v>32</v>
      </c>
      <c r="B13" s="21">
        <v>45014</v>
      </c>
      <c r="C13" s="22">
        <v>0.55907407407407406</v>
      </c>
    </row>
    <row r="14" spans="1:3">
      <c r="A14" t="s">
        <v>32</v>
      </c>
      <c r="B14" s="21">
        <v>45014</v>
      </c>
      <c r="C14" s="22">
        <v>0.56674768518518526</v>
      </c>
    </row>
    <row r="15" spans="1:3">
      <c r="A15" t="s">
        <v>32</v>
      </c>
      <c r="B15" s="21">
        <v>45014</v>
      </c>
      <c r="C15" s="22">
        <v>0.56789351851851855</v>
      </c>
    </row>
    <row r="16" spans="1:3">
      <c r="A16" t="s">
        <v>32</v>
      </c>
      <c r="B16" s="21">
        <v>45014</v>
      </c>
      <c r="C16" s="22">
        <v>0.56819444444444445</v>
      </c>
    </row>
    <row r="17" spans="1:3">
      <c r="A17" t="s">
        <v>32</v>
      </c>
      <c r="B17" s="21">
        <v>45014</v>
      </c>
      <c r="C17" s="22">
        <v>0.57290509259259259</v>
      </c>
    </row>
    <row r="18" spans="1:3">
      <c r="A18" t="s">
        <v>33</v>
      </c>
      <c r="B18" s="21">
        <v>45014</v>
      </c>
      <c r="C18" s="22">
        <v>0.60717592592592595</v>
      </c>
    </row>
    <row r="19" spans="1:3">
      <c r="A19" t="s">
        <v>33</v>
      </c>
      <c r="B19" s="21">
        <v>45014</v>
      </c>
      <c r="C19" s="22">
        <v>0.61446759259259254</v>
      </c>
    </row>
    <row r="20" spans="1:3">
      <c r="A20" t="s">
        <v>33</v>
      </c>
      <c r="B20" s="21">
        <v>45014</v>
      </c>
      <c r="C20" s="22">
        <v>0.641087962962963</v>
      </c>
    </row>
    <row r="21" spans="1:3">
      <c r="A21" t="s">
        <v>33</v>
      </c>
      <c r="B21" s="21">
        <v>45015</v>
      </c>
      <c r="C21" s="22">
        <v>0.41769675925925925</v>
      </c>
    </row>
    <row r="22" spans="1:3">
      <c r="A22" t="s">
        <v>33</v>
      </c>
      <c r="B22" s="21">
        <v>45048</v>
      </c>
      <c r="C22" s="22">
        <v>0.55813657407407413</v>
      </c>
    </row>
    <row r="23" spans="1:3">
      <c r="A23" t="s">
        <v>33</v>
      </c>
      <c r="B23" s="21">
        <v>45048</v>
      </c>
      <c r="C23" s="22">
        <v>0.55934027777777773</v>
      </c>
    </row>
    <row r="24" spans="1:3">
      <c r="A24" t="s">
        <v>33</v>
      </c>
      <c r="B24" s="21">
        <v>45048</v>
      </c>
      <c r="C24" s="22">
        <v>0.56762731481481488</v>
      </c>
    </row>
    <row r="25" spans="1:3">
      <c r="A25" t="s">
        <v>33</v>
      </c>
      <c r="B25" s="21">
        <v>45048</v>
      </c>
      <c r="C25" s="22">
        <v>0.6352430555555556</v>
      </c>
    </row>
    <row r="26" spans="1:3">
      <c r="A26" t="s">
        <v>33</v>
      </c>
      <c r="B26" s="21">
        <v>45048</v>
      </c>
      <c r="C26" s="22">
        <v>0.63587962962962963</v>
      </c>
    </row>
    <row r="27" spans="1:3">
      <c r="A27" t="s">
        <v>33</v>
      </c>
      <c r="B27" s="21">
        <v>45050</v>
      </c>
      <c r="C27" s="22">
        <v>0.55687500000000001</v>
      </c>
    </row>
    <row r="28" spans="1:3">
      <c r="A28" t="s">
        <v>33</v>
      </c>
      <c r="B28" s="21">
        <v>45050</v>
      </c>
      <c r="C28" s="22">
        <v>0.71795138888888888</v>
      </c>
    </row>
    <row r="29" spans="1:3">
      <c r="A29" t="s">
        <v>33</v>
      </c>
      <c r="B29" s="21">
        <v>45050</v>
      </c>
      <c r="C29" s="22">
        <v>0.71809027777777779</v>
      </c>
    </row>
    <row r="30" spans="1:3">
      <c r="A30" t="s">
        <v>33</v>
      </c>
      <c r="B30" s="21">
        <v>45050</v>
      </c>
      <c r="C30" s="22">
        <v>0.71978009259259268</v>
      </c>
    </row>
    <row r="31" spans="1:3">
      <c r="A31" t="s">
        <v>33</v>
      </c>
      <c r="B31" s="21">
        <v>45050</v>
      </c>
      <c r="C31" s="22">
        <v>0.7203356481481481</v>
      </c>
    </row>
    <row r="32" spans="1:3">
      <c r="A32" t="s">
        <v>33</v>
      </c>
      <c r="B32" s="21">
        <v>45051</v>
      </c>
      <c r="C32" s="22">
        <v>0.42660879629629633</v>
      </c>
    </row>
    <row r="33" spans="1:3">
      <c r="A33" t="s">
        <v>33</v>
      </c>
      <c r="B33" s="21">
        <v>45051</v>
      </c>
      <c r="C33" s="22">
        <v>0.42677083333333332</v>
      </c>
    </row>
    <row r="34" spans="1:3">
      <c r="A34" t="s">
        <v>33</v>
      </c>
      <c r="B34" s="21">
        <v>45051</v>
      </c>
      <c r="C34" s="22">
        <v>0.43768518518518523</v>
      </c>
    </row>
    <row r="35" spans="1:3">
      <c r="A35" t="s">
        <v>33</v>
      </c>
      <c r="B35" s="21">
        <v>45051</v>
      </c>
      <c r="C35" s="22">
        <v>0.44368055555555558</v>
      </c>
    </row>
    <row r="36" spans="1:3">
      <c r="A36" t="s">
        <v>33</v>
      </c>
      <c r="B36" s="21">
        <v>45057</v>
      </c>
      <c r="C36" s="22">
        <v>0.46978009259259257</v>
      </c>
    </row>
    <row r="37" spans="1:3">
      <c r="A37" t="s">
        <v>33</v>
      </c>
      <c r="B37" s="21">
        <v>45057</v>
      </c>
      <c r="C37" s="22">
        <v>0.50945601851851852</v>
      </c>
    </row>
    <row r="38" spans="1:3">
      <c r="A38" t="s">
        <v>33</v>
      </c>
      <c r="B38" s="21">
        <v>45057</v>
      </c>
      <c r="C38" s="22">
        <v>0.51123842592592594</v>
      </c>
    </row>
    <row r="39" spans="1:3">
      <c r="A39" t="s">
        <v>33</v>
      </c>
      <c r="B39" s="21">
        <v>45057</v>
      </c>
      <c r="C39" s="22">
        <v>0.51193287037037039</v>
      </c>
    </row>
    <row r="40" spans="1:3">
      <c r="A40" t="s">
        <v>33</v>
      </c>
      <c r="B40" s="21">
        <v>45057</v>
      </c>
      <c r="C40" s="22">
        <v>0.53704861111111113</v>
      </c>
    </row>
    <row r="41" spans="1:3">
      <c r="A41" t="s">
        <v>33</v>
      </c>
      <c r="B41" s="21">
        <v>45086</v>
      </c>
      <c r="C41" s="22">
        <v>0.63459490740740743</v>
      </c>
    </row>
    <row r="42" spans="1:3">
      <c r="A42" t="s">
        <v>33</v>
      </c>
      <c r="B42" s="21">
        <v>45086</v>
      </c>
      <c r="C42" s="22">
        <v>0.63663194444444449</v>
      </c>
    </row>
    <row r="43" spans="1:3">
      <c r="A43" t="s">
        <v>33</v>
      </c>
      <c r="B43" s="21">
        <v>45086</v>
      </c>
      <c r="C43" s="22">
        <v>0.69366898148148148</v>
      </c>
    </row>
    <row r="44" spans="1:3">
      <c r="A44" t="s">
        <v>32</v>
      </c>
      <c r="B44" s="21">
        <v>45337</v>
      </c>
      <c r="C44" s="22">
        <v>0.49793981481481481</v>
      </c>
    </row>
    <row r="45" spans="1:3">
      <c r="A45" t="s">
        <v>32</v>
      </c>
      <c r="B45" s="21">
        <v>45337</v>
      </c>
      <c r="C45" s="22">
        <v>0.49898148148148147</v>
      </c>
    </row>
    <row r="46" spans="1:3">
      <c r="A46" t="s">
        <v>32</v>
      </c>
      <c r="B46" s="21">
        <v>45337</v>
      </c>
      <c r="C46" s="22">
        <v>0.50010416666666668</v>
      </c>
    </row>
    <row r="47" spans="1:3">
      <c r="A47" t="s">
        <v>32</v>
      </c>
      <c r="B47" s="21">
        <v>45337</v>
      </c>
      <c r="C47" s="22">
        <v>0.50182870370370369</v>
      </c>
    </row>
    <row r="48" spans="1:3">
      <c r="A48" t="s">
        <v>38</v>
      </c>
      <c r="B48" s="21">
        <v>45362</v>
      </c>
      <c r="C48" s="22">
        <v>0.42337962962962966</v>
      </c>
    </row>
    <row r="49" spans="1:3">
      <c r="A49" t="s">
        <v>38</v>
      </c>
      <c r="B49" s="21">
        <v>45362</v>
      </c>
      <c r="C49" s="22">
        <v>0.42684027777777778</v>
      </c>
    </row>
    <row r="50" spans="1:3">
      <c r="A50" t="s">
        <v>38</v>
      </c>
      <c r="B50" s="21">
        <v>45362</v>
      </c>
      <c r="C50" s="22">
        <v>0.42724537037037041</v>
      </c>
    </row>
    <row r="51" spans="1:3">
      <c r="A51" t="s">
        <v>38</v>
      </c>
      <c r="B51" s="21">
        <v>45362</v>
      </c>
      <c r="C51" s="22">
        <v>0.42756944444444445</v>
      </c>
    </row>
    <row r="52" spans="1:3">
      <c r="A52" t="s">
        <v>38</v>
      </c>
      <c r="B52" s="21">
        <v>45362</v>
      </c>
      <c r="C52" s="22">
        <v>0.42797453703703708</v>
      </c>
    </row>
    <row r="53" spans="1:3">
      <c r="A53" t="s">
        <v>38</v>
      </c>
      <c r="B53" s="21">
        <v>45362</v>
      </c>
      <c r="C53" s="22">
        <v>0.42829861111111112</v>
      </c>
    </row>
    <row r="54" spans="1:3">
      <c r="A54" t="s">
        <v>38</v>
      </c>
      <c r="B54" s="21">
        <v>45362</v>
      </c>
      <c r="C54" s="22">
        <v>0.4287731481481481</v>
      </c>
    </row>
    <row r="55" spans="1:3">
      <c r="A55" t="s">
        <v>38</v>
      </c>
      <c r="B55" s="21">
        <v>45362</v>
      </c>
      <c r="C55" s="22">
        <v>0.43085648148148148</v>
      </c>
    </row>
    <row r="56" spans="1:3">
      <c r="A56" t="s">
        <v>38</v>
      </c>
      <c r="B56" s="21">
        <v>45362</v>
      </c>
      <c r="C56" s="22">
        <v>0.43163194444444447</v>
      </c>
    </row>
    <row r="57" spans="1:3">
      <c r="A57" t="s">
        <v>38</v>
      </c>
      <c r="B57" s="21">
        <v>45362</v>
      </c>
      <c r="C57" s="22">
        <v>0.43175925925925923</v>
      </c>
    </row>
    <row r="58" spans="1:3">
      <c r="A58" t="s">
        <v>38</v>
      </c>
      <c r="B58" s="21">
        <v>45362</v>
      </c>
      <c r="C58" s="22">
        <v>0.43217592592592591</v>
      </c>
    </row>
    <row r="59" spans="1:3">
      <c r="A59" t="s">
        <v>38</v>
      </c>
      <c r="B59" s="21">
        <v>45362</v>
      </c>
      <c r="C59" s="22">
        <v>0.4340162037037037</v>
      </c>
    </row>
    <row r="60" spans="1:3">
      <c r="A60" t="s">
        <v>38</v>
      </c>
      <c r="B60" s="21">
        <v>45362</v>
      </c>
      <c r="C60" s="22">
        <v>0.43480324074074073</v>
      </c>
    </row>
    <row r="61" spans="1:3">
      <c r="A61" t="s">
        <v>38</v>
      </c>
      <c r="B61" s="21">
        <v>45362</v>
      </c>
      <c r="C61" s="22">
        <v>0.4349189814814815</v>
      </c>
    </row>
    <row r="62" spans="1:3">
      <c r="A62" t="s">
        <v>32</v>
      </c>
      <c r="B62" s="21">
        <v>45455</v>
      </c>
      <c r="C62" s="22">
        <v>0.44734953703703706</v>
      </c>
    </row>
    <row r="63" spans="1:3">
      <c r="A63" t="s">
        <v>32</v>
      </c>
      <c r="B63" s="21">
        <v>45455</v>
      </c>
      <c r="C63" s="22">
        <v>0.44945601851851852</v>
      </c>
    </row>
    <row r="64" spans="1:3">
      <c r="A64" t="s">
        <v>32</v>
      </c>
      <c r="B64" s="21">
        <v>45455</v>
      </c>
      <c r="C64" s="22">
        <v>0.44960648148148147</v>
      </c>
    </row>
    <row r="65" spans="1:3">
      <c r="A65" t="s">
        <v>32</v>
      </c>
      <c r="B65" s="21">
        <v>45455</v>
      </c>
      <c r="C65" s="22">
        <v>0.45752314814814815</v>
      </c>
    </row>
    <row r="66" spans="1:3">
      <c r="A66" t="s">
        <v>32</v>
      </c>
      <c r="B66" s="21">
        <v>45455</v>
      </c>
      <c r="C66" s="22">
        <v>0.48221064814814812</v>
      </c>
    </row>
    <row r="67" spans="1:3">
      <c r="A67" t="s">
        <v>32</v>
      </c>
      <c r="B67" s="21">
        <v>45455</v>
      </c>
      <c r="C67" s="22">
        <v>0.49939814814814815</v>
      </c>
    </row>
    <row r="68" spans="1:3">
      <c r="A68" t="s">
        <v>32</v>
      </c>
      <c r="B68" s="21">
        <v>45455</v>
      </c>
      <c r="C68" s="22">
        <v>0.50042824074074077</v>
      </c>
    </row>
    <row r="69" spans="1:3">
      <c r="A69" t="s">
        <v>32</v>
      </c>
      <c r="B69" s="21">
        <v>45455</v>
      </c>
      <c r="C69" s="22">
        <v>0.50203703703703706</v>
      </c>
    </row>
    <row r="70" spans="1:3">
      <c r="A70" t="s">
        <v>32</v>
      </c>
      <c r="B70" s="21">
        <v>45455</v>
      </c>
      <c r="C70" s="22">
        <v>0.5027314814814815</v>
      </c>
    </row>
    <row r="71" spans="1:3">
      <c r="A71" t="s">
        <v>32</v>
      </c>
      <c r="B71" s="21">
        <v>45455</v>
      </c>
      <c r="C71" s="22">
        <v>0.50337962962962968</v>
      </c>
    </row>
    <row r="72" spans="1:3">
      <c r="A72" t="s">
        <v>32</v>
      </c>
      <c r="B72" s="21">
        <v>45455</v>
      </c>
      <c r="C72" s="22">
        <v>0.50347222222222221</v>
      </c>
    </row>
    <row r="73" spans="1:3">
      <c r="A73" t="s">
        <v>32</v>
      </c>
      <c r="B73" s="21">
        <v>45455</v>
      </c>
      <c r="C73" s="22">
        <v>0.66202546296296294</v>
      </c>
    </row>
    <row r="74" spans="1:3">
      <c r="A74" t="s">
        <v>32</v>
      </c>
      <c r="B74" s="21">
        <v>45455</v>
      </c>
      <c r="C74" s="22">
        <v>0.66256944444444443</v>
      </c>
    </row>
    <row r="75" spans="1:3">
      <c r="A75" t="s">
        <v>32</v>
      </c>
      <c r="B75" s="21">
        <v>45455</v>
      </c>
      <c r="C75" s="22">
        <v>0.66434027777777782</v>
      </c>
    </row>
    <row r="76" spans="1:3">
      <c r="A76" t="s">
        <v>32</v>
      </c>
      <c r="B76" s="21">
        <v>45455</v>
      </c>
      <c r="C76" s="22">
        <v>0.66546296296296292</v>
      </c>
    </row>
    <row r="77" spans="1:3">
      <c r="A77" t="s">
        <v>32</v>
      </c>
      <c r="B77" s="21">
        <v>45455</v>
      </c>
      <c r="C77" s="22">
        <v>0.66579861111111116</v>
      </c>
    </row>
    <row r="78" spans="1:3">
      <c r="A78" t="s">
        <v>32</v>
      </c>
      <c r="B78" s="21">
        <v>45455</v>
      </c>
      <c r="C78" s="22">
        <v>0.66756944444444444</v>
      </c>
    </row>
    <row r="79" spans="1:3">
      <c r="A79" t="s">
        <v>32</v>
      </c>
      <c r="B79" s="21">
        <v>45455</v>
      </c>
      <c r="C79" s="22">
        <v>0.66833333333333333</v>
      </c>
    </row>
    <row r="80" spans="1:3">
      <c r="A80" t="s">
        <v>32</v>
      </c>
      <c r="B80" s="21">
        <v>45455</v>
      </c>
      <c r="C80" s="22">
        <v>0.66870370370370369</v>
      </c>
    </row>
    <row r="81" spans="1:3">
      <c r="A81" t="s">
        <v>32</v>
      </c>
      <c r="B81" s="21">
        <v>45455</v>
      </c>
      <c r="C81" s="22">
        <v>0.66964120370370372</v>
      </c>
    </row>
    <row r="82" spans="1:3">
      <c r="A82" t="s">
        <v>32</v>
      </c>
      <c r="B82" s="21">
        <v>45455</v>
      </c>
      <c r="C82" s="22">
        <v>0.66979166666666667</v>
      </c>
    </row>
    <row r="83" spans="1:3">
      <c r="A83" t="s">
        <v>32</v>
      </c>
      <c r="B83" s="21">
        <v>45455</v>
      </c>
      <c r="C83" s="22">
        <v>0.6701273148148148</v>
      </c>
    </row>
    <row r="84" spans="1:3">
      <c r="A84" t="s">
        <v>32</v>
      </c>
      <c r="B84" s="21">
        <v>45455</v>
      </c>
      <c r="C84" s="22">
        <v>0.67104166666666665</v>
      </c>
    </row>
    <row r="85" spans="1:3">
      <c r="A85" t="s">
        <v>32</v>
      </c>
      <c r="B85" s="21">
        <v>45455</v>
      </c>
      <c r="C85" s="22">
        <v>0.67224537037037035</v>
      </c>
    </row>
    <row r="86" spans="1:3">
      <c r="A86" t="s">
        <v>32</v>
      </c>
      <c r="B86" s="21">
        <v>45455</v>
      </c>
      <c r="C86" s="22">
        <v>0.67234953703703704</v>
      </c>
    </row>
    <row r="87" spans="1:3">
      <c r="A87" t="s">
        <v>32</v>
      </c>
      <c r="B87" s="21">
        <v>45455</v>
      </c>
      <c r="C87" s="22">
        <v>0.67312499999999997</v>
      </c>
    </row>
    <row r="88" spans="1:3">
      <c r="A88" t="s">
        <v>32</v>
      </c>
      <c r="B88" s="21">
        <v>45455</v>
      </c>
      <c r="C88" s="22">
        <v>0.68223379629629632</v>
      </c>
    </row>
    <row r="89" spans="1:3">
      <c r="A89" t="s">
        <v>32</v>
      </c>
      <c r="B89" s="21">
        <v>45455</v>
      </c>
      <c r="C89" s="22">
        <v>0.68293981481481481</v>
      </c>
    </row>
    <row r="90" spans="1:3">
      <c r="A90" t="s">
        <v>32</v>
      </c>
      <c r="B90" s="21">
        <v>45455</v>
      </c>
      <c r="C90" s="22">
        <v>0.68315972222222221</v>
      </c>
    </row>
    <row r="91" spans="1:3">
      <c r="A91" t="s">
        <v>32</v>
      </c>
      <c r="B91" s="21">
        <v>45455</v>
      </c>
      <c r="C91" s="22">
        <v>0.68438657407407411</v>
      </c>
    </row>
    <row r="92" spans="1:3">
      <c r="A92" t="s">
        <v>32</v>
      </c>
      <c r="B92" s="21">
        <v>45455</v>
      </c>
      <c r="C92" s="22">
        <v>0.68465277777777778</v>
      </c>
    </row>
    <row r="93" spans="1:3">
      <c r="A93" t="s">
        <v>32</v>
      </c>
      <c r="B93" s="21">
        <v>45455</v>
      </c>
      <c r="C93" s="22">
        <v>0.68469907407407404</v>
      </c>
    </row>
    <row r="94" spans="1:3">
      <c r="A94" t="s">
        <v>32</v>
      </c>
      <c r="B94" s="21">
        <v>45455</v>
      </c>
      <c r="C94" s="22">
        <v>0.68619212962962961</v>
      </c>
    </row>
    <row r="95" spans="1:3">
      <c r="A95" t="s">
        <v>32</v>
      </c>
      <c r="B95" s="21">
        <v>45455</v>
      </c>
      <c r="C95" s="22">
        <v>0.68671296296296291</v>
      </c>
    </row>
    <row r="96" spans="1:3">
      <c r="A96" t="s">
        <v>32</v>
      </c>
      <c r="B96" s="21">
        <v>45455</v>
      </c>
      <c r="C96" s="22">
        <v>0.68679398148148152</v>
      </c>
    </row>
    <row r="97" spans="1:3">
      <c r="A97" t="s">
        <v>32</v>
      </c>
      <c r="B97" s="21">
        <v>45455</v>
      </c>
      <c r="C97" s="22">
        <v>0.68680555555555556</v>
      </c>
    </row>
    <row r="98" spans="1:3">
      <c r="A98" t="s">
        <v>32</v>
      </c>
      <c r="B98" s="21">
        <v>45455</v>
      </c>
      <c r="C98" s="22">
        <v>0.68736111111111109</v>
      </c>
    </row>
    <row r="99" spans="1:3">
      <c r="A99" t="s">
        <v>32</v>
      </c>
      <c r="B99" s="21">
        <v>45455</v>
      </c>
      <c r="C99" s="22">
        <v>0.68806712962962968</v>
      </c>
    </row>
    <row r="100" spans="1:3">
      <c r="A100" t="s">
        <v>32</v>
      </c>
      <c r="B100" s="21">
        <v>45455</v>
      </c>
      <c r="C100" s="22">
        <v>0.68957175925925929</v>
      </c>
    </row>
    <row r="101" spans="1:3">
      <c r="A101" t="s">
        <v>32</v>
      </c>
      <c r="B101" s="21">
        <v>45455</v>
      </c>
      <c r="C101" s="22">
        <v>0.69061342592592589</v>
      </c>
    </row>
    <row r="102" spans="1:3">
      <c r="A102" t="s">
        <v>32</v>
      </c>
      <c r="B102" s="21">
        <v>45455</v>
      </c>
      <c r="C102" s="22">
        <v>0.69111111111111112</v>
      </c>
    </row>
    <row r="103" spans="1:3">
      <c r="A103" t="s">
        <v>32</v>
      </c>
      <c r="B103" s="21">
        <v>45455</v>
      </c>
      <c r="C103" s="22">
        <v>0.69287037037037036</v>
      </c>
    </row>
    <row r="104" spans="1:3">
      <c r="A104" t="s">
        <v>32</v>
      </c>
      <c r="B104" s="21">
        <v>45455</v>
      </c>
      <c r="C104" s="22">
        <v>0.69385416666666666</v>
      </c>
    </row>
    <row r="105" spans="1:3">
      <c r="A105" t="s">
        <v>32</v>
      </c>
      <c r="B105" s="21">
        <v>45455</v>
      </c>
      <c r="C105" s="22">
        <v>0.69467592592592597</v>
      </c>
    </row>
    <row r="106" spans="1:3">
      <c r="A106" t="s">
        <v>32</v>
      </c>
      <c r="B106" s="21">
        <v>45455</v>
      </c>
      <c r="C106" s="22">
        <v>0.69476851851851851</v>
      </c>
    </row>
    <row r="107" spans="1:3">
      <c r="A107" t="s">
        <v>32</v>
      </c>
      <c r="B107" s="21">
        <v>45455</v>
      </c>
      <c r="C107" s="22">
        <v>0.694849537037037</v>
      </c>
    </row>
    <row r="108" spans="1:3">
      <c r="A108" t="s">
        <v>32</v>
      </c>
      <c r="B108" s="21">
        <v>45455</v>
      </c>
      <c r="C108" s="22">
        <v>0.69517361111111109</v>
      </c>
    </row>
    <row r="109" spans="1:3">
      <c r="A109" t="s">
        <v>32</v>
      </c>
      <c r="B109" s="21">
        <v>45455</v>
      </c>
      <c r="C109" s="22">
        <v>0.6956134259259259</v>
      </c>
    </row>
    <row r="110" spans="1:3">
      <c r="A110" t="s">
        <v>32</v>
      </c>
      <c r="B110" s="21">
        <v>45455</v>
      </c>
      <c r="C110" s="22">
        <v>0.69877314814814817</v>
      </c>
    </row>
    <row r="111" spans="1:3">
      <c r="A111" t="s">
        <v>32</v>
      </c>
      <c r="B111" s="21">
        <v>45455</v>
      </c>
      <c r="C111" s="22">
        <v>0.69912037037037034</v>
      </c>
    </row>
    <row r="112" spans="1:3">
      <c r="A112" t="s">
        <v>32</v>
      </c>
      <c r="B112" s="21">
        <v>45455</v>
      </c>
      <c r="C112" s="22">
        <v>0.71137731481481481</v>
      </c>
    </row>
    <row r="113" spans="1:3">
      <c r="A113" t="s">
        <v>32</v>
      </c>
      <c r="B113" s="21">
        <v>45455</v>
      </c>
      <c r="C113" s="22">
        <v>0.71173611111111112</v>
      </c>
    </row>
    <row r="114" spans="1:3">
      <c r="A114" t="s">
        <v>32</v>
      </c>
      <c r="B114" s="21">
        <v>45455</v>
      </c>
      <c r="C114" s="22">
        <v>0.71368055555555554</v>
      </c>
    </row>
    <row r="115" spans="1:3">
      <c r="A115" t="s">
        <v>32</v>
      </c>
      <c r="B115" s="21">
        <v>45455</v>
      </c>
      <c r="C115" s="22">
        <v>0.71395833333333336</v>
      </c>
    </row>
    <row r="116" spans="1:3">
      <c r="A116" t="s">
        <v>32</v>
      </c>
      <c r="B116" s="21">
        <v>45455</v>
      </c>
      <c r="C116" s="22">
        <v>0.71422453703703703</v>
      </c>
    </row>
    <row r="117" spans="1:3">
      <c r="A117" t="s">
        <v>32</v>
      </c>
      <c r="B117" s="21">
        <v>45455</v>
      </c>
      <c r="C117" s="22">
        <v>0.7151967592592593</v>
      </c>
    </row>
    <row r="118" spans="1:3">
      <c r="A118" t="s">
        <v>32</v>
      </c>
      <c r="B118" s="21">
        <v>45455</v>
      </c>
      <c r="C118" s="22">
        <v>0.71535879629629628</v>
      </c>
    </row>
    <row r="119" spans="1:3">
      <c r="A119" t="s">
        <v>32</v>
      </c>
      <c r="B119" s="21">
        <v>45455</v>
      </c>
      <c r="C119" s="22">
        <v>0.7177662037037037</v>
      </c>
    </row>
    <row r="120" spans="1:3">
      <c r="A120" t="s">
        <v>32</v>
      </c>
      <c r="B120" s="21">
        <v>45455</v>
      </c>
      <c r="C120" s="22">
        <v>0.71802083333333333</v>
      </c>
    </row>
    <row r="121" spans="1:3">
      <c r="A121" t="s">
        <v>32</v>
      </c>
      <c r="B121" s="21">
        <v>45455</v>
      </c>
      <c r="C121" s="22">
        <v>0.71812500000000001</v>
      </c>
    </row>
    <row r="122" spans="1:3">
      <c r="A122" t="s">
        <v>32</v>
      </c>
      <c r="B122" s="21">
        <v>45455</v>
      </c>
      <c r="C122" s="22">
        <v>0.72921296296296301</v>
      </c>
    </row>
    <row r="123" spans="1:3">
      <c r="A123" t="s">
        <v>32</v>
      </c>
      <c r="B123" s="21">
        <v>45456</v>
      </c>
      <c r="C123" s="22">
        <v>0.38160879629629629</v>
      </c>
    </row>
    <row r="124" spans="1:3">
      <c r="A124" t="s">
        <v>32</v>
      </c>
      <c r="B124" s="21">
        <v>45456</v>
      </c>
      <c r="C124" s="22">
        <v>0.38197916666666665</v>
      </c>
    </row>
    <row r="125" spans="1:3">
      <c r="A125" t="s">
        <v>32</v>
      </c>
      <c r="B125" s="21">
        <v>45456</v>
      </c>
      <c r="C125" s="22">
        <v>0.38237268518518519</v>
      </c>
    </row>
    <row r="126" spans="1:3">
      <c r="A126" t="s">
        <v>32</v>
      </c>
      <c r="B126" s="21">
        <v>45456</v>
      </c>
      <c r="C126" s="22">
        <v>0.38348379629629631</v>
      </c>
    </row>
    <row r="127" spans="1:3">
      <c r="A127" t="s">
        <v>32</v>
      </c>
      <c r="B127" s="21">
        <v>45456</v>
      </c>
      <c r="C127" s="22">
        <v>0.38374999999999998</v>
      </c>
    </row>
    <row r="128" spans="1:3">
      <c r="A128" t="s">
        <v>32</v>
      </c>
      <c r="B128" s="21">
        <v>45456</v>
      </c>
      <c r="C128" s="22">
        <v>0.38414351851851852</v>
      </c>
    </row>
    <row r="129" spans="1:3">
      <c r="A129" t="s">
        <v>32</v>
      </c>
      <c r="B129" s="21">
        <v>45456</v>
      </c>
      <c r="C129" s="22">
        <v>0.38422453703703702</v>
      </c>
    </row>
    <row r="130" spans="1:3">
      <c r="A130" t="s">
        <v>32</v>
      </c>
      <c r="B130" s="21">
        <v>45456</v>
      </c>
      <c r="C130" s="22">
        <v>0.38501157407407405</v>
      </c>
    </row>
    <row r="131" spans="1:3">
      <c r="A131" t="s">
        <v>32</v>
      </c>
      <c r="B131" s="21">
        <v>45456</v>
      </c>
      <c r="C131" s="22">
        <v>0.38518518518518519</v>
      </c>
    </row>
    <row r="132" spans="1:3">
      <c r="A132" t="s">
        <v>32</v>
      </c>
      <c r="B132" s="21">
        <v>45456</v>
      </c>
      <c r="C132" s="22">
        <v>0.38688657407407406</v>
      </c>
    </row>
    <row r="133" spans="1:3">
      <c r="A133" t="s">
        <v>32</v>
      </c>
      <c r="B133" s="21">
        <v>45456</v>
      </c>
      <c r="C133" s="22">
        <v>0.38798611111111109</v>
      </c>
    </row>
    <row r="134" spans="1:3">
      <c r="A134" t="s">
        <v>32</v>
      </c>
      <c r="B134" s="21">
        <v>45456</v>
      </c>
      <c r="C134" s="22">
        <v>0.38854166666666667</v>
      </c>
    </row>
    <row r="135" spans="1:3">
      <c r="A135" t="s">
        <v>32</v>
      </c>
      <c r="B135" s="21">
        <v>45456</v>
      </c>
      <c r="C135" s="22">
        <v>0.66993055555555558</v>
      </c>
    </row>
    <row r="136" spans="1:3">
      <c r="A136" t="s">
        <v>32</v>
      </c>
      <c r="B136" s="21">
        <v>45457</v>
      </c>
      <c r="C136" s="22">
        <v>0.38496527777777778</v>
      </c>
    </row>
    <row r="137" spans="1:3">
      <c r="A137" t="s">
        <v>32</v>
      </c>
      <c r="B137" s="21">
        <v>45457</v>
      </c>
      <c r="C137" s="22">
        <v>0.38563657407407409</v>
      </c>
    </row>
    <row r="138" spans="1:3">
      <c r="A138" t="s">
        <v>32</v>
      </c>
      <c r="B138" s="21">
        <v>45457</v>
      </c>
      <c r="C138" s="22">
        <v>0.41107638888888887</v>
      </c>
    </row>
    <row r="139" spans="1:3">
      <c r="A139" t="s">
        <v>32</v>
      </c>
      <c r="B139" s="21">
        <v>45457</v>
      </c>
      <c r="C139" s="22">
        <v>0.41166666666666668</v>
      </c>
    </row>
    <row r="140" spans="1:3">
      <c r="A140" t="s">
        <v>32</v>
      </c>
      <c r="B140" s="21">
        <v>45457</v>
      </c>
      <c r="C140" s="22">
        <v>0.41215277777777776</v>
      </c>
    </row>
    <row r="141" spans="1:3">
      <c r="A141" t="s">
        <v>32</v>
      </c>
      <c r="B141" s="21">
        <v>45457</v>
      </c>
      <c r="C141" s="22">
        <v>0.41424768518518518</v>
      </c>
    </row>
    <row r="142" spans="1:3">
      <c r="A142" t="s">
        <v>32</v>
      </c>
      <c r="B142" s="21">
        <v>45457</v>
      </c>
      <c r="C142" s="22">
        <v>0.41510416666666666</v>
      </c>
    </row>
    <row r="143" spans="1:3">
      <c r="A143" t="s">
        <v>32</v>
      </c>
      <c r="B143" s="21">
        <v>45457</v>
      </c>
      <c r="C143" s="22">
        <v>0.4152777777777778</v>
      </c>
    </row>
    <row r="144" spans="1:3">
      <c r="A144" t="s">
        <v>32</v>
      </c>
      <c r="B144" s="21">
        <v>45457</v>
      </c>
      <c r="C144" s="22">
        <v>0.41565972222222225</v>
      </c>
    </row>
    <row r="145" spans="1:3">
      <c r="A145" t="s">
        <v>32</v>
      </c>
      <c r="B145" s="21">
        <v>45457</v>
      </c>
      <c r="C145" s="22">
        <v>0.41626157407407405</v>
      </c>
    </row>
    <row r="146" spans="1:3">
      <c r="A146" t="s">
        <v>32</v>
      </c>
      <c r="B146" s="21">
        <v>45457</v>
      </c>
      <c r="C146" s="22">
        <v>0.41650462962962964</v>
      </c>
    </row>
    <row r="147" spans="1:3">
      <c r="A147" t="s">
        <v>32</v>
      </c>
      <c r="B147" s="21">
        <v>45457</v>
      </c>
      <c r="C147" s="22">
        <v>0.41751157407407408</v>
      </c>
    </row>
    <row r="148" spans="1:3">
      <c r="A148" t="s">
        <v>32</v>
      </c>
      <c r="B148" s="21">
        <v>45457</v>
      </c>
      <c r="C148" s="22">
        <v>0.41868055555555556</v>
      </c>
    </row>
    <row r="149" spans="1:3">
      <c r="A149" t="s">
        <v>32</v>
      </c>
      <c r="B149" s="21">
        <v>45457</v>
      </c>
      <c r="C149" s="22">
        <v>0.41883101851851851</v>
      </c>
    </row>
    <row r="150" spans="1:3">
      <c r="A150" t="s">
        <v>32</v>
      </c>
      <c r="B150" s="21">
        <v>45457</v>
      </c>
      <c r="C150" s="22">
        <v>0.41974537037037035</v>
      </c>
    </row>
    <row r="151" spans="1:3">
      <c r="A151" t="s">
        <v>32</v>
      </c>
      <c r="B151" s="21">
        <v>45457</v>
      </c>
      <c r="C151" s="22">
        <v>0.41996527777777776</v>
      </c>
    </row>
    <row r="152" spans="1:3">
      <c r="A152" t="s">
        <v>32</v>
      </c>
      <c r="B152" s="21">
        <v>45457</v>
      </c>
      <c r="C152" s="22">
        <v>0.42162037037037037</v>
      </c>
    </row>
    <row r="153" spans="1:3">
      <c r="A153" t="s">
        <v>32</v>
      </c>
      <c r="B153" s="21">
        <v>45457</v>
      </c>
      <c r="C153" s="22">
        <v>0.42253472222222221</v>
      </c>
    </row>
    <row r="154" spans="1:3">
      <c r="A154" t="s">
        <v>32</v>
      </c>
      <c r="B154" s="21">
        <v>45457</v>
      </c>
      <c r="C154" s="22">
        <v>0.42354166666666665</v>
      </c>
    </row>
    <row r="155" spans="1:3">
      <c r="A155" t="s">
        <v>32</v>
      </c>
      <c r="B155" s="21">
        <v>45457</v>
      </c>
      <c r="C155" s="22">
        <v>0.42430555555555555</v>
      </c>
    </row>
    <row r="156" spans="1:3">
      <c r="A156" t="s">
        <v>32</v>
      </c>
      <c r="B156" s="21">
        <v>45457</v>
      </c>
      <c r="C156" s="22">
        <v>0.4244560185185185</v>
      </c>
    </row>
    <row r="157" spans="1:3">
      <c r="A157" t="s">
        <v>32</v>
      </c>
      <c r="B157" s="21">
        <v>45457</v>
      </c>
      <c r="C157" s="22">
        <v>0.42534722222222221</v>
      </c>
    </row>
    <row r="158" spans="1:3">
      <c r="A158" t="s">
        <v>32</v>
      </c>
      <c r="B158" s="21">
        <v>45457</v>
      </c>
      <c r="C158" s="22">
        <v>0.42621527777777779</v>
      </c>
    </row>
    <row r="159" spans="1:3">
      <c r="A159" t="s">
        <v>32</v>
      </c>
      <c r="B159" s="21">
        <v>45457</v>
      </c>
      <c r="C159" s="22">
        <v>0.42716435185185186</v>
      </c>
    </row>
    <row r="160" spans="1:3">
      <c r="A160" t="s">
        <v>32</v>
      </c>
      <c r="B160" s="21">
        <v>45457</v>
      </c>
      <c r="C160" s="22">
        <v>0.42765046296296294</v>
      </c>
    </row>
    <row r="161" spans="1:3">
      <c r="A161" t="s">
        <v>32</v>
      </c>
      <c r="B161" s="21">
        <v>45457</v>
      </c>
      <c r="C161" s="22">
        <v>0.42789351851851853</v>
      </c>
    </row>
    <row r="162" spans="1:3">
      <c r="A162" t="s">
        <v>32</v>
      </c>
      <c r="B162" s="21">
        <v>45457</v>
      </c>
      <c r="C162" s="22">
        <v>0.43452546296296296</v>
      </c>
    </row>
    <row r="163" spans="1:3">
      <c r="A163" t="s">
        <v>32</v>
      </c>
      <c r="B163" s="21">
        <v>45457</v>
      </c>
      <c r="C163" s="22">
        <v>0.43525462962962963</v>
      </c>
    </row>
    <row r="164" spans="1:3">
      <c r="A164" t="s">
        <v>32</v>
      </c>
      <c r="B164" s="21">
        <v>45457</v>
      </c>
      <c r="C164" s="22">
        <v>0.43611111111111112</v>
      </c>
    </row>
    <row r="165" spans="1:3">
      <c r="A165" t="s">
        <v>32</v>
      </c>
      <c r="B165" s="21">
        <v>45457</v>
      </c>
      <c r="C165" s="22">
        <v>0.43668981481481484</v>
      </c>
    </row>
    <row r="166" spans="1:3">
      <c r="A166" t="s">
        <v>32</v>
      </c>
      <c r="B166" s="21">
        <v>45457</v>
      </c>
      <c r="C166" s="22">
        <v>0.43677083333333333</v>
      </c>
    </row>
    <row r="167" spans="1:3">
      <c r="A167" t="s">
        <v>32</v>
      </c>
      <c r="B167" s="21">
        <v>45457</v>
      </c>
      <c r="C167" s="22">
        <v>0.43747685185185187</v>
      </c>
    </row>
    <row r="168" spans="1:3">
      <c r="A168" t="s">
        <v>32</v>
      </c>
      <c r="B168" s="21">
        <v>45457</v>
      </c>
      <c r="C168" s="22">
        <v>0.43761574074074072</v>
      </c>
    </row>
    <row r="169" spans="1:3">
      <c r="A169" t="s">
        <v>32</v>
      </c>
      <c r="B169" s="21">
        <v>45457</v>
      </c>
      <c r="C169" s="22">
        <v>0.43832175925925926</v>
      </c>
    </row>
    <row r="170" spans="1:3">
      <c r="A170" t="s">
        <v>32</v>
      </c>
      <c r="B170" s="21">
        <v>45457</v>
      </c>
      <c r="C170" s="22">
        <v>0.43862268518518521</v>
      </c>
    </row>
    <row r="171" spans="1:3">
      <c r="A171" t="s">
        <v>32</v>
      </c>
      <c r="B171" s="21">
        <v>45457</v>
      </c>
      <c r="C171" s="22">
        <v>0.43916666666666665</v>
      </c>
    </row>
    <row r="172" spans="1:3">
      <c r="A172" t="s">
        <v>32</v>
      </c>
      <c r="B172" s="21">
        <v>45457</v>
      </c>
      <c r="C172" s="22">
        <v>0.44087962962962962</v>
      </c>
    </row>
    <row r="173" spans="1:3">
      <c r="A173" t="s">
        <v>32</v>
      </c>
      <c r="B173" s="21">
        <v>45457</v>
      </c>
      <c r="C173" s="22">
        <v>0.44263888888888892</v>
      </c>
    </row>
    <row r="174" spans="1:3">
      <c r="A174" t="s">
        <v>32</v>
      </c>
      <c r="B174" s="21">
        <v>45457</v>
      </c>
      <c r="C174" s="22">
        <v>0.44355324074074076</v>
      </c>
    </row>
    <row r="175" spans="1:3">
      <c r="A175" t="s">
        <v>32</v>
      </c>
      <c r="B175" s="21">
        <v>45457</v>
      </c>
      <c r="C175" s="22">
        <v>0.44746527777777778</v>
      </c>
    </row>
    <row r="176" spans="1:3">
      <c r="A176" t="s">
        <v>32</v>
      </c>
      <c r="B176" s="21">
        <v>45457</v>
      </c>
      <c r="C176" s="22">
        <v>0.4481134259259259</v>
      </c>
    </row>
    <row r="177" spans="1:3">
      <c r="A177" t="s">
        <v>32</v>
      </c>
      <c r="B177" s="21">
        <v>45457</v>
      </c>
      <c r="C177" s="22">
        <v>0.44929398148148147</v>
      </c>
    </row>
    <row r="178" spans="1:3">
      <c r="A178" t="s">
        <v>32</v>
      </c>
      <c r="B178" s="21">
        <v>45457</v>
      </c>
      <c r="C178" s="22">
        <v>0.44994212962962965</v>
      </c>
    </row>
    <row r="179" spans="1:3">
      <c r="A179" t="s">
        <v>32</v>
      </c>
      <c r="B179" s="21">
        <v>45457</v>
      </c>
      <c r="C179" s="22">
        <v>0.45053240740740741</v>
      </c>
    </row>
    <row r="180" spans="1:3">
      <c r="A180" t="s">
        <v>32</v>
      </c>
      <c r="B180" s="21">
        <v>45457</v>
      </c>
      <c r="C180" s="22">
        <v>0.45059027777777777</v>
      </c>
    </row>
    <row r="181" spans="1:3">
      <c r="A181" t="s">
        <v>32</v>
      </c>
      <c r="B181" s="21">
        <v>45457</v>
      </c>
      <c r="C181" s="22">
        <v>0.45129629629629631</v>
      </c>
    </row>
    <row r="182" spans="1:3">
      <c r="A182" t="s">
        <v>32</v>
      </c>
      <c r="B182" s="21">
        <v>45457</v>
      </c>
      <c r="C182" s="22">
        <v>0.45134259259259257</v>
      </c>
    </row>
    <row r="183" spans="1:3">
      <c r="A183" t="s">
        <v>32</v>
      </c>
      <c r="B183" s="21">
        <v>45457</v>
      </c>
      <c r="C183" s="22">
        <v>0.4516087962962963</v>
      </c>
    </row>
    <row r="184" spans="1:3">
      <c r="A184" t="s">
        <v>32</v>
      </c>
      <c r="B184" s="21">
        <v>45457</v>
      </c>
      <c r="C184" s="22">
        <v>0.45285879629629627</v>
      </c>
    </row>
    <row r="185" spans="1:3">
      <c r="A185" t="s">
        <v>32</v>
      </c>
      <c r="B185" s="21">
        <v>45457</v>
      </c>
      <c r="C185" s="22">
        <v>0.45307870370370368</v>
      </c>
    </row>
    <row r="186" spans="1:3">
      <c r="A186" t="s">
        <v>32</v>
      </c>
      <c r="B186" s="21">
        <v>45457</v>
      </c>
      <c r="C186" s="22">
        <v>0.45380787037037035</v>
      </c>
    </row>
    <row r="187" spans="1:3">
      <c r="A187" t="s">
        <v>32</v>
      </c>
      <c r="B187" s="21">
        <v>45457</v>
      </c>
      <c r="C187" s="22">
        <v>0.45428240740740738</v>
      </c>
    </row>
    <row r="188" spans="1:3">
      <c r="A188" t="s">
        <v>32</v>
      </c>
      <c r="B188" s="21">
        <v>45457</v>
      </c>
      <c r="C188" s="22">
        <v>0.45482638888888888</v>
      </c>
    </row>
    <row r="189" spans="1:3">
      <c r="A189" t="s">
        <v>32</v>
      </c>
      <c r="B189" s="21">
        <v>45457</v>
      </c>
      <c r="C189" s="22">
        <v>0.45541666666666669</v>
      </c>
    </row>
    <row r="190" spans="1:3">
      <c r="A190" t="s">
        <v>32</v>
      </c>
      <c r="B190" s="21">
        <v>45457</v>
      </c>
      <c r="C190" s="22">
        <v>0.45706018518518521</v>
      </c>
    </row>
    <row r="191" spans="1:3">
      <c r="A191" t="s">
        <v>32</v>
      </c>
      <c r="B191" s="21">
        <v>45457</v>
      </c>
      <c r="C191" s="22">
        <v>0.45710648148148147</v>
      </c>
    </row>
    <row r="192" spans="1:3">
      <c r="A192" t="s">
        <v>32</v>
      </c>
      <c r="B192" s="21">
        <v>45457</v>
      </c>
      <c r="C192" s="22">
        <v>0.45776620370370369</v>
      </c>
    </row>
    <row r="193" spans="1:3">
      <c r="A193" t="s">
        <v>32</v>
      </c>
      <c r="B193" s="21">
        <v>45457</v>
      </c>
      <c r="C193" s="22">
        <v>0.45881944444444445</v>
      </c>
    </row>
    <row r="194" spans="1:3">
      <c r="A194" t="s">
        <v>32</v>
      </c>
      <c r="B194" s="21">
        <v>45457</v>
      </c>
      <c r="C194" s="22">
        <v>0.45946759259259257</v>
      </c>
    </row>
    <row r="195" spans="1:3">
      <c r="A195" t="s">
        <v>32</v>
      </c>
      <c r="B195" s="21">
        <v>45457</v>
      </c>
      <c r="C195" s="22">
        <v>0.46006944444444442</v>
      </c>
    </row>
    <row r="196" spans="1:3">
      <c r="A196" t="s">
        <v>32</v>
      </c>
      <c r="B196" s="21">
        <v>45457</v>
      </c>
      <c r="C196" s="22">
        <v>0.46060185185185187</v>
      </c>
    </row>
    <row r="197" spans="1:3">
      <c r="A197" t="s">
        <v>32</v>
      </c>
      <c r="B197" s="21">
        <v>45457</v>
      </c>
      <c r="C197" s="22">
        <v>0.46144675925925926</v>
      </c>
    </row>
    <row r="198" spans="1:3">
      <c r="A198" t="s">
        <v>32</v>
      </c>
      <c r="B198" s="21">
        <v>45457</v>
      </c>
      <c r="C198" s="22">
        <v>0.46186342592592594</v>
      </c>
    </row>
    <row r="199" spans="1:3">
      <c r="A199" t="s">
        <v>32</v>
      </c>
      <c r="B199" s="21">
        <v>45457</v>
      </c>
      <c r="C199" s="22">
        <v>0.46203703703703702</v>
      </c>
    </row>
    <row r="200" spans="1:3">
      <c r="A200" t="s">
        <v>32</v>
      </c>
      <c r="B200" s="21">
        <v>45457</v>
      </c>
      <c r="C200" s="22">
        <v>0.46523148148148147</v>
      </c>
    </row>
    <row r="201" spans="1:3">
      <c r="A201" t="s">
        <v>32</v>
      </c>
      <c r="B201" s="21">
        <v>45457</v>
      </c>
      <c r="C201" s="22">
        <v>0.46660879629629631</v>
      </c>
    </row>
    <row r="202" spans="1:3">
      <c r="A202" t="s">
        <v>32</v>
      </c>
      <c r="B202" s="21">
        <v>45457</v>
      </c>
      <c r="C202" s="22">
        <v>0.46702546296296299</v>
      </c>
    </row>
    <row r="203" spans="1:3">
      <c r="A203" t="s">
        <v>32</v>
      </c>
      <c r="B203" s="21">
        <v>45457</v>
      </c>
      <c r="C203" s="22">
        <v>0.4702662037037037</v>
      </c>
    </row>
    <row r="204" spans="1:3">
      <c r="A204" t="s">
        <v>32</v>
      </c>
      <c r="B204" s="21">
        <v>45457</v>
      </c>
      <c r="C204" s="22">
        <v>0.47096064814814814</v>
      </c>
    </row>
    <row r="205" spans="1:3">
      <c r="A205" t="s">
        <v>32</v>
      </c>
      <c r="B205" s="21">
        <v>45457</v>
      </c>
      <c r="C205" s="22">
        <v>0.4712615740740741</v>
      </c>
    </row>
    <row r="206" spans="1:3">
      <c r="A206" t="s">
        <v>32</v>
      </c>
      <c r="B206" s="21">
        <v>45457</v>
      </c>
      <c r="C206" s="22">
        <v>0.47216435185185185</v>
      </c>
    </row>
    <row r="207" spans="1:3">
      <c r="A207" t="s">
        <v>32</v>
      </c>
      <c r="B207" s="21">
        <v>45457</v>
      </c>
      <c r="C207" s="22">
        <v>0.4730787037037037</v>
      </c>
    </row>
    <row r="208" spans="1:3">
      <c r="A208" t="s">
        <v>32</v>
      </c>
      <c r="B208" s="21">
        <v>45457</v>
      </c>
      <c r="C208" s="22">
        <v>0.47356481481481483</v>
      </c>
    </row>
    <row r="209" spans="1:3">
      <c r="A209" t="s">
        <v>32</v>
      </c>
      <c r="B209" s="21">
        <v>45457</v>
      </c>
      <c r="C209" s="22">
        <v>0.47402777777777777</v>
      </c>
    </row>
    <row r="210" spans="1:3">
      <c r="A210" t="s">
        <v>32</v>
      </c>
      <c r="B210" s="21">
        <v>45457</v>
      </c>
      <c r="C210" s="22">
        <v>0.47574074074074074</v>
      </c>
    </row>
    <row r="211" spans="1:3">
      <c r="A211" t="s">
        <v>32</v>
      </c>
      <c r="B211" s="21">
        <v>45457</v>
      </c>
      <c r="C211" s="22">
        <v>0.47615740740740742</v>
      </c>
    </row>
    <row r="212" spans="1:3">
      <c r="A212" t="s">
        <v>32</v>
      </c>
      <c r="B212" s="21">
        <v>45457</v>
      </c>
      <c r="C212" s="22">
        <v>0.47642361111111109</v>
      </c>
    </row>
    <row r="213" spans="1:3">
      <c r="A213" t="s">
        <v>32</v>
      </c>
      <c r="B213" s="21">
        <v>45457</v>
      </c>
      <c r="C213" s="22">
        <v>0.47646990740740741</v>
      </c>
    </row>
    <row r="214" spans="1:3">
      <c r="A214" t="s">
        <v>32</v>
      </c>
      <c r="B214" s="21">
        <v>45457</v>
      </c>
      <c r="C214" s="22">
        <v>0.47668981481481482</v>
      </c>
    </row>
    <row r="215" spans="1:3">
      <c r="A215" t="s">
        <v>32</v>
      </c>
      <c r="B215" s="21">
        <v>45457</v>
      </c>
      <c r="C215" s="22">
        <v>0.47872685185185188</v>
      </c>
    </row>
    <row r="216" spans="1:3">
      <c r="A216" t="s">
        <v>32</v>
      </c>
      <c r="B216" s="21">
        <v>45457</v>
      </c>
      <c r="C216" s="22">
        <v>0.47880787037037037</v>
      </c>
    </row>
    <row r="217" spans="1:3">
      <c r="A217" t="s">
        <v>32</v>
      </c>
      <c r="B217" s="21">
        <v>45457</v>
      </c>
      <c r="C217" s="22">
        <v>0.47934027777777777</v>
      </c>
    </row>
    <row r="218" spans="1:3">
      <c r="A218" t="s">
        <v>32</v>
      </c>
      <c r="B218" s="21">
        <v>45457</v>
      </c>
      <c r="C218" s="22">
        <v>0.4793634259259259</v>
      </c>
    </row>
    <row r="219" spans="1:3">
      <c r="A219" t="s">
        <v>32</v>
      </c>
      <c r="B219" s="21">
        <v>45457</v>
      </c>
      <c r="C219" s="22">
        <v>0.48730324074074072</v>
      </c>
    </row>
    <row r="220" spans="1:3">
      <c r="A220" t="s">
        <v>32</v>
      </c>
      <c r="B220" s="21">
        <v>45457</v>
      </c>
      <c r="C220" s="22">
        <v>0.48802083333333335</v>
      </c>
    </row>
    <row r="221" spans="1:3">
      <c r="A221" t="s">
        <v>32</v>
      </c>
      <c r="B221" s="21">
        <v>45457</v>
      </c>
      <c r="C221" s="22">
        <v>0.4881712962962963</v>
      </c>
    </row>
    <row r="222" spans="1:3">
      <c r="A222" t="s">
        <v>32</v>
      </c>
      <c r="B222" s="21">
        <v>45457</v>
      </c>
      <c r="C222" s="22">
        <v>0.48866898148148147</v>
      </c>
    </row>
    <row r="223" spans="1:3">
      <c r="A223" t="s">
        <v>32</v>
      </c>
      <c r="B223" s="21">
        <v>45457</v>
      </c>
      <c r="C223" s="22">
        <v>0.48893518518518519</v>
      </c>
    </row>
    <row r="224" spans="1:3">
      <c r="A224" t="s">
        <v>32</v>
      </c>
      <c r="B224" s="21">
        <v>45457</v>
      </c>
      <c r="C224" s="22">
        <v>0.48902777777777778</v>
      </c>
    </row>
    <row r="225" spans="1:3">
      <c r="A225" t="s">
        <v>32</v>
      </c>
      <c r="B225" s="21">
        <v>45457</v>
      </c>
      <c r="C225" s="22">
        <v>0.48961805555555554</v>
      </c>
    </row>
    <row r="226" spans="1:3">
      <c r="A226" t="s">
        <v>32</v>
      </c>
      <c r="B226" s="21">
        <v>45457</v>
      </c>
      <c r="C226" s="22">
        <v>0.49023148148148149</v>
      </c>
    </row>
    <row r="227" spans="1:3">
      <c r="A227" t="s">
        <v>32</v>
      </c>
      <c r="B227" s="21">
        <v>45457</v>
      </c>
      <c r="C227" s="22">
        <v>0.49084490740740738</v>
      </c>
    </row>
    <row r="228" spans="1:3">
      <c r="A228" t="s">
        <v>32</v>
      </c>
      <c r="B228" s="21">
        <v>45457</v>
      </c>
      <c r="C228" s="22">
        <v>0.49212962962962964</v>
      </c>
    </row>
    <row r="229" spans="1:3">
      <c r="A229" t="s">
        <v>32</v>
      </c>
      <c r="B229" s="21">
        <v>45457</v>
      </c>
      <c r="C229" s="22">
        <v>0.49268518518518517</v>
      </c>
    </row>
    <row r="230" spans="1:3">
      <c r="A230" t="s">
        <v>32</v>
      </c>
      <c r="B230" s="21">
        <v>45457</v>
      </c>
      <c r="C230" s="22">
        <v>0.49344907407407407</v>
      </c>
    </row>
    <row r="231" spans="1:3">
      <c r="A231" t="s">
        <v>32</v>
      </c>
      <c r="B231" s="21">
        <v>45457</v>
      </c>
      <c r="C231" s="22">
        <v>0.49396990740740743</v>
      </c>
    </row>
    <row r="232" spans="1:3">
      <c r="A232" t="s">
        <v>32</v>
      </c>
      <c r="B232" s="21">
        <v>45457</v>
      </c>
      <c r="C232" s="22">
        <v>0.4946875</v>
      </c>
    </row>
    <row r="233" spans="1:3">
      <c r="A233" t="s">
        <v>32</v>
      </c>
      <c r="B233" s="21">
        <v>45457</v>
      </c>
      <c r="C233" s="22">
        <v>0.49534722222222222</v>
      </c>
    </row>
    <row r="234" spans="1:3">
      <c r="A234" t="s">
        <v>32</v>
      </c>
      <c r="B234" s="21">
        <v>45457</v>
      </c>
      <c r="C234" s="22">
        <v>0.49796296296296294</v>
      </c>
    </row>
    <row r="235" spans="1:3">
      <c r="A235" t="s">
        <v>32</v>
      </c>
      <c r="B235" s="21">
        <v>45457</v>
      </c>
      <c r="C235" s="22">
        <v>0.50133101851851847</v>
      </c>
    </row>
    <row r="236" spans="1:3">
      <c r="A236" t="s">
        <v>32</v>
      </c>
      <c r="B236" s="21">
        <v>45457</v>
      </c>
      <c r="C236" s="22">
        <v>0.50168981481481478</v>
      </c>
    </row>
    <row r="237" spans="1:3">
      <c r="A237" t="s">
        <v>32</v>
      </c>
      <c r="B237" s="21">
        <v>45457</v>
      </c>
      <c r="C237" s="22">
        <v>0.50231481481481477</v>
      </c>
    </row>
    <row r="238" spans="1:3">
      <c r="A238" t="s">
        <v>32</v>
      </c>
      <c r="B238" s="21">
        <v>45457</v>
      </c>
      <c r="C238" s="22">
        <v>0.50260416666666663</v>
      </c>
    </row>
    <row r="239" spans="1:3">
      <c r="A239" t="s">
        <v>32</v>
      </c>
      <c r="B239" s="21">
        <v>45457</v>
      </c>
      <c r="C239" s="22">
        <v>0.50306712962962963</v>
      </c>
    </row>
    <row r="240" spans="1:3">
      <c r="A240" t="s">
        <v>32</v>
      </c>
      <c r="B240" s="21">
        <v>45457</v>
      </c>
      <c r="C240" s="22">
        <v>0.50327546296296299</v>
      </c>
    </row>
    <row r="241" spans="1:3">
      <c r="A241" t="s">
        <v>32</v>
      </c>
      <c r="B241" s="21">
        <v>45457</v>
      </c>
      <c r="C241" s="22">
        <v>0.50372685185185184</v>
      </c>
    </row>
    <row r="242" spans="1:3">
      <c r="A242" t="s">
        <v>32</v>
      </c>
      <c r="B242" s="21">
        <v>45457</v>
      </c>
      <c r="C242" s="22">
        <v>0.50385416666666671</v>
      </c>
    </row>
    <row r="243" spans="1:3">
      <c r="A243" t="s">
        <v>32</v>
      </c>
      <c r="B243" s="21">
        <v>45457</v>
      </c>
      <c r="C243" s="22">
        <v>0.50417824074074069</v>
      </c>
    </row>
    <row r="244" spans="1:3">
      <c r="A244" t="s">
        <v>32</v>
      </c>
      <c r="B244" s="21">
        <v>45457</v>
      </c>
      <c r="C244" s="22">
        <v>0.50458333333333338</v>
      </c>
    </row>
    <row r="245" spans="1:3">
      <c r="A245" t="s">
        <v>32</v>
      </c>
      <c r="B245" s="21">
        <v>45457</v>
      </c>
      <c r="C245" s="22">
        <v>0.50489583333333332</v>
      </c>
    </row>
    <row r="246" spans="1:3">
      <c r="A246" t="s">
        <v>32</v>
      </c>
      <c r="B246" s="21">
        <v>45457</v>
      </c>
      <c r="C246" s="22">
        <v>0.50577546296296294</v>
      </c>
    </row>
    <row r="247" spans="1:3">
      <c r="A247" t="s">
        <v>32</v>
      </c>
      <c r="B247" s="21">
        <v>45457</v>
      </c>
      <c r="C247" s="22">
        <v>0.50616898148148148</v>
      </c>
    </row>
    <row r="248" spans="1:3">
      <c r="A248" t="s">
        <v>32</v>
      </c>
      <c r="B248" s="21">
        <v>45457</v>
      </c>
      <c r="C248" s="22">
        <v>0.50635416666666666</v>
      </c>
    </row>
    <row r="249" spans="1:3">
      <c r="A249" t="s">
        <v>32</v>
      </c>
      <c r="B249" s="21">
        <v>45457</v>
      </c>
      <c r="C249" s="22">
        <v>0.50656250000000003</v>
      </c>
    </row>
    <row r="250" spans="1:3">
      <c r="A250" t="s">
        <v>32</v>
      </c>
      <c r="B250" s="21">
        <v>45457</v>
      </c>
      <c r="C250" s="22">
        <v>0.50680555555555551</v>
      </c>
    </row>
    <row r="251" spans="1:3">
      <c r="A251" t="s">
        <v>32</v>
      </c>
      <c r="B251" s="21">
        <v>45457</v>
      </c>
      <c r="C251" s="22">
        <v>0.50709490740740737</v>
      </c>
    </row>
    <row r="252" spans="1:3">
      <c r="A252" t="s">
        <v>32</v>
      </c>
      <c r="B252" s="21">
        <v>45457</v>
      </c>
      <c r="C252" s="22">
        <v>0.50788194444444446</v>
      </c>
    </row>
    <row r="253" spans="1:3">
      <c r="A253" t="s">
        <v>32</v>
      </c>
      <c r="B253" s="21">
        <v>45457</v>
      </c>
      <c r="C253" s="22">
        <v>0.50807870370370367</v>
      </c>
    </row>
    <row r="254" spans="1:3">
      <c r="A254" t="s">
        <v>32</v>
      </c>
      <c r="B254" s="21">
        <v>45457</v>
      </c>
      <c r="C254" s="22">
        <v>0.50813657407407409</v>
      </c>
    </row>
    <row r="255" spans="1:3">
      <c r="A255" t="s">
        <v>32</v>
      </c>
      <c r="B255" s="21">
        <v>45457</v>
      </c>
      <c r="C255" s="22">
        <v>0.50895833333333329</v>
      </c>
    </row>
    <row r="256" spans="1:3">
      <c r="A256" t="s">
        <v>32</v>
      </c>
      <c r="B256" s="21">
        <v>45457</v>
      </c>
      <c r="C256" s="22">
        <v>0.50905092592592593</v>
      </c>
    </row>
    <row r="257" spans="1:3">
      <c r="A257" t="s">
        <v>32</v>
      </c>
      <c r="B257" s="21">
        <v>45457</v>
      </c>
      <c r="C257" s="22">
        <v>0.50923611111111111</v>
      </c>
    </row>
    <row r="258" spans="1:3">
      <c r="A258" t="s">
        <v>32</v>
      </c>
      <c r="B258" s="21">
        <v>45457</v>
      </c>
      <c r="C258" s="22">
        <v>0.50930555555555557</v>
      </c>
    </row>
    <row r="259" spans="1:3">
      <c r="A259" t="s">
        <v>32</v>
      </c>
      <c r="B259" s="21">
        <v>45457</v>
      </c>
      <c r="C259" s="22">
        <v>0.50937500000000002</v>
      </c>
    </row>
    <row r="260" spans="1:3">
      <c r="A260" t="s">
        <v>32</v>
      </c>
      <c r="B260" s="21">
        <v>45457</v>
      </c>
      <c r="C260" s="22">
        <v>0.50960648148148147</v>
      </c>
    </row>
    <row r="261" spans="1:3">
      <c r="A261" t="s">
        <v>32</v>
      </c>
      <c r="B261" s="21">
        <v>45457</v>
      </c>
      <c r="C261" s="22">
        <v>0.50965277777777773</v>
      </c>
    </row>
    <row r="262" spans="1:3">
      <c r="A262" t="s">
        <v>32</v>
      </c>
      <c r="B262" s="21">
        <v>45457</v>
      </c>
      <c r="C262" s="22">
        <v>0.51059027777777777</v>
      </c>
    </row>
    <row r="263" spans="1:3">
      <c r="A263" t="s">
        <v>32</v>
      </c>
      <c r="B263" s="21">
        <v>45457</v>
      </c>
      <c r="C263" s="22">
        <v>0.5112268518518519</v>
      </c>
    </row>
    <row r="264" spans="1:3">
      <c r="A264" t="s">
        <v>32</v>
      </c>
      <c r="B264" s="21">
        <v>45457</v>
      </c>
      <c r="C264" s="22">
        <v>0.51145833333333335</v>
      </c>
    </row>
    <row r="265" spans="1:3">
      <c r="A265" t="s">
        <v>32</v>
      </c>
      <c r="B265" s="21">
        <v>45457</v>
      </c>
      <c r="C265" s="22">
        <v>0.51168981481481479</v>
      </c>
    </row>
    <row r="266" spans="1:3">
      <c r="A266" t="s">
        <v>32</v>
      </c>
      <c r="B266" s="21">
        <v>45457</v>
      </c>
      <c r="C266" s="22">
        <v>0.51175925925925925</v>
      </c>
    </row>
    <row r="267" spans="1:3">
      <c r="A267" t="s">
        <v>32</v>
      </c>
      <c r="B267" s="21">
        <v>45457</v>
      </c>
      <c r="C267" s="22">
        <v>0.51196759259259261</v>
      </c>
    </row>
    <row r="268" spans="1:3">
      <c r="A268" t="s">
        <v>32</v>
      </c>
      <c r="B268" s="21">
        <v>45457</v>
      </c>
      <c r="C268" s="22">
        <v>0.51202546296296292</v>
      </c>
    </row>
    <row r="269" spans="1:3">
      <c r="A269" t="s">
        <v>32</v>
      </c>
      <c r="B269" s="21">
        <v>45457</v>
      </c>
      <c r="C269" s="22">
        <v>0.51231481481481478</v>
      </c>
    </row>
    <row r="270" spans="1:3">
      <c r="A270" t="s">
        <v>32</v>
      </c>
      <c r="B270" s="21">
        <v>45457</v>
      </c>
      <c r="C270" s="22">
        <v>0.5134143518518518</v>
      </c>
    </row>
    <row r="271" spans="1:3">
      <c r="A271" t="s">
        <v>32</v>
      </c>
      <c r="B271" s="21">
        <v>45457</v>
      </c>
      <c r="C271" s="22">
        <v>0.51427083333333334</v>
      </c>
    </row>
    <row r="272" spans="1:3">
      <c r="A272" t="s">
        <v>32</v>
      </c>
      <c r="B272" s="21">
        <v>45457</v>
      </c>
      <c r="C272" s="22">
        <v>0.51493055555555556</v>
      </c>
    </row>
    <row r="273" spans="1:3">
      <c r="A273" t="s">
        <v>32</v>
      </c>
      <c r="B273" s="21">
        <v>45457</v>
      </c>
      <c r="C273" s="22">
        <v>0.51519675925925923</v>
      </c>
    </row>
    <row r="274" spans="1:3">
      <c r="A274" t="s">
        <v>32</v>
      </c>
      <c r="B274" s="21">
        <v>45457</v>
      </c>
      <c r="C274" s="22">
        <v>0.51537037037037037</v>
      </c>
    </row>
    <row r="275" spans="1:3">
      <c r="A275" t="s">
        <v>32</v>
      </c>
      <c r="B275" s="21">
        <v>45457</v>
      </c>
      <c r="C275" s="22">
        <v>0.51560185185185181</v>
      </c>
    </row>
    <row r="276" spans="1:3">
      <c r="A276" t="s">
        <v>32</v>
      </c>
      <c r="B276" s="21">
        <v>45457</v>
      </c>
      <c r="C276" s="22">
        <v>0.5163078703703704</v>
      </c>
    </row>
    <row r="277" spans="1:3">
      <c r="A277" t="s">
        <v>32</v>
      </c>
      <c r="B277" s="21">
        <v>45457</v>
      </c>
      <c r="C277" s="22">
        <v>0.51650462962962962</v>
      </c>
    </row>
    <row r="278" spans="1:3">
      <c r="A278" t="s">
        <v>32</v>
      </c>
      <c r="B278" s="21">
        <v>45457</v>
      </c>
      <c r="C278" s="22">
        <v>0.51657407407407407</v>
      </c>
    </row>
    <row r="279" spans="1:3">
      <c r="A279" t="s">
        <v>32</v>
      </c>
      <c r="B279" s="21">
        <v>45457</v>
      </c>
      <c r="C279" s="22">
        <v>0.51709490740740738</v>
      </c>
    </row>
    <row r="280" spans="1:3">
      <c r="A280" t="s">
        <v>32</v>
      </c>
      <c r="B280" s="21">
        <v>45457</v>
      </c>
      <c r="C280" s="22">
        <v>0.52170138888888884</v>
      </c>
    </row>
    <row r="281" spans="1:3">
      <c r="A281" t="s">
        <v>32</v>
      </c>
      <c r="B281" s="21">
        <v>45457</v>
      </c>
      <c r="C281" s="22">
        <v>0.52190972222222221</v>
      </c>
    </row>
    <row r="282" spans="1:3">
      <c r="A282" t="s">
        <v>32</v>
      </c>
      <c r="B282" s="21">
        <v>45457</v>
      </c>
      <c r="C282" s="22">
        <v>0.5232175925925926</v>
      </c>
    </row>
    <row r="283" spans="1:3">
      <c r="A283" t="s">
        <v>32</v>
      </c>
      <c r="B283" s="21">
        <v>45457</v>
      </c>
      <c r="C283" s="22">
        <v>0.52393518518518523</v>
      </c>
    </row>
    <row r="284" spans="1:3">
      <c r="A284" t="s">
        <v>32</v>
      </c>
      <c r="B284" s="21">
        <v>45457</v>
      </c>
      <c r="C284" s="22">
        <v>0.52606481481481482</v>
      </c>
    </row>
    <row r="285" spans="1:3">
      <c r="A285" t="s">
        <v>32</v>
      </c>
      <c r="B285" s="21">
        <v>45457</v>
      </c>
      <c r="C285" s="22">
        <v>0.52930555555555558</v>
      </c>
    </row>
    <row r="286" spans="1:3">
      <c r="A286" t="s">
        <v>32</v>
      </c>
      <c r="B286" s="21">
        <v>45457</v>
      </c>
      <c r="C286" s="22">
        <v>0.5309490740740741</v>
      </c>
    </row>
    <row r="287" spans="1:3">
      <c r="A287" t="s">
        <v>32</v>
      </c>
      <c r="B287" s="21">
        <v>45457</v>
      </c>
      <c r="C287" s="22">
        <v>0.53109953703703705</v>
      </c>
    </row>
    <row r="288" spans="1:3">
      <c r="A288" t="s">
        <v>32</v>
      </c>
      <c r="B288" s="21">
        <v>45457</v>
      </c>
      <c r="C288" s="22">
        <v>0.53178240740740745</v>
      </c>
    </row>
    <row r="289" spans="1:3">
      <c r="A289" t="s">
        <v>32</v>
      </c>
      <c r="B289" s="21">
        <v>45457</v>
      </c>
      <c r="C289" s="22">
        <v>0.53217592592592589</v>
      </c>
    </row>
    <row r="290" spans="1:3">
      <c r="A290" t="s">
        <v>32</v>
      </c>
      <c r="B290" s="21">
        <v>45457</v>
      </c>
      <c r="C290" s="22">
        <v>0.53344907407407405</v>
      </c>
    </row>
    <row r="291" spans="1:3">
      <c r="A291" t="s">
        <v>32</v>
      </c>
      <c r="B291" s="21">
        <v>45457</v>
      </c>
      <c r="C291" s="22">
        <v>0.53371527777777783</v>
      </c>
    </row>
    <row r="292" spans="1:3">
      <c r="A292" t="s">
        <v>32</v>
      </c>
      <c r="B292" s="21">
        <v>45457</v>
      </c>
      <c r="C292" s="22">
        <v>0.53483796296296293</v>
      </c>
    </row>
    <row r="293" spans="1:3">
      <c r="A293" t="s">
        <v>32</v>
      </c>
      <c r="B293" s="21">
        <v>45457</v>
      </c>
      <c r="C293" s="22">
        <v>0.53537037037037039</v>
      </c>
    </row>
    <row r="294" spans="1:3">
      <c r="A294" t="s">
        <v>32</v>
      </c>
      <c r="B294" s="21">
        <v>45457</v>
      </c>
      <c r="C294" s="22">
        <v>0.53547453703703707</v>
      </c>
    </row>
    <row r="295" spans="1:3">
      <c r="A295" t="s">
        <v>32</v>
      </c>
      <c r="B295" s="21">
        <v>45457</v>
      </c>
      <c r="C295" s="22">
        <v>0.53596064814814814</v>
      </c>
    </row>
    <row r="296" spans="1:3">
      <c r="A296" t="s">
        <v>32</v>
      </c>
      <c r="B296" s="21">
        <v>45457</v>
      </c>
      <c r="C296" s="22">
        <v>0.53693287037037041</v>
      </c>
    </row>
    <row r="297" spans="1:3">
      <c r="A297" t="s">
        <v>32</v>
      </c>
      <c r="B297" s="21">
        <v>45457</v>
      </c>
      <c r="C297" s="22">
        <v>0.5379976851851852</v>
      </c>
    </row>
    <row r="298" spans="1:3">
      <c r="A298" t="s">
        <v>32</v>
      </c>
      <c r="B298" s="21">
        <v>45457</v>
      </c>
      <c r="C298" s="22">
        <v>0.5385416666666667</v>
      </c>
    </row>
    <row r="299" spans="1:3">
      <c r="A299" t="s">
        <v>32</v>
      </c>
      <c r="B299" s="21">
        <v>45457</v>
      </c>
      <c r="C299" s="22">
        <v>0.5397453703703704</v>
      </c>
    </row>
    <row r="300" spans="1:3">
      <c r="A300" t="s">
        <v>32</v>
      </c>
      <c r="B300" s="21">
        <v>45457</v>
      </c>
      <c r="C300" s="22">
        <v>0.5431597222222222</v>
      </c>
    </row>
    <row r="301" spans="1:3">
      <c r="A301" t="s">
        <v>32</v>
      </c>
      <c r="B301" s="21">
        <v>45457</v>
      </c>
      <c r="C301" s="22">
        <v>0.54447916666666663</v>
      </c>
    </row>
    <row r="302" spans="1:3">
      <c r="A302" t="s">
        <v>32</v>
      </c>
      <c r="B302" s="21">
        <v>45457</v>
      </c>
      <c r="C302" s="22">
        <v>0.54502314814814812</v>
      </c>
    </row>
    <row r="303" spans="1:3">
      <c r="A303" t="s">
        <v>32</v>
      </c>
      <c r="B303" s="21">
        <v>45457</v>
      </c>
      <c r="C303" s="22">
        <v>0.54648148148148146</v>
      </c>
    </row>
    <row r="304" spans="1:3">
      <c r="A304" t="s">
        <v>32</v>
      </c>
      <c r="B304" s="21">
        <v>45457</v>
      </c>
      <c r="C304" s="22">
        <v>0.54771990740740739</v>
      </c>
    </row>
    <row r="305" spans="1:3">
      <c r="A305" t="s">
        <v>32</v>
      </c>
      <c r="B305" s="21">
        <v>45457</v>
      </c>
      <c r="C305" s="22">
        <v>0.5484606481481481</v>
      </c>
    </row>
    <row r="306" spans="1:3">
      <c r="A306" t="s">
        <v>32</v>
      </c>
      <c r="B306" s="21">
        <v>45457</v>
      </c>
      <c r="C306" s="22">
        <v>0.54857638888888893</v>
      </c>
    </row>
    <row r="307" spans="1:3">
      <c r="A307" t="s">
        <v>32</v>
      </c>
      <c r="B307" s="21">
        <v>45457</v>
      </c>
      <c r="C307" s="22">
        <v>0.54881944444444442</v>
      </c>
    </row>
    <row r="308" spans="1:3">
      <c r="A308" t="s">
        <v>32</v>
      </c>
      <c r="B308" s="21">
        <v>45457</v>
      </c>
      <c r="C308" s="22">
        <v>0.54907407407407405</v>
      </c>
    </row>
    <row r="309" spans="1:3">
      <c r="A309" t="s">
        <v>32</v>
      </c>
      <c r="B309" s="21">
        <v>45457</v>
      </c>
      <c r="C309" s="22">
        <v>0.5493055555555556</v>
      </c>
    </row>
    <row r="310" spans="1:3">
      <c r="A310" t="s">
        <v>32</v>
      </c>
      <c r="B310" s="21">
        <v>45457</v>
      </c>
      <c r="C310" s="22">
        <v>0.54993055555555559</v>
      </c>
    </row>
    <row r="311" spans="1:3">
      <c r="A311" t="s">
        <v>32</v>
      </c>
      <c r="B311" s="21">
        <v>45457</v>
      </c>
      <c r="C311" s="22">
        <v>0.55063657407407407</v>
      </c>
    </row>
    <row r="312" spans="1:3">
      <c r="A312" t="s">
        <v>32</v>
      </c>
      <c r="B312" s="21">
        <v>45457</v>
      </c>
      <c r="C312" s="22">
        <v>0.55083333333333329</v>
      </c>
    </row>
    <row r="313" spans="1:3">
      <c r="A313" t="s">
        <v>32</v>
      </c>
      <c r="B313" s="21">
        <v>45457</v>
      </c>
      <c r="C313" s="22">
        <v>0.55504629629629632</v>
      </c>
    </row>
    <row r="314" spans="1:3">
      <c r="A314" t="s">
        <v>32</v>
      </c>
      <c r="B314" s="21">
        <v>45457</v>
      </c>
      <c r="C314" s="22">
        <v>0.55562500000000004</v>
      </c>
    </row>
    <row r="315" spans="1:3">
      <c r="A315" t="s">
        <v>32</v>
      </c>
      <c r="B315" s="21">
        <v>45457</v>
      </c>
      <c r="C315" s="22">
        <v>0.55642361111111116</v>
      </c>
    </row>
    <row r="316" spans="1:3">
      <c r="A316" t="s">
        <v>32</v>
      </c>
      <c r="B316" s="21">
        <v>45457</v>
      </c>
      <c r="C316" s="22">
        <v>0.55952546296296302</v>
      </c>
    </row>
    <row r="317" spans="1:3">
      <c r="A317" t="s">
        <v>32</v>
      </c>
      <c r="B317" s="21">
        <v>45457</v>
      </c>
      <c r="C317" s="22">
        <v>0.55967592592592597</v>
      </c>
    </row>
    <row r="318" spans="1:3">
      <c r="A318" t="s">
        <v>32</v>
      </c>
      <c r="B318" s="21">
        <v>45457</v>
      </c>
      <c r="C318" s="22">
        <v>0.55978009259259254</v>
      </c>
    </row>
    <row r="319" spans="1:3">
      <c r="A319" t="s">
        <v>32</v>
      </c>
      <c r="B319" s="21">
        <v>45457</v>
      </c>
      <c r="C319" s="22">
        <v>0.55994212962962964</v>
      </c>
    </row>
    <row r="320" spans="1:3">
      <c r="A320" t="s">
        <v>32</v>
      </c>
      <c r="B320" s="21">
        <v>45457</v>
      </c>
      <c r="C320" s="22">
        <v>0.56087962962962967</v>
      </c>
    </row>
    <row r="321" spans="1:3">
      <c r="A321" t="s">
        <v>32</v>
      </c>
      <c r="B321" s="21">
        <v>45457</v>
      </c>
      <c r="C321" s="22">
        <v>0.56136574074074075</v>
      </c>
    </row>
    <row r="322" spans="1:3">
      <c r="A322" t="s">
        <v>32</v>
      </c>
      <c r="B322" s="21">
        <v>45457</v>
      </c>
      <c r="C322" s="22">
        <v>0.56200231481481477</v>
      </c>
    </row>
    <row r="323" spans="1:3">
      <c r="A323" t="s">
        <v>32</v>
      </c>
      <c r="B323" s="21">
        <v>45457</v>
      </c>
      <c r="C323" s="22">
        <v>0.56332175925925931</v>
      </c>
    </row>
    <row r="324" spans="1:3">
      <c r="A324" t="s">
        <v>32</v>
      </c>
      <c r="B324" s="21">
        <v>45457</v>
      </c>
      <c r="C324" s="22">
        <v>0.56353009259259257</v>
      </c>
    </row>
    <row r="325" spans="1:3">
      <c r="A325" t="s">
        <v>32</v>
      </c>
      <c r="B325" s="21">
        <v>45457</v>
      </c>
      <c r="C325" s="22">
        <v>0.5642476851851852</v>
      </c>
    </row>
    <row r="326" spans="1:3">
      <c r="A326" t="s">
        <v>32</v>
      </c>
      <c r="B326" s="21">
        <v>45457</v>
      </c>
      <c r="C326" s="22">
        <v>0.56438657407407411</v>
      </c>
    </row>
    <row r="327" spans="1:3">
      <c r="A327" t="s">
        <v>32</v>
      </c>
      <c r="B327" s="21">
        <v>45457</v>
      </c>
      <c r="C327" s="22">
        <v>0.56442129629629634</v>
      </c>
    </row>
    <row r="328" spans="1:3">
      <c r="A328" t="s">
        <v>32</v>
      </c>
      <c r="B328" s="21">
        <v>45457</v>
      </c>
      <c r="C328" s="22">
        <v>0.56486111111111115</v>
      </c>
    </row>
    <row r="329" spans="1:3">
      <c r="A329" t="s">
        <v>32</v>
      </c>
      <c r="B329" s="21">
        <v>45457</v>
      </c>
      <c r="C329" s="22">
        <v>0.56498842592592591</v>
      </c>
    </row>
    <row r="330" spans="1:3">
      <c r="A330" t="s">
        <v>32</v>
      </c>
      <c r="B330" s="21">
        <v>45457</v>
      </c>
      <c r="C330" s="22">
        <v>0.56512731481481482</v>
      </c>
    </row>
    <row r="331" spans="1:3">
      <c r="A331" t="s">
        <v>32</v>
      </c>
      <c r="B331" s="21">
        <v>45457</v>
      </c>
      <c r="C331" s="22">
        <v>0.56520833333333331</v>
      </c>
    </row>
    <row r="332" spans="1:3">
      <c r="A332" t="s">
        <v>32</v>
      </c>
      <c r="B332" s="21">
        <v>45457</v>
      </c>
      <c r="C332" s="22">
        <v>0.56527777777777777</v>
      </c>
    </row>
    <row r="333" spans="1:3">
      <c r="A333" t="s">
        <v>32</v>
      </c>
      <c r="B333" s="21">
        <v>45457</v>
      </c>
      <c r="C333" s="22">
        <v>0.56539351851851849</v>
      </c>
    </row>
    <row r="334" spans="1:3">
      <c r="A334" t="s">
        <v>32</v>
      </c>
      <c r="B334" s="21">
        <v>45457</v>
      </c>
      <c r="C334" s="22">
        <v>0.56563657407407408</v>
      </c>
    </row>
    <row r="335" spans="1:3">
      <c r="A335" t="s">
        <v>32</v>
      </c>
      <c r="B335" s="21">
        <v>45457</v>
      </c>
      <c r="C335" s="22">
        <v>0.5660532407407407</v>
      </c>
    </row>
    <row r="336" spans="1:3">
      <c r="A336" t="s">
        <v>32</v>
      </c>
      <c r="B336" s="21">
        <v>45457</v>
      </c>
      <c r="C336" s="22">
        <v>0.56616898148148154</v>
      </c>
    </row>
    <row r="337" spans="1:3">
      <c r="A337" t="s">
        <v>32</v>
      </c>
      <c r="B337" s="21">
        <v>45457</v>
      </c>
      <c r="C337" s="22">
        <v>0.56633101851851853</v>
      </c>
    </row>
    <row r="338" spans="1:3">
      <c r="A338" t="s">
        <v>32</v>
      </c>
      <c r="B338" s="21">
        <v>45457</v>
      </c>
      <c r="C338" s="22">
        <v>0.5665162037037037</v>
      </c>
    </row>
    <row r="339" spans="1:3">
      <c r="A339" t="s">
        <v>32</v>
      </c>
      <c r="B339" s="21">
        <v>45457</v>
      </c>
      <c r="C339" s="22">
        <v>0.56695601851851851</v>
      </c>
    </row>
    <row r="340" spans="1:3">
      <c r="A340" t="s">
        <v>32</v>
      </c>
      <c r="B340" s="21">
        <v>45457</v>
      </c>
      <c r="C340" s="22">
        <v>0.56701388888888893</v>
      </c>
    </row>
    <row r="341" spans="1:3">
      <c r="A341" t="s">
        <v>32</v>
      </c>
      <c r="B341" s="21">
        <v>45457</v>
      </c>
      <c r="C341" s="22">
        <v>0.56707175925925923</v>
      </c>
    </row>
    <row r="342" spans="1:3">
      <c r="A342" t="s">
        <v>32</v>
      </c>
      <c r="B342" s="21">
        <v>45457</v>
      </c>
      <c r="C342" s="22">
        <v>0.56718749999999996</v>
      </c>
    </row>
    <row r="343" spans="1:3">
      <c r="A343" t="s">
        <v>32</v>
      </c>
      <c r="B343" s="21">
        <v>45457</v>
      </c>
      <c r="C343" s="22">
        <v>0.56759259259259254</v>
      </c>
    </row>
    <row r="344" spans="1:3">
      <c r="A344" t="s">
        <v>32</v>
      </c>
      <c r="B344" s="21">
        <v>45457</v>
      </c>
      <c r="C344" s="22">
        <v>0.56766203703703699</v>
      </c>
    </row>
    <row r="345" spans="1:3">
      <c r="A345" t="s">
        <v>32</v>
      </c>
      <c r="B345" s="21">
        <v>45457</v>
      </c>
      <c r="C345" s="22">
        <v>0.56854166666666661</v>
      </c>
    </row>
    <row r="346" spans="1:3">
      <c r="A346" t="s">
        <v>32</v>
      </c>
      <c r="B346" s="21">
        <v>45457</v>
      </c>
      <c r="C346" s="22">
        <v>0.56863425925925926</v>
      </c>
    </row>
    <row r="347" spans="1:3">
      <c r="A347" t="s">
        <v>32</v>
      </c>
      <c r="B347" s="21">
        <v>45457</v>
      </c>
      <c r="C347" s="22">
        <v>0.57158564814814816</v>
      </c>
    </row>
    <row r="348" spans="1:3">
      <c r="A348" t="s">
        <v>32</v>
      </c>
      <c r="B348" s="21">
        <v>45457</v>
      </c>
      <c r="C348" s="22">
        <v>0.57181712962962961</v>
      </c>
    </row>
    <row r="349" spans="1:3">
      <c r="A349" t="s">
        <v>32</v>
      </c>
      <c r="B349" s="21">
        <v>45457</v>
      </c>
      <c r="C349" s="22">
        <v>0.57925925925925925</v>
      </c>
    </row>
    <row r="350" spans="1:3">
      <c r="A350" t="s">
        <v>32</v>
      </c>
      <c r="B350" s="21">
        <v>45457</v>
      </c>
      <c r="C350" s="22">
        <v>0.57930555555555552</v>
      </c>
    </row>
    <row r="351" spans="1:3">
      <c r="A351" t="s">
        <v>32</v>
      </c>
      <c r="B351" s="21">
        <v>45457</v>
      </c>
      <c r="C351" s="22">
        <v>0.57946759259259262</v>
      </c>
    </row>
    <row r="352" spans="1:3">
      <c r="A352" t="s">
        <v>32</v>
      </c>
      <c r="B352" s="21">
        <v>45457</v>
      </c>
      <c r="C352" s="22">
        <v>0.57961805555555557</v>
      </c>
    </row>
    <row r="353" spans="1:3">
      <c r="A353" t="s">
        <v>32</v>
      </c>
      <c r="B353" s="21">
        <v>45457</v>
      </c>
      <c r="C353" s="22">
        <v>0.57989583333333339</v>
      </c>
    </row>
    <row r="354" spans="1:3">
      <c r="A354" t="s">
        <v>32</v>
      </c>
      <c r="B354" s="21">
        <v>45457</v>
      </c>
      <c r="C354" s="22">
        <v>0.58023148148148151</v>
      </c>
    </row>
    <row r="355" spans="1:3">
      <c r="A355" t="s">
        <v>32</v>
      </c>
      <c r="B355" s="21">
        <v>45457</v>
      </c>
      <c r="C355" s="22">
        <v>0.59069444444444441</v>
      </c>
    </row>
    <row r="356" spans="1:3">
      <c r="A356" t="s">
        <v>32</v>
      </c>
      <c r="B356" s="21">
        <v>45457</v>
      </c>
      <c r="C356" s="22">
        <v>0.59296296296296291</v>
      </c>
    </row>
    <row r="357" spans="1:3">
      <c r="A357" t="s">
        <v>32</v>
      </c>
      <c r="B357" s="21">
        <v>45457</v>
      </c>
      <c r="C357" s="22">
        <v>0.5930671296296296</v>
      </c>
    </row>
    <row r="358" spans="1:3">
      <c r="A358" t="s">
        <v>32</v>
      </c>
      <c r="B358" s="21">
        <v>45457</v>
      </c>
      <c r="C358" s="22">
        <v>0.5935300925925926</v>
      </c>
    </row>
    <row r="359" spans="1:3">
      <c r="A359" t="s">
        <v>32</v>
      </c>
      <c r="B359" s="21">
        <v>45457</v>
      </c>
      <c r="C359" s="22">
        <v>0.59393518518518518</v>
      </c>
    </row>
    <row r="360" spans="1:3">
      <c r="A360" t="s">
        <v>32</v>
      </c>
      <c r="B360" s="21">
        <v>45457</v>
      </c>
      <c r="C360" s="22">
        <v>0.59399305555555559</v>
      </c>
    </row>
    <row r="361" spans="1:3">
      <c r="A361" t="s">
        <v>32</v>
      </c>
      <c r="B361" s="21">
        <v>45457</v>
      </c>
      <c r="C361" s="22">
        <v>0.59416666666666662</v>
      </c>
    </row>
    <row r="362" spans="1:3">
      <c r="A362" t="s">
        <v>32</v>
      </c>
      <c r="B362" s="21">
        <v>45457</v>
      </c>
      <c r="C362" s="22">
        <v>0.59462962962962962</v>
      </c>
    </row>
    <row r="363" spans="1:3">
      <c r="A363" t="s">
        <v>32</v>
      </c>
      <c r="B363" s="21">
        <v>45457</v>
      </c>
      <c r="C363" s="22">
        <v>0.59508101851851847</v>
      </c>
    </row>
    <row r="364" spans="1:3">
      <c r="A364" t="s">
        <v>32</v>
      </c>
      <c r="B364" s="21">
        <v>45457</v>
      </c>
      <c r="C364" s="22">
        <v>0.59591435185185182</v>
      </c>
    </row>
    <row r="365" spans="1:3">
      <c r="A365" t="s">
        <v>32</v>
      </c>
      <c r="B365" s="21">
        <v>45457</v>
      </c>
      <c r="C365" s="22">
        <v>0.59613425925925922</v>
      </c>
    </row>
    <row r="366" spans="1:3">
      <c r="A366" t="s">
        <v>32</v>
      </c>
      <c r="B366" s="21">
        <v>45457</v>
      </c>
      <c r="C366" s="22">
        <v>0.59619212962962964</v>
      </c>
    </row>
    <row r="367" spans="1:3">
      <c r="A367" t="s">
        <v>32</v>
      </c>
      <c r="B367" s="21">
        <v>45457</v>
      </c>
      <c r="C367" s="22">
        <v>0.59652777777777777</v>
      </c>
    </row>
    <row r="368" spans="1:3">
      <c r="A368" t="s">
        <v>32</v>
      </c>
      <c r="B368" s="21">
        <v>45457</v>
      </c>
      <c r="C368" s="22">
        <v>0.59723379629629625</v>
      </c>
    </row>
    <row r="369" spans="1:3">
      <c r="A369" t="s">
        <v>32</v>
      </c>
      <c r="B369" s="21">
        <v>45457</v>
      </c>
      <c r="C369" s="22">
        <v>0.59733796296296293</v>
      </c>
    </row>
    <row r="370" spans="1:3">
      <c r="A370" t="s">
        <v>32</v>
      </c>
      <c r="B370" s="21">
        <v>45457</v>
      </c>
      <c r="C370" s="22">
        <v>0.59798611111111111</v>
      </c>
    </row>
    <row r="371" spans="1:3">
      <c r="A371" t="s">
        <v>32</v>
      </c>
      <c r="B371" s="21">
        <v>45457</v>
      </c>
      <c r="C371" s="22">
        <v>0.59829861111111116</v>
      </c>
    </row>
    <row r="372" spans="1:3">
      <c r="A372" t="s">
        <v>32</v>
      </c>
      <c r="B372" s="21">
        <v>45467</v>
      </c>
      <c r="C372" s="22">
        <v>0.67037037037037039</v>
      </c>
    </row>
    <row r="373" spans="1:3">
      <c r="A373" t="s">
        <v>32</v>
      </c>
      <c r="B373" s="21">
        <v>45467</v>
      </c>
      <c r="C373" s="22">
        <v>0.6723958333333333</v>
      </c>
    </row>
    <row r="374" spans="1:3">
      <c r="A374" t="s">
        <v>32</v>
      </c>
      <c r="B374" s="21">
        <v>45467</v>
      </c>
      <c r="C374" s="22">
        <v>0.67899305555555556</v>
      </c>
    </row>
    <row r="375" spans="1:3">
      <c r="A375" t="s">
        <v>32</v>
      </c>
      <c r="B375" s="21">
        <v>45467</v>
      </c>
      <c r="C375" s="22">
        <v>0.67947916666666663</v>
      </c>
    </row>
    <row r="376" spans="1:3">
      <c r="A376" t="s">
        <v>32</v>
      </c>
      <c r="B376" s="21">
        <v>45467</v>
      </c>
      <c r="C376" s="22">
        <v>0.67981481481481476</v>
      </c>
    </row>
    <row r="377" spans="1:3">
      <c r="A377" t="s">
        <v>32</v>
      </c>
      <c r="B377" s="21">
        <v>45467</v>
      </c>
      <c r="C377" s="22">
        <v>0.68019675925925926</v>
      </c>
    </row>
    <row r="378" spans="1:3">
      <c r="A378" t="s">
        <v>32</v>
      </c>
      <c r="B378" s="21">
        <v>45467</v>
      </c>
      <c r="C378" s="22">
        <v>0.68026620370370372</v>
      </c>
    </row>
    <row r="379" spans="1:3">
      <c r="A379" t="s">
        <v>32</v>
      </c>
      <c r="B379" s="21">
        <v>45467</v>
      </c>
      <c r="C379" s="22">
        <v>0.7485532407407407</v>
      </c>
    </row>
    <row r="380" spans="1:3">
      <c r="A380" t="s">
        <v>32</v>
      </c>
      <c r="B380" s="21">
        <v>45468</v>
      </c>
      <c r="C380" s="22">
        <v>0.4692824074074074</v>
      </c>
    </row>
    <row r="381" spans="1:3">
      <c r="A381" t="s">
        <v>32</v>
      </c>
      <c r="B381" s="21">
        <v>45468</v>
      </c>
      <c r="C381" s="22">
        <v>0.47570601851851851</v>
      </c>
    </row>
    <row r="382" spans="1:3">
      <c r="A382" t="s">
        <v>32</v>
      </c>
      <c r="B382" s="21">
        <v>45468</v>
      </c>
      <c r="C382" s="22">
        <v>0.47905092592592591</v>
      </c>
    </row>
    <row r="383" spans="1:3">
      <c r="A383" t="s">
        <v>32</v>
      </c>
      <c r="B383" s="21">
        <v>45468</v>
      </c>
      <c r="C383" s="22">
        <v>0.48011574074074076</v>
      </c>
    </row>
    <row r="384" spans="1:3">
      <c r="A384" t="s">
        <v>32</v>
      </c>
      <c r="B384" s="21">
        <v>45468</v>
      </c>
      <c r="C384" s="22">
        <v>0.48202546296296295</v>
      </c>
    </row>
    <row r="385" spans="1:3">
      <c r="A385" t="s">
        <v>32</v>
      </c>
      <c r="B385" s="21">
        <v>45468</v>
      </c>
      <c r="C385" s="22">
        <v>0.4866435185185185</v>
      </c>
    </row>
    <row r="386" spans="1:3">
      <c r="A386" t="s">
        <v>32</v>
      </c>
      <c r="B386" s="21">
        <v>45468</v>
      </c>
      <c r="C386" s="22">
        <v>0.48706018518518518</v>
      </c>
    </row>
    <row r="387" spans="1:3">
      <c r="A387" t="s">
        <v>32</v>
      </c>
      <c r="B387" s="21">
        <v>45468</v>
      </c>
      <c r="C387" s="22">
        <v>0.49064814814814817</v>
      </c>
    </row>
    <row r="388" spans="1:3">
      <c r="A388" t="s">
        <v>32</v>
      </c>
      <c r="B388" s="21">
        <v>45468</v>
      </c>
      <c r="C388" s="22">
        <v>0.50749999999999995</v>
      </c>
    </row>
    <row r="389" spans="1:3">
      <c r="A389" t="s">
        <v>32</v>
      </c>
      <c r="B389" s="21">
        <v>45468</v>
      </c>
      <c r="C389" s="22">
        <v>0.50812500000000005</v>
      </c>
    </row>
    <row r="390" spans="1:3">
      <c r="A390" t="s">
        <v>32</v>
      </c>
      <c r="B390" s="21">
        <v>45468</v>
      </c>
      <c r="C390" s="22">
        <v>0.50822916666666662</v>
      </c>
    </row>
    <row r="391" spans="1:3">
      <c r="A391" t="s">
        <v>32</v>
      </c>
      <c r="B391" s="21">
        <v>45468</v>
      </c>
      <c r="C391" s="22">
        <v>0.50872685185185185</v>
      </c>
    </row>
    <row r="392" spans="1:3">
      <c r="A392" t="s">
        <v>32</v>
      </c>
      <c r="B392" s="21">
        <v>45468</v>
      </c>
      <c r="C392" s="22">
        <v>0.51120370370370372</v>
      </c>
    </row>
    <row r="393" spans="1:3">
      <c r="A393" t="s">
        <v>32</v>
      </c>
      <c r="B393" s="21">
        <v>45468</v>
      </c>
      <c r="C393" s="22">
        <v>0.51170138888888894</v>
      </c>
    </row>
    <row r="394" spans="1:3">
      <c r="A394" t="s">
        <v>32</v>
      </c>
      <c r="B394" s="21">
        <v>45468</v>
      </c>
      <c r="C394" s="22">
        <v>0.51290509259259254</v>
      </c>
    </row>
    <row r="395" spans="1:3">
      <c r="A395" t="s">
        <v>32</v>
      </c>
      <c r="B395" s="21">
        <v>45468</v>
      </c>
      <c r="C395" s="22">
        <v>0.5131134259259259</v>
      </c>
    </row>
    <row r="396" spans="1:3">
      <c r="A396" t="s">
        <v>32</v>
      </c>
      <c r="B396" s="21">
        <v>45468</v>
      </c>
      <c r="C396" s="22">
        <v>0.51930555555555558</v>
      </c>
    </row>
    <row r="397" spans="1:3">
      <c r="A397" t="s">
        <v>32</v>
      </c>
      <c r="B397" s="21">
        <v>45468</v>
      </c>
      <c r="C397" s="22">
        <v>0.51954861111111106</v>
      </c>
    </row>
    <row r="398" spans="1:3">
      <c r="A398" t="s">
        <v>32</v>
      </c>
      <c r="B398" s="21">
        <v>45468</v>
      </c>
      <c r="C398" s="22">
        <v>0.52054398148148151</v>
      </c>
    </row>
    <row r="399" spans="1:3">
      <c r="A399" t="s">
        <v>32</v>
      </c>
      <c r="B399" s="21">
        <v>45468</v>
      </c>
      <c r="C399" s="22">
        <v>0.52084490740740741</v>
      </c>
    </row>
    <row r="400" spans="1:3">
      <c r="A400" t="s">
        <v>32</v>
      </c>
      <c r="B400" s="21">
        <v>45468</v>
      </c>
      <c r="C400" s="22">
        <v>0.52099537037037036</v>
      </c>
    </row>
    <row r="401" spans="1:3">
      <c r="A401" t="s">
        <v>32</v>
      </c>
      <c r="B401" s="21">
        <v>45468</v>
      </c>
      <c r="C401" s="22">
        <v>0.52114583333333331</v>
      </c>
    </row>
    <row r="402" spans="1:3">
      <c r="A402" t="s">
        <v>32</v>
      </c>
      <c r="B402" s="21">
        <v>45468</v>
      </c>
      <c r="C402" s="22">
        <v>0.52136574074074071</v>
      </c>
    </row>
    <row r="403" spans="1:3">
      <c r="A403" t="s">
        <v>32</v>
      </c>
      <c r="B403" s="21">
        <v>45468</v>
      </c>
      <c r="C403" s="22">
        <v>0.52151620370370366</v>
      </c>
    </row>
    <row r="404" spans="1:3">
      <c r="A404" t="s">
        <v>32</v>
      </c>
      <c r="B404" s="21">
        <v>45468</v>
      </c>
      <c r="C404" s="22">
        <v>0.52160879629629631</v>
      </c>
    </row>
    <row r="405" spans="1:3">
      <c r="A405" t="s">
        <v>32</v>
      </c>
      <c r="B405" s="21">
        <v>45468</v>
      </c>
      <c r="C405" s="22">
        <v>0.52172453703703703</v>
      </c>
    </row>
    <row r="406" spans="1:3">
      <c r="A406" t="s">
        <v>32</v>
      </c>
      <c r="B406" s="21">
        <v>45468</v>
      </c>
      <c r="C406" s="22">
        <v>0.5219907407407407</v>
      </c>
    </row>
    <row r="407" spans="1:3">
      <c r="A407" t="s">
        <v>32</v>
      </c>
      <c r="B407" s="21">
        <v>45468</v>
      </c>
      <c r="C407" s="22">
        <v>0.52280092592592597</v>
      </c>
    </row>
    <row r="408" spans="1:3">
      <c r="A408" t="s">
        <v>32</v>
      </c>
      <c r="B408" s="21">
        <v>45468</v>
      </c>
      <c r="C408" s="22">
        <v>0.52413194444444444</v>
      </c>
    </row>
    <row r="409" spans="1:3">
      <c r="A409" t="s">
        <v>32</v>
      </c>
      <c r="B409" s="21">
        <v>45468</v>
      </c>
      <c r="C409" s="22">
        <v>0.52437500000000004</v>
      </c>
    </row>
    <row r="410" spans="1:3">
      <c r="A410" t="s">
        <v>32</v>
      </c>
      <c r="B410" s="21">
        <v>45468</v>
      </c>
      <c r="C410" s="22">
        <v>0.52517361111111116</v>
      </c>
    </row>
    <row r="411" spans="1:3">
      <c r="A411" t="s">
        <v>32</v>
      </c>
      <c r="B411" s="21">
        <v>45468</v>
      </c>
      <c r="C411" s="22">
        <v>0.52557870370370374</v>
      </c>
    </row>
    <row r="412" spans="1:3">
      <c r="A412" t="s">
        <v>32</v>
      </c>
      <c r="B412" s="21">
        <v>45468</v>
      </c>
      <c r="C412" s="22">
        <v>0.5260069444444444</v>
      </c>
    </row>
    <row r="413" spans="1:3">
      <c r="A413" t="s">
        <v>32</v>
      </c>
      <c r="B413" s="21">
        <v>45468</v>
      </c>
      <c r="C413" s="22">
        <v>0.52609953703703705</v>
      </c>
    </row>
    <row r="414" spans="1:3">
      <c r="A414" t="s">
        <v>32</v>
      </c>
      <c r="B414" s="21">
        <v>45468</v>
      </c>
      <c r="C414" s="22">
        <v>0.5261689814814815</v>
      </c>
    </row>
    <row r="415" spans="1:3">
      <c r="A415" t="s">
        <v>32</v>
      </c>
      <c r="B415" s="21">
        <v>45468</v>
      </c>
      <c r="C415" s="22">
        <v>0.53039351851851857</v>
      </c>
    </row>
    <row r="416" spans="1:3">
      <c r="A416" t="s">
        <v>32</v>
      </c>
      <c r="B416" s="21">
        <v>45468</v>
      </c>
      <c r="C416" s="22">
        <v>0.53096064814814814</v>
      </c>
    </row>
    <row r="417" spans="1:3">
      <c r="A417" t="s">
        <v>32</v>
      </c>
      <c r="B417" s="21">
        <v>45468</v>
      </c>
      <c r="C417" s="22">
        <v>0.53108796296296301</v>
      </c>
    </row>
    <row r="418" spans="1:3">
      <c r="A418" t="s">
        <v>32</v>
      </c>
      <c r="B418" s="21">
        <v>45468</v>
      </c>
      <c r="C418" s="22">
        <v>0.53121527777777777</v>
      </c>
    </row>
    <row r="419" spans="1:3">
      <c r="A419" t="s">
        <v>32</v>
      </c>
      <c r="B419" s="21">
        <v>45468</v>
      </c>
      <c r="C419" s="22">
        <v>0.53190972222222221</v>
      </c>
    </row>
    <row r="420" spans="1:3">
      <c r="A420" t="s">
        <v>32</v>
      </c>
      <c r="B420" s="21">
        <v>45468</v>
      </c>
      <c r="C420" s="22">
        <v>0.53208333333333335</v>
      </c>
    </row>
    <row r="421" spans="1:3">
      <c r="A421" t="s">
        <v>32</v>
      </c>
      <c r="B421" s="21">
        <v>45468</v>
      </c>
      <c r="C421" s="22">
        <v>0.53219907407407407</v>
      </c>
    </row>
    <row r="422" spans="1:3">
      <c r="A422" t="s">
        <v>32</v>
      </c>
      <c r="B422" s="21">
        <v>45468</v>
      </c>
      <c r="C422" s="22">
        <v>0.53228009259259257</v>
      </c>
    </row>
    <row r="423" spans="1:3">
      <c r="A423" t="s">
        <v>32</v>
      </c>
      <c r="B423" s="21">
        <v>45468</v>
      </c>
      <c r="C423" s="22">
        <v>0.53241898148148148</v>
      </c>
    </row>
    <row r="424" spans="1:3">
      <c r="A424" t="s">
        <v>32</v>
      </c>
      <c r="B424" s="21">
        <v>45468</v>
      </c>
      <c r="C424" s="22">
        <v>0.53293981481481478</v>
      </c>
    </row>
    <row r="425" spans="1:3">
      <c r="A425" t="s">
        <v>32</v>
      </c>
      <c r="B425" s="21">
        <v>45468</v>
      </c>
      <c r="C425" s="22">
        <v>0.53317129629629634</v>
      </c>
    </row>
    <row r="426" spans="1:3">
      <c r="A426" t="s">
        <v>32</v>
      </c>
      <c r="B426" s="21">
        <v>45468</v>
      </c>
      <c r="C426" s="22">
        <v>0.53318287037037038</v>
      </c>
    </row>
    <row r="427" spans="1:3">
      <c r="A427" t="s">
        <v>32</v>
      </c>
      <c r="B427" s="21">
        <v>45468</v>
      </c>
      <c r="C427" s="22">
        <v>0.5338194444444444</v>
      </c>
    </row>
    <row r="428" spans="1:3">
      <c r="A428" t="s">
        <v>32</v>
      </c>
      <c r="B428" s="21">
        <v>45468</v>
      </c>
      <c r="C428" s="22">
        <v>0.53387731481481482</v>
      </c>
    </row>
    <row r="429" spans="1:3">
      <c r="A429" t="s">
        <v>32</v>
      </c>
      <c r="B429" s="21">
        <v>45468</v>
      </c>
      <c r="C429" s="22">
        <v>0.53401620370370373</v>
      </c>
    </row>
    <row r="430" spans="1:3">
      <c r="A430" t="s">
        <v>32</v>
      </c>
      <c r="B430" s="21">
        <v>45468</v>
      </c>
      <c r="C430" s="22">
        <v>0.53410879629629626</v>
      </c>
    </row>
    <row r="431" spans="1:3">
      <c r="A431" t="s">
        <v>32</v>
      </c>
      <c r="B431" s="21">
        <v>45468</v>
      </c>
      <c r="C431" s="22">
        <v>0.53440972222222227</v>
      </c>
    </row>
    <row r="432" spans="1:3">
      <c r="A432" t="s">
        <v>32</v>
      </c>
      <c r="B432" s="21">
        <v>45468</v>
      </c>
      <c r="C432" s="22">
        <v>0.55947916666666664</v>
      </c>
    </row>
    <row r="433" spans="1:3">
      <c r="A433" t="s">
        <v>32</v>
      </c>
      <c r="B433" s="21">
        <v>45468</v>
      </c>
      <c r="C433" s="22">
        <v>0.55991898148148145</v>
      </c>
    </row>
    <row r="434" spans="1:3">
      <c r="A434" t="s">
        <v>32</v>
      </c>
      <c r="B434" s="21">
        <v>45468</v>
      </c>
      <c r="C434" s="22">
        <v>0.57108796296296294</v>
      </c>
    </row>
    <row r="435" spans="1:3">
      <c r="A435" t="s">
        <v>32</v>
      </c>
      <c r="B435" s="21">
        <v>45468</v>
      </c>
      <c r="C435" s="22">
        <v>0.57134259259259257</v>
      </c>
    </row>
    <row r="436" spans="1:3">
      <c r="A436" t="s">
        <v>32</v>
      </c>
      <c r="B436" s="21">
        <v>45468</v>
      </c>
      <c r="C436" s="22">
        <v>0.57146990740740744</v>
      </c>
    </row>
    <row r="437" spans="1:3">
      <c r="A437" t="s">
        <v>32</v>
      </c>
      <c r="B437" s="21">
        <v>45468</v>
      </c>
      <c r="C437" s="22">
        <v>0.57180555555555557</v>
      </c>
    </row>
    <row r="438" spans="1:3">
      <c r="A438" t="s">
        <v>32</v>
      </c>
      <c r="B438" s="21">
        <v>45468</v>
      </c>
      <c r="C438" s="22">
        <v>0.58552083333333338</v>
      </c>
    </row>
    <row r="439" spans="1:3">
      <c r="A439" t="s">
        <v>32</v>
      </c>
      <c r="B439" s="21">
        <v>45468</v>
      </c>
      <c r="C439" s="22">
        <v>0.58672453703703709</v>
      </c>
    </row>
    <row r="440" spans="1:3">
      <c r="A440" t="s">
        <v>32</v>
      </c>
      <c r="B440" s="21">
        <v>45468</v>
      </c>
      <c r="C440" s="22">
        <v>0.58679398148148143</v>
      </c>
    </row>
    <row r="441" spans="1:3">
      <c r="A441" t="s">
        <v>32</v>
      </c>
      <c r="B441" s="21">
        <v>45468</v>
      </c>
      <c r="C441" s="22">
        <v>0.5903356481481481</v>
      </c>
    </row>
    <row r="442" spans="1:3">
      <c r="A442" t="s">
        <v>32</v>
      </c>
      <c r="B442" s="21">
        <v>45468</v>
      </c>
      <c r="C442" s="22">
        <v>0.59040509259259255</v>
      </c>
    </row>
    <row r="443" spans="1:3">
      <c r="A443" t="s">
        <v>32</v>
      </c>
      <c r="B443" s="21">
        <v>45468</v>
      </c>
      <c r="C443" s="22">
        <v>0.59045138888888893</v>
      </c>
    </row>
    <row r="444" spans="1:3">
      <c r="A444" t="s">
        <v>32</v>
      </c>
      <c r="B444" s="21">
        <v>45468</v>
      </c>
      <c r="C444" s="22">
        <v>0.59075231481481483</v>
      </c>
    </row>
    <row r="445" spans="1:3">
      <c r="A445" t="s">
        <v>32</v>
      </c>
      <c r="B445" s="21">
        <v>45468</v>
      </c>
      <c r="C445" s="22">
        <v>0.59108796296296295</v>
      </c>
    </row>
    <row r="446" spans="1:3">
      <c r="A446" t="s">
        <v>32</v>
      </c>
      <c r="B446" s="21">
        <v>45468</v>
      </c>
      <c r="C446" s="22">
        <v>0.59718749999999998</v>
      </c>
    </row>
    <row r="447" spans="1:3">
      <c r="A447" t="s">
        <v>32</v>
      </c>
      <c r="B447" s="21">
        <v>45468</v>
      </c>
      <c r="C447" s="22">
        <v>0.59827546296296297</v>
      </c>
    </row>
    <row r="448" spans="1:3">
      <c r="A448" t="s">
        <v>32</v>
      </c>
      <c r="B448" s="21">
        <v>45468</v>
      </c>
      <c r="C448" s="22">
        <v>0.59834490740740742</v>
      </c>
    </row>
    <row r="449" spans="1:3">
      <c r="A449" t="s">
        <v>32</v>
      </c>
      <c r="B449" s="21">
        <v>45468</v>
      </c>
      <c r="C449" s="22">
        <v>0.59855324074074079</v>
      </c>
    </row>
    <row r="450" spans="1:3">
      <c r="A450" t="s">
        <v>32</v>
      </c>
      <c r="B450" s="21">
        <v>45468</v>
      </c>
      <c r="C450" s="22">
        <v>0.59877314814814819</v>
      </c>
    </row>
    <row r="451" spans="1:3">
      <c r="A451" t="s">
        <v>32</v>
      </c>
      <c r="B451" s="21">
        <v>45468</v>
      </c>
      <c r="C451" s="22">
        <v>0.59898148148148145</v>
      </c>
    </row>
    <row r="452" spans="1:3">
      <c r="A452" t="s">
        <v>32</v>
      </c>
      <c r="B452" s="21">
        <v>45468</v>
      </c>
      <c r="C452" s="22">
        <v>0.59939814814814818</v>
      </c>
    </row>
    <row r="453" spans="1:3">
      <c r="A453" t="s">
        <v>32</v>
      </c>
      <c r="B453" s="21">
        <v>45468</v>
      </c>
      <c r="C453" s="22">
        <v>0.59989583333333329</v>
      </c>
    </row>
    <row r="454" spans="1:3">
      <c r="A454" t="s">
        <v>32</v>
      </c>
      <c r="B454" s="21">
        <v>45468</v>
      </c>
      <c r="C454" s="22">
        <v>0.60026620370370365</v>
      </c>
    </row>
    <row r="455" spans="1:3">
      <c r="A455" t="s">
        <v>32</v>
      </c>
      <c r="B455" s="21">
        <v>45468</v>
      </c>
      <c r="C455" s="22">
        <v>0.60054398148148147</v>
      </c>
    </row>
    <row r="456" spans="1:3">
      <c r="A456" t="s">
        <v>32</v>
      </c>
      <c r="B456" s="21">
        <v>45468</v>
      </c>
      <c r="C456" s="22">
        <v>0.60061342592592593</v>
      </c>
    </row>
    <row r="457" spans="1:3">
      <c r="A457" t="s">
        <v>32</v>
      </c>
      <c r="B457" s="21">
        <v>45468</v>
      </c>
      <c r="C457" s="22">
        <v>0.6012615740740741</v>
      </c>
    </row>
    <row r="458" spans="1:3">
      <c r="A458" t="s">
        <v>32</v>
      </c>
      <c r="B458" s="21">
        <v>45468</v>
      </c>
      <c r="C458" s="22">
        <v>0.60138888888888886</v>
      </c>
    </row>
    <row r="459" spans="1:3">
      <c r="A459" t="s">
        <v>32</v>
      </c>
      <c r="B459" s="21">
        <v>45468</v>
      </c>
      <c r="C459" s="22">
        <v>0.6017824074074074</v>
      </c>
    </row>
    <row r="460" spans="1:3">
      <c r="A460" t="s">
        <v>32</v>
      </c>
      <c r="B460" s="21">
        <v>45468</v>
      </c>
      <c r="C460" s="22">
        <v>0.60187500000000005</v>
      </c>
    </row>
    <row r="461" spans="1:3">
      <c r="A461" t="s">
        <v>32</v>
      </c>
      <c r="B461" s="21">
        <v>45468</v>
      </c>
      <c r="C461" s="22">
        <v>0.60233796296296294</v>
      </c>
    </row>
    <row r="462" spans="1:3">
      <c r="A462" t="s">
        <v>32</v>
      </c>
      <c r="B462" s="21">
        <v>45468</v>
      </c>
      <c r="C462" s="22">
        <v>0.60945601851851849</v>
      </c>
    </row>
    <row r="463" spans="1:3">
      <c r="A463" t="s">
        <v>32</v>
      </c>
      <c r="B463" s="21">
        <v>45468</v>
      </c>
      <c r="C463" s="22">
        <v>0.61</v>
      </c>
    </row>
    <row r="464" spans="1:3">
      <c r="A464" t="s">
        <v>32</v>
      </c>
      <c r="B464" s="21">
        <v>45468</v>
      </c>
      <c r="C464" s="22">
        <v>0.62034722222222227</v>
      </c>
    </row>
    <row r="465" spans="1:3">
      <c r="A465" t="s">
        <v>32</v>
      </c>
      <c r="B465" s="21">
        <v>45468</v>
      </c>
      <c r="C465" s="22">
        <v>0.62064814814814817</v>
      </c>
    </row>
    <row r="466" spans="1:3">
      <c r="A466" t="s">
        <v>32</v>
      </c>
      <c r="B466" s="21">
        <v>45468</v>
      </c>
      <c r="C466" s="22">
        <v>0.62466435185185187</v>
      </c>
    </row>
    <row r="467" spans="1:3">
      <c r="A467" t="s">
        <v>32</v>
      </c>
      <c r="B467" s="21">
        <v>45468</v>
      </c>
      <c r="C467" s="22">
        <v>0.62486111111111109</v>
      </c>
    </row>
    <row r="468" spans="1:3">
      <c r="A468" t="s">
        <v>32</v>
      </c>
      <c r="B468" s="21">
        <v>45468</v>
      </c>
      <c r="C468" s="22">
        <v>0.62526620370370367</v>
      </c>
    </row>
    <row r="469" spans="1:3">
      <c r="A469" t="s">
        <v>32</v>
      </c>
      <c r="B469" s="21">
        <v>45468</v>
      </c>
      <c r="C469" s="22">
        <v>0.62592592592592589</v>
      </c>
    </row>
    <row r="470" spans="1:3">
      <c r="A470" t="s">
        <v>32</v>
      </c>
      <c r="B470" s="21">
        <v>45468</v>
      </c>
      <c r="C470" s="22">
        <v>0.62612268518518521</v>
      </c>
    </row>
    <row r="471" spans="1:3">
      <c r="A471" t="s">
        <v>32</v>
      </c>
      <c r="B471" s="21">
        <v>45468</v>
      </c>
      <c r="C471" s="22">
        <v>0.62619212962962967</v>
      </c>
    </row>
    <row r="472" spans="1:3">
      <c r="A472" t="s">
        <v>32</v>
      </c>
      <c r="B472" s="21">
        <v>45468</v>
      </c>
      <c r="C472" s="22">
        <v>0.6262847222222222</v>
      </c>
    </row>
    <row r="473" spans="1:3">
      <c r="A473" t="s">
        <v>32</v>
      </c>
      <c r="B473" s="21">
        <v>45468</v>
      </c>
      <c r="C473" s="22">
        <v>0.6263657407407407</v>
      </c>
    </row>
    <row r="474" spans="1:3">
      <c r="A474" t="s">
        <v>32</v>
      </c>
      <c r="B474" s="21">
        <v>45468</v>
      </c>
      <c r="C474" s="22">
        <v>0.63430555555555557</v>
      </c>
    </row>
    <row r="475" spans="1:3">
      <c r="A475" t="s">
        <v>32</v>
      </c>
      <c r="B475" s="21">
        <v>45468</v>
      </c>
      <c r="C475" s="22">
        <v>0.63618055555555553</v>
      </c>
    </row>
    <row r="476" spans="1:3">
      <c r="A476" t="s">
        <v>32</v>
      </c>
      <c r="B476" s="21">
        <v>45468</v>
      </c>
      <c r="C476" s="22">
        <v>0.6363078703703704</v>
      </c>
    </row>
    <row r="477" spans="1:3">
      <c r="A477" t="s">
        <v>32</v>
      </c>
      <c r="B477" s="21">
        <v>45468</v>
      </c>
      <c r="C477" s="22">
        <v>0.63637731481481485</v>
      </c>
    </row>
    <row r="478" spans="1:3">
      <c r="A478" t="s">
        <v>32</v>
      </c>
      <c r="B478" s="21">
        <v>45468</v>
      </c>
      <c r="C478" s="22">
        <v>0.63648148148148154</v>
      </c>
    </row>
    <row r="479" spans="1:3">
      <c r="A479" t="s">
        <v>32</v>
      </c>
      <c r="B479" s="21">
        <v>45468</v>
      </c>
      <c r="C479" s="22">
        <v>0.6368287037037037</v>
      </c>
    </row>
    <row r="480" spans="1:3">
      <c r="A480" t="s">
        <v>32</v>
      </c>
      <c r="B480" s="21">
        <v>45468</v>
      </c>
      <c r="C480" s="22">
        <v>0.63744212962962965</v>
      </c>
    </row>
    <row r="481" spans="1:3">
      <c r="A481" t="s">
        <v>32</v>
      </c>
      <c r="B481" s="21">
        <v>45468</v>
      </c>
      <c r="C481" s="22">
        <v>0.63778935185185182</v>
      </c>
    </row>
    <row r="482" spans="1:3">
      <c r="A482" t="s">
        <v>32</v>
      </c>
      <c r="B482" s="21">
        <v>45468</v>
      </c>
      <c r="C482" s="22">
        <v>0.64038194444444441</v>
      </c>
    </row>
    <row r="483" spans="1:3">
      <c r="A483" t="s">
        <v>32</v>
      </c>
      <c r="B483" s="21">
        <v>45468</v>
      </c>
      <c r="C483" s="22">
        <v>0.64049768518518524</v>
      </c>
    </row>
    <row r="484" spans="1:3">
      <c r="A484" t="s">
        <v>32</v>
      </c>
      <c r="B484" s="21">
        <v>45468</v>
      </c>
      <c r="C484" s="22">
        <v>0.64107638888888885</v>
      </c>
    </row>
    <row r="485" spans="1:3">
      <c r="A485" t="s">
        <v>32</v>
      </c>
      <c r="B485" s="21">
        <v>45468</v>
      </c>
      <c r="C485" s="22">
        <v>0.6439583333333333</v>
      </c>
    </row>
    <row r="486" spans="1:3">
      <c r="A486" t="s">
        <v>32</v>
      </c>
      <c r="B486" s="21">
        <v>45468</v>
      </c>
      <c r="C486" s="22">
        <v>0.6448842592592593</v>
      </c>
    </row>
    <row r="487" spans="1:3">
      <c r="A487" t="s">
        <v>32</v>
      </c>
      <c r="B487" s="21">
        <v>45468</v>
      </c>
      <c r="C487" s="22">
        <v>0.64603009259259259</v>
      </c>
    </row>
    <row r="488" spans="1:3">
      <c r="A488" t="s">
        <v>32</v>
      </c>
      <c r="B488" s="21">
        <v>45468</v>
      </c>
      <c r="C488" s="22">
        <v>0.64748842592592593</v>
      </c>
    </row>
    <row r="489" spans="1:3">
      <c r="A489" t="s">
        <v>32</v>
      </c>
      <c r="B489" s="21">
        <v>45468</v>
      </c>
      <c r="C489" s="22">
        <v>0.64822916666666663</v>
      </c>
    </row>
    <row r="490" spans="1:3">
      <c r="A490" t="s">
        <v>32</v>
      </c>
      <c r="B490" s="21">
        <v>45468</v>
      </c>
      <c r="C490" s="22">
        <v>0.64930555555555558</v>
      </c>
    </row>
    <row r="491" spans="1:3">
      <c r="A491" t="s">
        <v>32</v>
      </c>
      <c r="B491" s="21">
        <v>45468</v>
      </c>
      <c r="C491" s="22">
        <v>0.64957175925925925</v>
      </c>
    </row>
    <row r="492" spans="1:3">
      <c r="A492" t="s">
        <v>32</v>
      </c>
      <c r="B492" s="21">
        <v>45468</v>
      </c>
      <c r="C492" s="22">
        <v>0.64968749999999997</v>
      </c>
    </row>
    <row r="493" spans="1:3">
      <c r="A493" t="s">
        <v>32</v>
      </c>
      <c r="B493" s="21">
        <v>45468</v>
      </c>
      <c r="C493" s="22">
        <v>0.64975694444444443</v>
      </c>
    </row>
    <row r="494" spans="1:3">
      <c r="A494" t="s">
        <v>32</v>
      </c>
      <c r="B494" s="21">
        <v>45468</v>
      </c>
      <c r="C494" s="22">
        <v>0.64984953703703707</v>
      </c>
    </row>
    <row r="495" spans="1:3">
      <c r="A495" t="s">
        <v>32</v>
      </c>
      <c r="B495" s="21">
        <v>45468</v>
      </c>
      <c r="C495" s="22">
        <v>0.64998842592592587</v>
      </c>
    </row>
    <row r="496" spans="1:3">
      <c r="A496" t="s">
        <v>32</v>
      </c>
      <c r="B496" s="21">
        <v>45468</v>
      </c>
      <c r="C496" s="22">
        <v>0.6502430555555555</v>
      </c>
    </row>
    <row r="497" spans="1:3">
      <c r="A497" t="s">
        <v>32</v>
      </c>
      <c r="B497" s="21">
        <v>45468</v>
      </c>
      <c r="C497" s="22">
        <v>0.65032407407407411</v>
      </c>
    </row>
    <row r="498" spans="1:3">
      <c r="A498" t="s">
        <v>32</v>
      </c>
      <c r="B498" s="21">
        <v>45468</v>
      </c>
      <c r="C498" s="22">
        <v>0.65056712962962959</v>
      </c>
    </row>
    <row r="499" spans="1:3">
      <c r="A499" t="s">
        <v>32</v>
      </c>
      <c r="B499" s="21">
        <v>45468</v>
      </c>
      <c r="C499" s="22">
        <v>0.65208333333333335</v>
      </c>
    </row>
    <row r="500" spans="1:3">
      <c r="A500" t="s">
        <v>32</v>
      </c>
      <c r="B500" s="21">
        <v>45468</v>
      </c>
      <c r="C500" s="22">
        <v>0.65236111111111106</v>
      </c>
    </row>
    <row r="501" spans="1:3">
      <c r="A501" t="s">
        <v>32</v>
      </c>
      <c r="B501" s="21">
        <v>45468</v>
      </c>
      <c r="C501" s="22">
        <v>0.65402777777777776</v>
      </c>
    </row>
    <row r="502" spans="1:3">
      <c r="A502" t="s">
        <v>32</v>
      </c>
      <c r="B502" s="21">
        <v>45468</v>
      </c>
      <c r="C502" s="22">
        <v>0.65410879629629626</v>
      </c>
    </row>
    <row r="503" spans="1:3">
      <c r="A503" t="s">
        <v>32</v>
      </c>
      <c r="B503" s="21">
        <v>45468</v>
      </c>
      <c r="C503" s="22">
        <v>0.65493055555555557</v>
      </c>
    </row>
    <row r="504" spans="1:3">
      <c r="A504" t="s">
        <v>32</v>
      </c>
      <c r="B504" s="21">
        <v>45468</v>
      </c>
      <c r="C504" s="22">
        <v>0.65591435185185187</v>
      </c>
    </row>
    <row r="505" spans="1:3">
      <c r="A505" t="s">
        <v>32</v>
      </c>
      <c r="B505" s="21">
        <v>45468</v>
      </c>
      <c r="C505" s="22">
        <v>0.65767361111111111</v>
      </c>
    </row>
    <row r="506" spans="1:3">
      <c r="A506" t="s">
        <v>32</v>
      </c>
      <c r="B506" s="21">
        <v>45468</v>
      </c>
      <c r="C506" s="22">
        <v>0.65822916666666664</v>
      </c>
    </row>
    <row r="507" spans="1:3">
      <c r="A507" t="s">
        <v>32</v>
      </c>
      <c r="B507" s="21">
        <v>45468</v>
      </c>
      <c r="C507" s="22">
        <v>0.66387731481481482</v>
      </c>
    </row>
    <row r="508" spans="1:3">
      <c r="A508" t="s">
        <v>32</v>
      </c>
      <c r="B508" s="21">
        <v>45468</v>
      </c>
      <c r="C508" s="22">
        <v>0.66685185185185181</v>
      </c>
    </row>
    <row r="509" spans="1:3">
      <c r="A509" t="s">
        <v>32</v>
      </c>
      <c r="B509" s="21">
        <v>45468</v>
      </c>
      <c r="C509" s="22">
        <v>0.66920138888888892</v>
      </c>
    </row>
    <row r="510" spans="1:3">
      <c r="A510" t="s">
        <v>32</v>
      </c>
      <c r="B510" s="21">
        <v>45468</v>
      </c>
      <c r="C510" s="22">
        <v>0.6694444444444444</v>
      </c>
    </row>
    <row r="511" spans="1:3">
      <c r="A511" t="s">
        <v>32</v>
      </c>
      <c r="B511" s="21">
        <v>45468</v>
      </c>
      <c r="C511" s="22">
        <v>0.67033564814814817</v>
      </c>
    </row>
    <row r="512" spans="1:3">
      <c r="A512" t="s">
        <v>32</v>
      </c>
      <c r="B512" s="21">
        <v>45468</v>
      </c>
      <c r="C512" s="22">
        <v>0.67192129629629627</v>
      </c>
    </row>
    <row r="513" spans="1:3">
      <c r="A513" t="s">
        <v>32</v>
      </c>
      <c r="B513" s="21">
        <v>45468</v>
      </c>
      <c r="C513" s="22">
        <v>0.67329861111111111</v>
      </c>
    </row>
    <row r="514" spans="1:3">
      <c r="A514" t="s">
        <v>32</v>
      </c>
      <c r="B514" s="21">
        <v>45468</v>
      </c>
      <c r="C514" s="22">
        <v>0.6734606481481481</v>
      </c>
    </row>
    <row r="515" spans="1:3">
      <c r="A515" t="s">
        <v>32</v>
      </c>
      <c r="B515" s="21">
        <v>45468</v>
      </c>
      <c r="C515" s="22">
        <v>0.67400462962962959</v>
      </c>
    </row>
    <row r="516" spans="1:3">
      <c r="A516" t="s">
        <v>32</v>
      </c>
      <c r="B516" s="21">
        <v>45468</v>
      </c>
      <c r="C516" s="22">
        <v>0.67409722222222224</v>
      </c>
    </row>
    <row r="517" spans="1:3">
      <c r="A517" t="s">
        <v>32</v>
      </c>
      <c r="B517" s="21">
        <v>45468</v>
      </c>
      <c r="C517" s="22">
        <v>0.67413194444444446</v>
      </c>
    </row>
    <row r="518" spans="1:3">
      <c r="A518" t="s">
        <v>32</v>
      </c>
      <c r="B518" s="21">
        <v>45468</v>
      </c>
      <c r="C518" s="22">
        <v>0.67496527777777782</v>
      </c>
    </row>
    <row r="519" spans="1:3">
      <c r="A519" t="s">
        <v>32</v>
      </c>
      <c r="B519" s="21">
        <v>45468</v>
      </c>
      <c r="C519" s="22">
        <v>0.67527777777777775</v>
      </c>
    </row>
    <row r="520" spans="1:3">
      <c r="A520" t="s">
        <v>32</v>
      </c>
      <c r="B520" s="21">
        <v>45468</v>
      </c>
      <c r="C520" s="22">
        <v>0.67532407407407402</v>
      </c>
    </row>
    <row r="521" spans="1:3">
      <c r="A521" t="s">
        <v>32</v>
      </c>
      <c r="B521" s="21">
        <v>45468</v>
      </c>
      <c r="C521" s="22">
        <v>0.67539351851851848</v>
      </c>
    </row>
    <row r="522" spans="1:3">
      <c r="A522" t="s">
        <v>32</v>
      </c>
      <c r="B522" s="21">
        <v>45468</v>
      </c>
      <c r="C522" s="22">
        <v>0.67548611111111112</v>
      </c>
    </row>
    <row r="523" spans="1:3">
      <c r="A523" t="s">
        <v>32</v>
      </c>
      <c r="B523" s="21">
        <v>45468</v>
      </c>
      <c r="C523" s="22">
        <v>0.67666666666666664</v>
      </c>
    </row>
    <row r="524" spans="1:3">
      <c r="A524" t="s">
        <v>32</v>
      </c>
      <c r="B524" s="21">
        <v>45468</v>
      </c>
      <c r="C524" s="22">
        <v>0.67776620370370366</v>
      </c>
    </row>
    <row r="525" spans="1:3">
      <c r="A525" t="s">
        <v>32</v>
      </c>
      <c r="B525" s="21">
        <v>45468</v>
      </c>
      <c r="C525" s="22">
        <v>0.67975694444444446</v>
      </c>
    </row>
    <row r="526" spans="1:3">
      <c r="A526" t="s">
        <v>32</v>
      </c>
      <c r="B526" s="21">
        <v>45468</v>
      </c>
      <c r="C526" s="22">
        <v>0.68016203703703704</v>
      </c>
    </row>
    <row r="527" spans="1:3">
      <c r="A527" t="s">
        <v>32</v>
      </c>
      <c r="B527" s="21">
        <v>45468</v>
      </c>
      <c r="C527" s="22">
        <v>0.68120370370370376</v>
      </c>
    </row>
    <row r="528" spans="1:3">
      <c r="A528" t="s">
        <v>32</v>
      </c>
      <c r="B528" s="21">
        <v>45468</v>
      </c>
      <c r="C528" s="22">
        <v>0.68175925925925929</v>
      </c>
    </row>
    <row r="529" spans="1:3">
      <c r="A529" t="s">
        <v>32</v>
      </c>
      <c r="B529" s="21">
        <v>45468</v>
      </c>
      <c r="C529" s="22">
        <v>0.68186342592592597</v>
      </c>
    </row>
    <row r="530" spans="1:3">
      <c r="A530" t="s">
        <v>32</v>
      </c>
      <c r="B530" s="21">
        <v>45468</v>
      </c>
      <c r="C530" s="22">
        <v>0.68224537037037036</v>
      </c>
    </row>
    <row r="531" spans="1:3">
      <c r="A531" t="s">
        <v>32</v>
      </c>
      <c r="B531" s="21">
        <v>45468</v>
      </c>
      <c r="C531" s="22">
        <v>0.6824189814814815</v>
      </c>
    </row>
    <row r="532" spans="1:3">
      <c r="A532" t="s">
        <v>32</v>
      </c>
      <c r="B532" s="21">
        <v>45468</v>
      </c>
      <c r="C532" s="22">
        <v>0.68258101851851849</v>
      </c>
    </row>
    <row r="533" spans="1:3">
      <c r="A533" t="s">
        <v>32</v>
      </c>
      <c r="B533" s="21">
        <v>45468</v>
      </c>
      <c r="C533" s="22">
        <v>0.68287037037037035</v>
      </c>
    </row>
    <row r="534" spans="1:3">
      <c r="A534" t="s">
        <v>32</v>
      </c>
      <c r="B534" s="21">
        <v>45468</v>
      </c>
      <c r="C534" s="22">
        <v>0.6831018518518519</v>
      </c>
    </row>
    <row r="535" spans="1:3">
      <c r="A535" t="s">
        <v>32</v>
      </c>
      <c r="B535" s="21">
        <v>45468</v>
      </c>
      <c r="C535" s="22">
        <v>0.68357638888888894</v>
      </c>
    </row>
    <row r="536" spans="1:3">
      <c r="A536" t="s">
        <v>32</v>
      </c>
      <c r="B536" s="21">
        <v>45468</v>
      </c>
      <c r="C536" s="22">
        <v>0.68381944444444442</v>
      </c>
    </row>
    <row r="537" spans="1:3">
      <c r="A537" t="s">
        <v>32</v>
      </c>
      <c r="B537" s="21">
        <v>45468</v>
      </c>
      <c r="C537" s="22">
        <v>0.68414351851851851</v>
      </c>
    </row>
    <row r="538" spans="1:3">
      <c r="A538" t="s">
        <v>32</v>
      </c>
      <c r="B538" s="21">
        <v>45468</v>
      </c>
      <c r="C538" s="22">
        <v>0.68429398148148146</v>
      </c>
    </row>
    <row r="539" spans="1:3">
      <c r="A539" t="s">
        <v>32</v>
      </c>
      <c r="B539" s="21">
        <v>45468</v>
      </c>
      <c r="C539" s="22">
        <v>0.68467592592592597</v>
      </c>
    </row>
    <row r="540" spans="1:3">
      <c r="A540" t="s">
        <v>32</v>
      </c>
      <c r="B540" s="21">
        <v>45468</v>
      </c>
      <c r="C540" s="22">
        <v>0.68480324074074073</v>
      </c>
    </row>
    <row r="541" spans="1:3">
      <c r="A541" t="s">
        <v>32</v>
      </c>
      <c r="B541" s="21">
        <v>45468</v>
      </c>
      <c r="C541" s="22">
        <v>0.68487268518518518</v>
      </c>
    </row>
    <row r="542" spans="1:3">
      <c r="A542" t="s">
        <v>32</v>
      </c>
      <c r="B542" s="21">
        <v>45468</v>
      </c>
      <c r="C542" s="22">
        <v>0.6849884259259259</v>
      </c>
    </row>
    <row r="543" spans="1:3">
      <c r="A543" t="s">
        <v>32</v>
      </c>
      <c r="B543" s="21">
        <v>45468</v>
      </c>
      <c r="C543" s="22">
        <v>0.68518518518518523</v>
      </c>
    </row>
    <row r="544" spans="1:3">
      <c r="A544" t="s">
        <v>32</v>
      </c>
      <c r="B544" s="21">
        <v>45468</v>
      </c>
      <c r="C544" s="22">
        <v>0.6852893518518518</v>
      </c>
    </row>
    <row r="545" spans="1:3">
      <c r="A545" t="s">
        <v>32</v>
      </c>
      <c r="B545" s="21">
        <v>45468</v>
      </c>
      <c r="C545" s="22">
        <v>0.68623842592592588</v>
      </c>
    </row>
    <row r="546" spans="1:3">
      <c r="A546" t="s">
        <v>32</v>
      </c>
      <c r="B546" s="21">
        <v>45468</v>
      </c>
      <c r="C546" s="22">
        <v>0.68674768518518514</v>
      </c>
    </row>
    <row r="547" spans="1:3">
      <c r="A547" t="s">
        <v>32</v>
      </c>
      <c r="B547" s="21">
        <v>45468</v>
      </c>
      <c r="C547" s="22">
        <v>0.68704861111111115</v>
      </c>
    </row>
    <row r="548" spans="1:3">
      <c r="A548" t="s">
        <v>32</v>
      </c>
      <c r="B548" s="21">
        <v>45468</v>
      </c>
      <c r="C548" s="22">
        <v>0.68715277777777772</v>
      </c>
    </row>
    <row r="549" spans="1:3">
      <c r="A549" t="s">
        <v>32</v>
      </c>
      <c r="B549" s="21">
        <v>45468</v>
      </c>
      <c r="C549" s="22">
        <v>0.68741898148148151</v>
      </c>
    </row>
    <row r="550" spans="1:3">
      <c r="A550" t="s">
        <v>32</v>
      </c>
      <c r="B550" s="21">
        <v>45468</v>
      </c>
      <c r="C550" s="22">
        <v>0.68746527777777777</v>
      </c>
    </row>
    <row r="551" spans="1:3">
      <c r="A551" t="s">
        <v>32</v>
      </c>
      <c r="B551" s="21">
        <v>45468</v>
      </c>
      <c r="C551" s="22">
        <v>0.71087962962962958</v>
      </c>
    </row>
    <row r="552" spans="1:3">
      <c r="A552" t="s">
        <v>32</v>
      </c>
      <c r="B552" s="21">
        <v>45468</v>
      </c>
      <c r="C552" s="22">
        <v>0.71100694444444446</v>
      </c>
    </row>
    <row r="553" spans="1:3">
      <c r="A553" t="s">
        <v>32</v>
      </c>
      <c r="B553" s="21">
        <v>45470</v>
      </c>
      <c r="C553" s="22">
        <v>0.55398148148148152</v>
      </c>
    </row>
    <row r="554" spans="1:3">
      <c r="A554" t="s">
        <v>32</v>
      </c>
      <c r="B554" s="21">
        <v>45470</v>
      </c>
      <c r="C554" s="22">
        <v>0.55425925925925923</v>
      </c>
    </row>
    <row r="555" spans="1:3">
      <c r="A555" t="s">
        <v>32</v>
      </c>
      <c r="B555" s="21">
        <v>45470</v>
      </c>
      <c r="C555" s="22">
        <v>0.5544675925925926</v>
      </c>
    </row>
    <row r="556" spans="1:3">
      <c r="A556" t="s">
        <v>32</v>
      </c>
      <c r="B556" s="21">
        <v>45470</v>
      </c>
      <c r="C556" s="22">
        <v>0.56460648148148151</v>
      </c>
    </row>
    <row r="557" spans="1:3">
      <c r="A557" t="s">
        <v>32</v>
      </c>
      <c r="B557" s="21">
        <v>45471</v>
      </c>
      <c r="C557" s="22">
        <v>0.4609375</v>
      </c>
    </row>
    <row r="558" spans="1:3">
      <c r="A558" t="s">
        <v>32</v>
      </c>
      <c r="B558" s="21">
        <v>45471</v>
      </c>
      <c r="C558" s="22">
        <v>0.46114583333333331</v>
      </c>
    </row>
    <row r="559" spans="1:3">
      <c r="A559" t="s">
        <v>32</v>
      </c>
      <c r="B559" s="21">
        <v>45471</v>
      </c>
      <c r="C559" s="22">
        <v>0.46804398148148146</v>
      </c>
    </row>
    <row r="560" spans="1:3">
      <c r="A560" t="s">
        <v>32</v>
      </c>
      <c r="B560" s="21">
        <v>45471</v>
      </c>
      <c r="C560" s="22">
        <v>0.46811342592592592</v>
      </c>
    </row>
    <row r="561" spans="1:3">
      <c r="A561" t="s">
        <v>32</v>
      </c>
      <c r="B561" s="21">
        <v>45471</v>
      </c>
      <c r="C561" s="22">
        <v>0.46961805555555558</v>
      </c>
    </row>
    <row r="562" spans="1:3">
      <c r="A562" t="s">
        <v>32</v>
      </c>
      <c r="B562" s="21">
        <v>45471</v>
      </c>
      <c r="C562" s="22">
        <v>0.4698148148148148</v>
      </c>
    </row>
    <row r="563" spans="1:3">
      <c r="A563" t="s">
        <v>32</v>
      </c>
      <c r="B563" s="21">
        <v>45471</v>
      </c>
      <c r="C563" s="22">
        <v>0.47060185185185183</v>
      </c>
    </row>
    <row r="564" spans="1:3">
      <c r="A564" t="s">
        <v>32</v>
      </c>
      <c r="B564" s="21">
        <v>45471</v>
      </c>
      <c r="C564" s="22">
        <v>0.47076388888888887</v>
      </c>
    </row>
    <row r="565" spans="1:3">
      <c r="A565" t="s">
        <v>32</v>
      </c>
      <c r="B565" s="21">
        <v>45471</v>
      </c>
      <c r="C565" s="22">
        <v>0.4712615740740741</v>
      </c>
    </row>
    <row r="566" spans="1:3">
      <c r="A566" t="s">
        <v>32</v>
      </c>
      <c r="B566" s="21">
        <v>45471</v>
      </c>
      <c r="C566" s="22">
        <v>0.47165509259259258</v>
      </c>
    </row>
    <row r="567" spans="1:3">
      <c r="A567" t="s">
        <v>32</v>
      </c>
      <c r="B567" s="21">
        <v>45471</v>
      </c>
      <c r="C567" s="22">
        <v>0.47187499999999999</v>
      </c>
    </row>
    <row r="568" spans="1:3">
      <c r="A568" t="s">
        <v>32</v>
      </c>
      <c r="B568" s="21">
        <v>45471</v>
      </c>
      <c r="C568" s="22">
        <v>0.47202546296296294</v>
      </c>
    </row>
    <row r="569" spans="1:3">
      <c r="A569" t="s">
        <v>32</v>
      </c>
      <c r="B569" s="21">
        <v>45471</v>
      </c>
      <c r="C569" s="22">
        <v>0.47226851851851853</v>
      </c>
    </row>
    <row r="570" spans="1:3">
      <c r="A570" t="s">
        <v>32</v>
      </c>
      <c r="B570" s="21">
        <v>45471</v>
      </c>
      <c r="C570" s="22">
        <v>0.47259259259259262</v>
      </c>
    </row>
    <row r="571" spans="1:3">
      <c r="A571" t="s">
        <v>32</v>
      </c>
      <c r="B571" s="21">
        <v>45471</v>
      </c>
      <c r="C571" s="22">
        <v>0.47365740740740742</v>
      </c>
    </row>
    <row r="572" spans="1:3">
      <c r="A572" t="s">
        <v>32</v>
      </c>
      <c r="B572" s="21">
        <v>45471</v>
      </c>
      <c r="C572" s="22">
        <v>0.47424768518518517</v>
      </c>
    </row>
    <row r="573" spans="1:3">
      <c r="A573" t="s">
        <v>32</v>
      </c>
      <c r="B573" s="21">
        <v>45471</v>
      </c>
      <c r="C573" s="22">
        <v>0.47494212962962962</v>
      </c>
    </row>
    <row r="574" spans="1:3">
      <c r="A574" t="s">
        <v>32</v>
      </c>
      <c r="B574" s="21">
        <v>45471</v>
      </c>
      <c r="C574" s="22">
        <v>0.47513888888888889</v>
      </c>
    </row>
    <row r="575" spans="1:3">
      <c r="A575" t="s">
        <v>32</v>
      </c>
      <c r="B575" s="21">
        <v>45471</v>
      </c>
      <c r="C575" s="22">
        <v>0.47535879629629629</v>
      </c>
    </row>
    <row r="576" spans="1:3">
      <c r="A576" t="s">
        <v>32</v>
      </c>
      <c r="B576" s="21">
        <v>45471</v>
      </c>
      <c r="C576" s="22">
        <v>0.47561342592592593</v>
      </c>
    </row>
    <row r="577" spans="1:3">
      <c r="A577" t="s">
        <v>32</v>
      </c>
      <c r="B577" s="21">
        <v>45471</v>
      </c>
      <c r="C577" s="22">
        <v>0.47627314814814814</v>
      </c>
    </row>
    <row r="578" spans="1:3">
      <c r="A578" t="s">
        <v>32</v>
      </c>
      <c r="B578" s="21">
        <v>45471</v>
      </c>
      <c r="C578" s="22">
        <v>0.47665509259259259</v>
      </c>
    </row>
    <row r="579" spans="1:3">
      <c r="A579" t="s">
        <v>32</v>
      </c>
      <c r="B579" s="21">
        <v>45471</v>
      </c>
      <c r="C579" s="22">
        <v>0.4768634259259259</v>
      </c>
    </row>
    <row r="580" spans="1:3">
      <c r="A580" t="s">
        <v>32</v>
      </c>
      <c r="B580" s="21">
        <v>45471</v>
      </c>
      <c r="C580" s="22">
        <v>0.47702546296296294</v>
      </c>
    </row>
    <row r="581" spans="1:3">
      <c r="A581" t="s">
        <v>32</v>
      </c>
      <c r="B581" s="21">
        <v>45471</v>
      </c>
      <c r="C581" s="22">
        <v>0.47717592592592595</v>
      </c>
    </row>
    <row r="582" spans="1:3">
      <c r="A582" t="s">
        <v>32</v>
      </c>
      <c r="B582" s="21">
        <v>45471</v>
      </c>
      <c r="C582" s="22">
        <v>0.47726851851851854</v>
      </c>
    </row>
    <row r="583" spans="1:3">
      <c r="A583" t="s">
        <v>32</v>
      </c>
      <c r="B583" s="21">
        <v>45471</v>
      </c>
      <c r="C583" s="22">
        <v>0.47738425925925926</v>
      </c>
    </row>
    <row r="584" spans="1:3">
      <c r="A584" t="s">
        <v>32</v>
      </c>
      <c r="B584" s="21">
        <v>45471</v>
      </c>
      <c r="C584" s="22">
        <v>0.47790509259259262</v>
      </c>
    </row>
    <row r="585" spans="1:3">
      <c r="A585" t="s">
        <v>32</v>
      </c>
      <c r="B585" s="21">
        <v>45471</v>
      </c>
      <c r="C585" s="22">
        <v>0.4782986111111111</v>
      </c>
    </row>
    <row r="586" spans="1:3">
      <c r="A586" t="s">
        <v>32</v>
      </c>
      <c r="B586" s="21">
        <v>45471</v>
      </c>
      <c r="C586" s="22">
        <v>0.47886574074074073</v>
      </c>
    </row>
    <row r="587" spans="1:3">
      <c r="A587" t="s">
        <v>32</v>
      </c>
      <c r="B587" s="21">
        <v>45471</v>
      </c>
      <c r="C587" s="22">
        <v>0.47905092592592591</v>
      </c>
    </row>
    <row r="588" spans="1:3">
      <c r="A588" t="s">
        <v>32</v>
      </c>
      <c r="B588" s="21">
        <v>45471</v>
      </c>
      <c r="C588" s="22">
        <v>0.47912037037037036</v>
      </c>
    </row>
    <row r="589" spans="1:3">
      <c r="A589" t="s">
        <v>32</v>
      </c>
      <c r="B589" s="21">
        <v>45471</v>
      </c>
      <c r="C589" s="22">
        <v>0.47939814814814813</v>
      </c>
    </row>
    <row r="590" spans="1:3">
      <c r="A590" t="s">
        <v>32</v>
      </c>
      <c r="B590" s="21">
        <v>45471</v>
      </c>
      <c r="C590" s="22">
        <v>0.47975694444444444</v>
      </c>
    </row>
    <row r="591" spans="1:3">
      <c r="A591" t="s">
        <v>32</v>
      </c>
      <c r="B591" s="21">
        <v>45471</v>
      </c>
      <c r="C591" s="22">
        <v>0.47990740740740739</v>
      </c>
    </row>
    <row r="592" spans="1:3">
      <c r="A592" t="s">
        <v>32</v>
      </c>
      <c r="B592" s="21">
        <v>45471</v>
      </c>
      <c r="C592" s="22">
        <v>0.47998842592592594</v>
      </c>
    </row>
    <row r="593" spans="1:3">
      <c r="A593" t="s">
        <v>32</v>
      </c>
      <c r="B593" s="21">
        <v>45471</v>
      </c>
      <c r="C593" s="22">
        <v>0.48020833333333335</v>
      </c>
    </row>
    <row r="594" spans="1:3">
      <c r="A594" t="s">
        <v>32</v>
      </c>
      <c r="B594" s="21">
        <v>45471</v>
      </c>
      <c r="C594" s="22">
        <v>0.48041666666666666</v>
      </c>
    </row>
    <row r="595" spans="1:3">
      <c r="A595" t="s">
        <v>32</v>
      </c>
      <c r="B595" s="21">
        <v>45471</v>
      </c>
      <c r="C595" s="22">
        <v>0.48084490740740743</v>
      </c>
    </row>
    <row r="596" spans="1:3">
      <c r="A596" t="s">
        <v>32</v>
      </c>
      <c r="B596" s="21">
        <v>45471</v>
      </c>
      <c r="C596" s="22">
        <v>0.48093750000000002</v>
      </c>
    </row>
    <row r="597" spans="1:3">
      <c r="A597" t="s">
        <v>32</v>
      </c>
      <c r="B597" s="21">
        <v>45471</v>
      </c>
      <c r="C597" s="22">
        <v>0.48153935185185187</v>
      </c>
    </row>
    <row r="598" spans="1:3">
      <c r="A598" t="s">
        <v>32</v>
      </c>
      <c r="B598" s="21">
        <v>45471</v>
      </c>
      <c r="C598" s="22">
        <v>0.48162037037037037</v>
      </c>
    </row>
    <row r="599" spans="1:3">
      <c r="A599" t="s">
        <v>32</v>
      </c>
      <c r="B599" s="21">
        <v>45471</v>
      </c>
      <c r="C599" s="22">
        <v>0.48278935185185184</v>
      </c>
    </row>
    <row r="600" spans="1:3">
      <c r="A600" t="s">
        <v>32</v>
      </c>
      <c r="B600" s="21">
        <v>45471</v>
      </c>
      <c r="C600" s="22">
        <v>0.48293981481481479</v>
      </c>
    </row>
    <row r="601" spans="1:3">
      <c r="A601" t="s">
        <v>32</v>
      </c>
      <c r="B601" s="21">
        <v>45471</v>
      </c>
      <c r="C601" s="22">
        <v>0.48300925925925925</v>
      </c>
    </row>
    <row r="602" spans="1:3">
      <c r="A602" t="s">
        <v>32</v>
      </c>
      <c r="B602" s="21">
        <v>45471</v>
      </c>
      <c r="C602" s="22">
        <v>0.48318287037037039</v>
      </c>
    </row>
    <row r="603" spans="1:3">
      <c r="A603" t="s">
        <v>32</v>
      </c>
      <c r="B603" s="21">
        <v>45471</v>
      </c>
      <c r="C603" s="22">
        <v>0.48395833333333332</v>
      </c>
    </row>
    <row r="604" spans="1:3">
      <c r="A604" t="s">
        <v>32</v>
      </c>
      <c r="B604" s="21">
        <v>45471</v>
      </c>
      <c r="C604" s="22">
        <v>0.48406250000000001</v>
      </c>
    </row>
    <row r="605" spans="1:3">
      <c r="A605" t="s">
        <v>32</v>
      </c>
      <c r="B605" s="21">
        <v>45471</v>
      </c>
      <c r="C605" s="22">
        <v>0.48416666666666669</v>
      </c>
    </row>
    <row r="606" spans="1:3">
      <c r="A606" t="s">
        <v>32</v>
      </c>
      <c r="B606" s="21">
        <v>45471</v>
      </c>
      <c r="C606" s="22">
        <v>0.48488425925925926</v>
      </c>
    </row>
    <row r="607" spans="1:3">
      <c r="A607" t="s">
        <v>32</v>
      </c>
      <c r="B607" s="21">
        <v>45471</v>
      </c>
      <c r="C607" s="22">
        <v>0.48497685185185185</v>
      </c>
    </row>
    <row r="608" spans="1:3">
      <c r="A608" t="s">
        <v>32</v>
      </c>
      <c r="B608" s="21">
        <v>45471</v>
      </c>
      <c r="C608" s="22">
        <v>0.48517361111111112</v>
      </c>
    </row>
    <row r="609" spans="1:3">
      <c r="A609" t="s">
        <v>32</v>
      </c>
      <c r="B609" s="21">
        <v>45471</v>
      </c>
      <c r="C609" s="22">
        <v>0.48599537037037038</v>
      </c>
    </row>
    <row r="610" spans="1:3">
      <c r="A610" t="s">
        <v>32</v>
      </c>
      <c r="B610" s="21">
        <v>45471</v>
      </c>
      <c r="C610" s="22">
        <v>0.48662037037037037</v>
      </c>
    </row>
    <row r="611" spans="1:3">
      <c r="A611" t="s">
        <v>32</v>
      </c>
      <c r="B611" s="21">
        <v>45471</v>
      </c>
      <c r="C611" s="22">
        <v>0.48697916666666669</v>
      </c>
    </row>
    <row r="612" spans="1:3">
      <c r="A612" t="s">
        <v>32</v>
      </c>
      <c r="B612" s="21">
        <v>45471</v>
      </c>
      <c r="C612" s="22">
        <v>0.48744212962962963</v>
      </c>
    </row>
    <row r="613" spans="1:3">
      <c r="A613" t="s">
        <v>32</v>
      </c>
      <c r="B613" s="21">
        <v>45471</v>
      </c>
      <c r="C613" s="22">
        <v>0.48758101851851854</v>
      </c>
    </row>
    <row r="614" spans="1:3">
      <c r="A614" t="s">
        <v>32</v>
      </c>
      <c r="B614" s="21">
        <v>45471</v>
      </c>
      <c r="C614" s="22">
        <v>0.48769675925925926</v>
      </c>
    </row>
    <row r="615" spans="1:3">
      <c r="A615" t="s">
        <v>32</v>
      </c>
      <c r="B615" s="21">
        <v>45471</v>
      </c>
      <c r="C615" s="22">
        <v>0.48795138888888889</v>
      </c>
    </row>
    <row r="616" spans="1:3">
      <c r="A616" t="s">
        <v>32</v>
      </c>
      <c r="B616" s="21">
        <v>45471</v>
      </c>
      <c r="C616" s="22">
        <v>0.48854166666666665</v>
      </c>
    </row>
    <row r="617" spans="1:3">
      <c r="A617" t="s">
        <v>32</v>
      </c>
      <c r="B617" s="21">
        <v>45471</v>
      </c>
      <c r="C617" s="22">
        <v>0.48895833333333333</v>
      </c>
    </row>
    <row r="618" spans="1:3">
      <c r="A618" t="s">
        <v>32</v>
      </c>
      <c r="B618" s="21">
        <v>45471</v>
      </c>
      <c r="C618" s="22">
        <v>0.48920138888888887</v>
      </c>
    </row>
    <row r="619" spans="1:3">
      <c r="A619" t="s">
        <v>32</v>
      </c>
      <c r="B619" s="21">
        <v>45471</v>
      </c>
      <c r="C619" s="22">
        <v>0.49157407407407405</v>
      </c>
    </row>
    <row r="620" spans="1:3">
      <c r="A620" t="s">
        <v>32</v>
      </c>
      <c r="B620" s="21">
        <v>45471</v>
      </c>
      <c r="C620" s="22">
        <v>0.49253472222222222</v>
      </c>
    </row>
    <row r="621" spans="1:3">
      <c r="A621" t="s">
        <v>32</v>
      </c>
      <c r="B621" s="21">
        <v>45471</v>
      </c>
      <c r="C621" s="22">
        <v>0.49353009259259262</v>
      </c>
    </row>
    <row r="622" spans="1:3">
      <c r="A622" t="s">
        <v>32</v>
      </c>
      <c r="B622" s="21">
        <v>45471</v>
      </c>
      <c r="C622" s="22">
        <v>0.49443287037037037</v>
      </c>
    </row>
    <row r="623" spans="1:3">
      <c r="A623" t="s">
        <v>32</v>
      </c>
      <c r="B623" s="21">
        <v>45471</v>
      </c>
      <c r="C623" s="22">
        <v>0.49528935185185186</v>
      </c>
    </row>
    <row r="624" spans="1:3">
      <c r="A624" t="s">
        <v>32</v>
      </c>
      <c r="B624" s="21">
        <v>45471</v>
      </c>
      <c r="C624" s="22">
        <v>0.49577546296296299</v>
      </c>
    </row>
    <row r="625" spans="1:3">
      <c r="A625" t="s">
        <v>32</v>
      </c>
      <c r="B625" s="21">
        <v>45471</v>
      </c>
      <c r="C625" s="22">
        <v>0.49589120370370371</v>
      </c>
    </row>
    <row r="626" spans="1:3">
      <c r="A626" t="s">
        <v>32</v>
      </c>
      <c r="B626" s="21">
        <v>45471</v>
      </c>
      <c r="C626" s="22">
        <v>0.49608796296296298</v>
      </c>
    </row>
    <row r="627" spans="1:3">
      <c r="A627" t="s">
        <v>32</v>
      </c>
      <c r="B627" s="21">
        <v>45471</v>
      </c>
      <c r="C627" s="22">
        <v>0.49618055555555557</v>
      </c>
    </row>
    <row r="628" spans="1:3">
      <c r="A628" t="s">
        <v>32</v>
      </c>
      <c r="B628" s="21">
        <v>45471</v>
      </c>
      <c r="C628" s="22">
        <v>0.49638888888888888</v>
      </c>
    </row>
    <row r="629" spans="1:3">
      <c r="A629" t="s">
        <v>32</v>
      </c>
      <c r="B629" s="21">
        <v>45471</v>
      </c>
      <c r="C629" s="22">
        <v>0.49646990740740743</v>
      </c>
    </row>
    <row r="630" spans="1:3">
      <c r="A630" t="s">
        <v>32</v>
      </c>
      <c r="B630" s="21">
        <v>45471</v>
      </c>
      <c r="C630" s="22">
        <v>0.49666666666666665</v>
      </c>
    </row>
    <row r="631" spans="1:3">
      <c r="A631" t="s">
        <v>32</v>
      </c>
      <c r="B631" s="21">
        <v>45471</v>
      </c>
      <c r="C631" s="22">
        <v>0.49671296296296297</v>
      </c>
    </row>
    <row r="632" spans="1:3">
      <c r="A632" t="s">
        <v>32</v>
      </c>
      <c r="B632" s="21">
        <v>45471</v>
      </c>
      <c r="C632" s="22">
        <v>0.49687500000000001</v>
      </c>
    </row>
    <row r="633" spans="1:3">
      <c r="A633" t="s">
        <v>32</v>
      </c>
      <c r="B633" s="21">
        <v>45471</v>
      </c>
      <c r="C633" s="22">
        <v>0.4982638888888889</v>
      </c>
    </row>
    <row r="634" spans="1:3">
      <c r="A634" t="s">
        <v>32</v>
      </c>
      <c r="B634" s="21">
        <v>45471</v>
      </c>
      <c r="C634" s="22">
        <v>0.4987037037037037</v>
      </c>
    </row>
    <row r="635" spans="1:3">
      <c r="A635" t="s">
        <v>32</v>
      </c>
      <c r="B635" s="21">
        <v>45471</v>
      </c>
      <c r="C635" s="22">
        <v>0.49884259259259262</v>
      </c>
    </row>
    <row r="636" spans="1:3">
      <c r="A636" t="s">
        <v>32</v>
      </c>
      <c r="B636" s="21">
        <v>45471</v>
      </c>
      <c r="C636" s="22">
        <v>0.49905092592592593</v>
      </c>
    </row>
    <row r="637" spans="1:3">
      <c r="A637" t="s">
        <v>32</v>
      </c>
      <c r="B637" s="21">
        <v>45471</v>
      </c>
      <c r="C637" s="22">
        <v>0.49909722222222225</v>
      </c>
    </row>
    <row r="638" spans="1:3">
      <c r="A638" t="s">
        <v>32</v>
      </c>
      <c r="B638" s="21">
        <v>45471</v>
      </c>
      <c r="C638" s="22">
        <v>0.49951388888888887</v>
      </c>
    </row>
    <row r="639" spans="1:3">
      <c r="A639" t="s">
        <v>32</v>
      </c>
      <c r="B639" s="21">
        <v>45471</v>
      </c>
      <c r="C639" s="22">
        <v>0.49975694444444446</v>
      </c>
    </row>
    <row r="640" spans="1:3">
      <c r="A640" t="s">
        <v>32</v>
      </c>
      <c r="B640" s="21">
        <v>45471</v>
      </c>
      <c r="C640" s="22">
        <v>0.50062499999999999</v>
      </c>
    </row>
    <row r="641" spans="1:3">
      <c r="A641" t="s">
        <v>32</v>
      </c>
      <c r="B641" s="21">
        <v>45471</v>
      </c>
      <c r="C641" s="22">
        <v>0.50208333333333333</v>
      </c>
    </row>
    <row r="642" spans="1:3">
      <c r="A642" t="s">
        <v>32</v>
      </c>
      <c r="B642" s="21">
        <v>45471</v>
      </c>
      <c r="C642" s="22">
        <v>0.502349537037037</v>
      </c>
    </row>
    <row r="643" spans="1:3">
      <c r="A643" t="s">
        <v>32</v>
      </c>
      <c r="B643" s="21">
        <v>45475</v>
      </c>
      <c r="C643" s="22">
        <v>0.70644675925925926</v>
      </c>
    </row>
    <row r="644" spans="1:3">
      <c r="A644" t="s">
        <v>32</v>
      </c>
      <c r="B644" s="21">
        <v>45475</v>
      </c>
      <c r="C644" s="22">
        <v>0.70666666666666667</v>
      </c>
    </row>
    <row r="645" spans="1:3">
      <c r="A645" t="s">
        <v>32</v>
      </c>
      <c r="B645" s="21">
        <v>45478</v>
      </c>
      <c r="C645" s="22">
        <v>0.53016203703703701</v>
      </c>
    </row>
    <row r="646" spans="1:3">
      <c r="A646" t="s">
        <v>32</v>
      </c>
      <c r="B646" s="21">
        <v>45478</v>
      </c>
      <c r="C646" s="22">
        <v>0.53054398148148152</v>
      </c>
    </row>
    <row r="647" spans="1:3">
      <c r="A647" t="s">
        <v>32</v>
      </c>
      <c r="B647" s="21">
        <v>45478</v>
      </c>
      <c r="C647" s="22">
        <v>0.53107638888888886</v>
      </c>
    </row>
    <row r="648" spans="1:3">
      <c r="A648" t="s">
        <v>32</v>
      </c>
      <c r="B648" s="21">
        <v>45478</v>
      </c>
      <c r="C648" s="22">
        <v>0.53131944444444446</v>
      </c>
    </row>
    <row r="649" spans="1:3">
      <c r="A649" t="s">
        <v>32</v>
      </c>
      <c r="B649" s="21">
        <v>45478</v>
      </c>
      <c r="C649" s="22">
        <v>0.57120370370370366</v>
      </c>
    </row>
    <row r="650" spans="1:3">
      <c r="A650" t="s">
        <v>32</v>
      </c>
      <c r="B650" s="21">
        <v>45478</v>
      </c>
      <c r="C650" s="22">
        <v>0.59922453703703704</v>
      </c>
    </row>
    <row r="651" spans="1:3">
      <c r="A651" t="s">
        <v>32</v>
      </c>
      <c r="B651" s="21">
        <v>45478</v>
      </c>
      <c r="C651" s="22">
        <v>0.59993055555555552</v>
      </c>
    </row>
    <row r="652" spans="1:3">
      <c r="A652" t="s">
        <v>32</v>
      </c>
      <c r="B652" s="21">
        <v>45478</v>
      </c>
      <c r="C652" s="22">
        <v>0.60950231481481476</v>
      </c>
    </row>
    <row r="653" spans="1:3">
      <c r="A653" t="s">
        <v>32</v>
      </c>
      <c r="B653" s="21">
        <v>45478</v>
      </c>
      <c r="C653" s="22">
        <v>0.60971064814814813</v>
      </c>
    </row>
    <row r="654" spans="1:3">
      <c r="A654" t="s">
        <v>32</v>
      </c>
      <c r="B654" s="21">
        <v>45478</v>
      </c>
      <c r="C654" s="22">
        <v>0.60993055555555553</v>
      </c>
    </row>
    <row r="655" spans="1:3">
      <c r="A655" t="s">
        <v>32</v>
      </c>
      <c r="B655" s="21">
        <v>45478</v>
      </c>
      <c r="C655" s="22">
        <v>0.61012731481481486</v>
      </c>
    </row>
    <row r="656" spans="1:3">
      <c r="A656" t="s">
        <v>32</v>
      </c>
      <c r="B656" s="21">
        <v>45478</v>
      </c>
      <c r="C656" s="22">
        <v>0.61152777777777778</v>
      </c>
    </row>
    <row r="657" spans="1:3">
      <c r="A657" t="s">
        <v>32</v>
      </c>
      <c r="B657" s="21">
        <v>45478</v>
      </c>
      <c r="C657" s="22">
        <v>0.61185185185185187</v>
      </c>
    </row>
    <row r="658" spans="1:3">
      <c r="A658" t="s">
        <v>32</v>
      </c>
      <c r="B658" s="21">
        <v>45478</v>
      </c>
      <c r="C658" s="22">
        <v>0.61203703703703705</v>
      </c>
    </row>
    <row r="659" spans="1:3">
      <c r="A659" t="s">
        <v>32</v>
      </c>
      <c r="B659" s="21">
        <v>45478</v>
      </c>
      <c r="C659" s="22">
        <v>0.61357638888888888</v>
      </c>
    </row>
    <row r="660" spans="1:3">
      <c r="A660" t="s">
        <v>32</v>
      </c>
      <c r="B660" s="21">
        <v>45478</v>
      </c>
      <c r="C660" s="22">
        <v>0.6137731481481481</v>
      </c>
    </row>
    <row r="661" spans="1:3">
      <c r="A661" t="s">
        <v>32</v>
      </c>
      <c r="B661" s="21">
        <v>45478</v>
      </c>
      <c r="C661" s="22">
        <v>0.61384259259259255</v>
      </c>
    </row>
    <row r="662" spans="1:3">
      <c r="A662" t="s">
        <v>32</v>
      </c>
      <c r="B662" s="21">
        <v>45478</v>
      </c>
      <c r="C662" s="22">
        <v>0.61511574074074071</v>
      </c>
    </row>
    <row r="663" spans="1:3">
      <c r="A663" t="s">
        <v>32</v>
      </c>
      <c r="B663" s="21">
        <v>45478</v>
      </c>
      <c r="C663" s="22">
        <v>0.61519675925925921</v>
      </c>
    </row>
    <row r="664" spans="1:3">
      <c r="A664" t="s">
        <v>32</v>
      </c>
      <c r="B664" s="21">
        <v>45478</v>
      </c>
      <c r="C664" s="22">
        <v>0.61601851851851852</v>
      </c>
    </row>
    <row r="665" spans="1:3">
      <c r="A665" t="s">
        <v>32</v>
      </c>
      <c r="B665" s="21">
        <v>45478</v>
      </c>
      <c r="C665" s="22">
        <v>0.61677083333333338</v>
      </c>
    </row>
    <row r="666" spans="1:3">
      <c r="A666" t="s">
        <v>32</v>
      </c>
      <c r="B666" s="21">
        <v>45478</v>
      </c>
      <c r="C666" s="22">
        <v>0.61798611111111112</v>
      </c>
    </row>
    <row r="667" spans="1:3">
      <c r="A667" t="s">
        <v>32</v>
      </c>
      <c r="B667" s="21">
        <v>45478</v>
      </c>
      <c r="C667" s="22">
        <v>0.61804398148148143</v>
      </c>
    </row>
    <row r="668" spans="1:3">
      <c r="A668" t="s">
        <v>32</v>
      </c>
      <c r="B668" s="21">
        <v>45478</v>
      </c>
      <c r="C668" s="22">
        <v>0.62368055555555557</v>
      </c>
    </row>
    <row r="669" spans="1:3">
      <c r="A669" t="s">
        <v>32</v>
      </c>
      <c r="B669" s="21">
        <v>45481</v>
      </c>
      <c r="C669" s="22">
        <v>0.49635416666666665</v>
      </c>
    </row>
    <row r="670" spans="1:3">
      <c r="A670" t="s">
        <v>32</v>
      </c>
      <c r="B670" s="21">
        <v>45481</v>
      </c>
      <c r="C670" s="22">
        <v>0.49680555555555556</v>
      </c>
    </row>
    <row r="671" spans="1:3">
      <c r="A671" t="s">
        <v>32</v>
      </c>
      <c r="B671" s="21">
        <v>45481</v>
      </c>
      <c r="C671" s="22">
        <v>0.49700231481481483</v>
      </c>
    </row>
    <row r="672" spans="1:3">
      <c r="A672" t="s">
        <v>32</v>
      </c>
      <c r="B672" s="21">
        <v>45481</v>
      </c>
      <c r="C672" s="22">
        <v>0.49716435185185187</v>
      </c>
    </row>
    <row r="673" spans="1:3">
      <c r="A673" t="s">
        <v>32</v>
      </c>
      <c r="B673" s="21">
        <v>45481</v>
      </c>
      <c r="C673" s="22">
        <v>0.49769675925925927</v>
      </c>
    </row>
    <row r="674" spans="1:3">
      <c r="A674" t="s">
        <v>32</v>
      </c>
      <c r="B674" s="21">
        <v>45481</v>
      </c>
      <c r="C674" s="22">
        <v>0.49811342592592595</v>
      </c>
    </row>
    <row r="675" spans="1:3">
      <c r="A675" t="s">
        <v>32</v>
      </c>
      <c r="B675" s="21">
        <v>45481</v>
      </c>
      <c r="C675" s="22">
        <v>0.49834490740740739</v>
      </c>
    </row>
    <row r="676" spans="1:3">
      <c r="A676" t="s">
        <v>32</v>
      </c>
      <c r="B676" s="21">
        <v>45481</v>
      </c>
      <c r="C676" s="22">
        <v>0.49881944444444443</v>
      </c>
    </row>
    <row r="677" spans="1:3">
      <c r="A677" t="s">
        <v>32</v>
      </c>
      <c r="B677" s="21">
        <v>45481</v>
      </c>
      <c r="C677" s="22">
        <v>0.49937500000000001</v>
      </c>
    </row>
    <row r="678" spans="1:3">
      <c r="A678" t="s">
        <v>32</v>
      </c>
      <c r="B678" s="21">
        <v>45481</v>
      </c>
      <c r="C678" s="22">
        <v>0.49939814814814815</v>
      </c>
    </row>
    <row r="679" spans="1:3">
      <c r="A679" t="s">
        <v>32</v>
      </c>
      <c r="B679" s="21">
        <v>45481</v>
      </c>
      <c r="C679" s="22">
        <v>0.4994675925925926</v>
      </c>
    </row>
    <row r="680" spans="1:3">
      <c r="A680" t="s">
        <v>32</v>
      </c>
      <c r="B680" s="21">
        <v>45553</v>
      </c>
      <c r="C680" s="22">
        <v>0.59802083333333333</v>
      </c>
    </row>
    <row r="681" spans="1:3">
      <c r="A681" t="s">
        <v>32</v>
      </c>
      <c r="B681" s="21">
        <v>45553</v>
      </c>
      <c r="C681" s="22">
        <v>0.59805555555555556</v>
      </c>
    </row>
    <row r="682" spans="1:3">
      <c r="A682" t="s">
        <v>32</v>
      </c>
      <c r="B682" s="21">
        <v>45553</v>
      </c>
      <c r="C682" s="22">
        <v>0.59831018518518519</v>
      </c>
    </row>
    <row r="683" spans="1:3">
      <c r="A683" t="s">
        <v>32</v>
      </c>
      <c r="B683" s="21">
        <v>45553</v>
      </c>
      <c r="C683" s="22">
        <v>0.59849537037037037</v>
      </c>
    </row>
    <row r="684" spans="1:3">
      <c r="A684" t="s">
        <v>32</v>
      </c>
      <c r="B684" s="21">
        <v>45553</v>
      </c>
      <c r="C684" s="22">
        <v>0.59851851851851856</v>
      </c>
    </row>
    <row r="685" spans="1:3">
      <c r="A685" t="s">
        <v>32</v>
      </c>
      <c r="B685" s="21">
        <v>45553</v>
      </c>
      <c r="C685" s="22">
        <v>0.59995370370370371</v>
      </c>
    </row>
    <row r="686" spans="1:3">
      <c r="A686" t="s">
        <v>32</v>
      </c>
      <c r="B686" s="21">
        <v>45553</v>
      </c>
      <c r="C686" s="22">
        <v>0.60015046296296293</v>
      </c>
    </row>
    <row r="687" spans="1:3">
      <c r="A687" t="s">
        <v>32</v>
      </c>
      <c r="B687" s="21">
        <v>45553</v>
      </c>
      <c r="C687" s="22">
        <v>0.60040509259259256</v>
      </c>
    </row>
    <row r="688" spans="1:3">
      <c r="A688" t="s">
        <v>32</v>
      </c>
      <c r="B688" s="21">
        <v>45553</v>
      </c>
      <c r="C688" s="22">
        <v>0.60106481481481477</v>
      </c>
    </row>
    <row r="689" spans="1:3">
      <c r="A689" t="s">
        <v>32</v>
      </c>
      <c r="B689" s="21">
        <v>45553</v>
      </c>
      <c r="C689" s="22">
        <v>0.60155092592592596</v>
      </c>
    </row>
    <row r="690" spans="1:3">
      <c r="A690" t="s">
        <v>32</v>
      </c>
      <c r="B690" s="21">
        <v>45553</v>
      </c>
      <c r="C690" s="22">
        <v>0.60193287037037035</v>
      </c>
    </row>
    <row r="691" spans="1:3">
      <c r="A691" t="s">
        <v>32</v>
      </c>
      <c r="B691" s="21">
        <v>45553</v>
      </c>
      <c r="C691" s="22">
        <v>0.60228009259259263</v>
      </c>
    </row>
    <row r="692" spans="1:3">
      <c r="A692" t="s">
        <v>32</v>
      </c>
      <c r="B692" s="21">
        <v>45553</v>
      </c>
      <c r="C692" s="22">
        <v>0.62497685185185181</v>
      </c>
    </row>
    <row r="693" spans="1:3">
      <c r="A693" t="s">
        <v>32</v>
      </c>
      <c r="B693" s="21">
        <v>45553</v>
      </c>
      <c r="C693" s="22">
        <v>0.6263657407407407</v>
      </c>
    </row>
    <row r="694" spans="1:3">
      <c r="A694" t="s">
        <v>32</v>
      </c>
      <c r="B694" s="21">
        <v>45553</v>
      </c>
      <c r="C694" s="22">
        <v>0.62652777777777779</v>
      </c>
    </row>
    <row r="695" spans="1:3">
      <c r="A695" t="s">
        <v>32</v>
      </c>
      <c r="B695" s="21">
        <v>45553</v>
      </c>
      <c r="C695" s="22">
        <v>0.62731481481481477</v>
      </c>
    </row>
    <row r="696" spans="1:3">
      <c r="A696" t="s">
        <v>32</v>
      </c>
      <c r="B696" s="21">
        <v>45553</v>
      </c>
      <c r="C696" s="22">
        <v>0.62796296296296295</v>
      </c>
    </row>
    <row r="697" spans="1:3">
      <c r="A697" t="s">
        <v>32</v>
      </c>
      <c r="B697" s="21">
        <v>45553</v>
      </c>
      <c r="C697" s="22">
        <v>0.62799768518518517</v>
      </c>
    </row>
    <row r="698" spans="1:3">
      <c r="A698" t="s">
        <v>32</v>
      </c>
      <c r="B698" s="21">
        <v>45553</v>
      </c>
      <c r="C698" s="22">
        <v>0.62850694444444444</v>
      </c>
    </row>
    <row r="699" spans="1:3">
      <c r="A699" t="s">
        <v>32</v>
      </c>
      <c r="B699" s="21">
        <v>45553</v>
      </c>
      <c r="C699" s="22">
        <v>0.62858796296296293</v>
      </c>
    </row>
    <row r="700" spans="1:3">
      <c r="A700" t="s">
        <v>32</v>
      </c>
      <c r="B700" s="21">
        <v>45553</v>
      </c>
      <c r="C700" s="22">
        <v>0.62971064814814814</v>
      </c>
    </row>
    <row r="701" spans="1:3">
      <c r="A701" t="s">
        <v>32</v>
      </c>
      <c r="B701" s="21">
        <v>45553</v>
      </c>
      <c r="C701" s="22">
        <v>0.63107638888888884</v>
      </c>
    </row>
    <row r="702" spans="1:3">
      <c r="A702" t="s">
        <v>32</v>
      </c>
      <c r="B702" s="21">
        <v>45553</v>
      </c>
      <c r="C702" s="22">
        <v>0.63196759259259261</v>
      </c>
    </row>
    <row r="703" spans="1:3">
      <c r="A703" t="s">
        <v>32</v>
      </c>
      <c r="B703" s="21">
        <v>45553</v>
      </c>
      <c r="C703" s="22">
        <v>0.63287037037037042</v>
      </c>
    </row>
    <row r="704" spans="1:3">
      <c r="A704" t="s">
        <v>32</v>
      </c>
      <c r="B704" s="21">
        <v>45553</v>
      </c>
      <c r="C704" s="22">
        <v>0.63291666666666668</v>
      </c>
    </row>
    <row r="705" spans="1:3">
      <c r="A705" t="s">
        <v>32</v>
      </c>
      <c r="B705" s="21">
        <v>45553</v>
      </c>
      <c r="C705" s="22">
        <v>0.63326388888888885</v>
      </c>
    </row>
    <row r="706" spans="1:3">
      <c r="A706" t="s">
        <v>32</v>
      </c>
      <c r="B706" s="21">
        <v>45553</v>
      </c>
      <c r="C706" s="22">
        <v>0.63440972222222225</v>
      </c>
    </row>
    <row r="707" spans="1:3">
      <c r="A707" t="s">
        <v>32</v>
      </c>
      <c r="B707" s="21">
        <v>45553</v>
      </c>
      <c r="C707" s="22">
        <v>0.63475694444444442</v>
      </c>
    </row>
    <row r="708" spans="1:3">
      <c r="A708" t="s">
        <v>32</v>
      </c>
      <c r="B708" s="21">
        <v>45553</v>
      </c>
      <c r="C708" s="22">
        <v>0.63504629629629628</v>
      </c>
    </row>
    <row r="709" spans="1:3">
      <c r="A709" t="s">
        <v>32</v>
      </c>
      <c r="B709" s="21">
        <v>45553</v>
      </c>
      <c r="C709" s="22">
        <v>0.63575231481481487</v>
      </c>
    </row>
    <row r="710" spans="1:3">
      <c r="A710" t="s">
        <v>32</v>
      </c>
      <c r="B710" s="21">
        <v>45553</v>
      </c>
      <c r="C710" s="22">
        <v>0.63847222222222222</v>
      </c>
    </row>
    <row r="711" spans="1:3">
      <c r="A711" t="s">
        <v>32</v>
      </c>
      <c r="B711" s="21">
        <v>45553</v>
      </c>
      <c r="C711" s="22">
        <v>0.63871527777777781</v>
      </c>
    </row>
    <row r="712" spans="1:3">
      <c r="A712" t="s">
        <v>32</v>
      </c>
      <c r="B712" s="21">
        <v>45553</v>
      </c>
      <c r="C712" s="22">
        <v>0.63930555555555557</v>
      </c>
    </row>
    <row r="713" spans="1:3">
      <c r="A713" t="s">
        <v>32</v>
      </c>
      <c r="B713" s="21">
        <v>45553</v>
      </c>
      <c r="C713" s="22">
        <v>0.64025462962962965</v>
      </c>
    </row>
    <row r="714" spans="1:3">
      <c r="A714" t="s">
        <v>32</v>
      </c>
      <c r="B714" s="21">
        <v>45553</v>
      </c>
      <c r="C714" s="22">
        <v>0.64070601851851849</v>
      </c>
    </row>
    <row r="715" spans="1:3">
      <c r="A715" t="s">
        <v>32</v>
      </c>
      <c r="B715" s="21">
        <v>45553</v>
      </c>
      <c r="C715" s="22">
        <v>0.64085648148148144</v>
      </c>
    </row>
    <row r="716" spans="1:3">
      <c r="A716" t="s">
        <v>32</v>
      </c>
      <c r="B716" s="21">
        <v>45553</v>
      </c>
      <c r="C716" s="22">
        <v>0.64118055555555553</v>
      </c>
    </row>
    <row r="717" spans="1:3">
      <c r="A717" t="s">
        <v>32</v>
      </c>
      <c r="B717" s="21">
        <v>45553</v>
      </c>
      <c r="C717" s="22">
        <v>0.6416087962962963</v>
      </c>
    </row>
    <row r="718" spans="1:3">
      <c r="A718" t="s">
        <v>32</v>
      </c>
      <c r="B718" s="21">
        <v>45553</v>
      </c>
      <c r="C718" s="22">
        <v>0.64187499999999997</v>
      </c>
    </row>
    <row r="719" spans="1:3">
      <c r="A719" t="s">
        <v>32</v>
      </c>
      <c r="B719" s="21">
        <v>45553</v>
      </c>
      <c r="C719" s="22">
        <v>0.64200231481481485</v>
      </c>
    </row>
    <row r="720" spans="1:3">
      <c r="A720" t="s">
        <v>32</v>
      </c>
      <c r="B720" s="21">
        <v>45553</v>
      </c>
      <c r="C720" s="22">
        <v>0.64226851851851852</v>
      </c>
    </row>
    <row r="721" spans="1:3">
      <c r="A721" t="s">
        <v>32</v>
      </c>
      <c r="B721" s="21">
        <v>45553</v>
      </c>
      <c r="C721" s="22">
        <v>0.64261574074074079</v>
      </c>
    </row>
    <row r="722" spans="1:3">
      <c r="A722" t="s">
        <v>32</v>
      </c>
      <c r="B722" s="21">
        <v>45553</v>
      </c>
      <c r="C722" s="22">
        <v>0.64339120370370373</v>
      </c>
    </row>
    <row r="723" spans="1:3">
      <c r="A723" t="s">
        <v>32</v>
      </c>
      <c r="B723" s="21">
        <v>45553</v>
      </c>
      <c r="C723" s="22">
        <v>0.64364583333333336</v>
      </c>
    </row>
    <row r="724" spans="1:3">
      <c r="A724" t="s">
        <v>32</v>
      </c>
      <c r="B724" s="21">
        <v>45553</v>
      </c>
      <c r="C724" s="22">
        <v>0.64402777777777775</v>
      </c>
    </row>
    <row r="725" spans="1:3">
      <c r="A725" t="s">
        <v>32</v>
      </c>
      <c r="B725" s="21">
        <v>45553</v>
      </c>
      <c r="C725" s="22">
        <v>0.64621527777777776</v>
      </c>
    </row>
    <row r="726" spans="1:3">
      <c r="A726" t="s">
        <v>32</v>
      </c>
      <c r="B726" s="21">
        <v>45553</v>
      </c>
      <c r="C726" s="22">
        <v>0.65353009259259254</v>
      </c>
    </row>
    <row r="727" spans="1:3">
      <c r="A727" t="s">
        <v>32</v>
      </c>
      <c r="B727" s="21">
        <v>45553</v>
      </c>
      <c r="C727" s="22">
        <v>0.65412037037037041</v>
      </c>
    </row>
    <row r="728" spans="1:3">
      <c r="A728" t="s">
        <v>32</v>
      </c>
      <c r="B728" s="21">
        <v>45553</v>
      </c>
      <c r="C728" s="22">
        <v>0.65446759259259257</v>
      </c>
    </row>
    <row r="729" spans="1:3">
      <c r="A729" t="s">
        <v>32</v>
      </c>
      <c r="B729" s="21">
        <v>45553</v>
      </c>
      <c r="C729" s="22">
        <v>0.65689814814814818</v>
      </c>
    </row>
    <row r="730" spans="1:3">
      <c r="A730" t="s">
        <v>32</v>
      </c>
      <c r="B730" s="21">
        <v>45553</v>
      </c>
      <c r="C730" s="22">
        <v>0.6582986111111111</v>
      </c>
    </row>
    <row r="731" spans="1:3">
      <c r="A731" t="s">
        <v>32</v>
      </c>
      <c r="B731" s="21">
        <v>45553</v>
      </c>
      <c r="C731" s="22">
        <v>0.65835648148148151</v>
      </c>
    </row>
    <row r="732" spans="1:3">
      <c r="A732" t="s">
        <v>32</v>
      </c>
      <c r="B732" s="21">
        <v>45553</v>
      </c>
      <c r="C732" s="22">
        <v>0.67342592592592587</v>
      </c>
    </row>
    <row r="733" spans="1:3">
      <c r="A733" t="s">
        <v>32</v>
      </c>
      <c r="B733" s="21">
        <v>45553</v>
      </c>
      <c r="C733" s="22">
        <v>0.6746064814814815</v>
      </c>
    </row>
    <row r="734" spans="1:3">
      <c r="A734" t="s">
        <v>32</v>
      </c>
      <c r="B734" s="21">
        <v>45553</v>
      </c>
      <c r="C734" s="22">
        <v>0.67484953703703698</v>
      </c>
    </row>
    <row r="735" spans="1:3">
      <c r="A735" t="s">
        <v>32</v>
      </c>
      <c r="B735" s="21">
        <v>45553</v>
      </c>
      <c r="C735" s="22">
        <v>0.67614583333333333</v>
      </c>
    </row>
    <row r="736" spans="1:3">
      <c r="A736" t="s">
        <v>32</v>
      </c>
      <c r="B736" s="21">
        <v>45553</v>
      </c>
      <c r="C736" s="22">
        <v>0.67719907407407409</v>
      </c>
    </row>
    <row r="737" spans="1:3">
      <c r="A737" t="s">
        <v>32</v>
      </c>
      <c r="B737" s="21">
        <v>45553</v>
      </c>
      <c r="C737" s="22">
        <v>0.67980324074074072</v>
      </c>
    </row>
    <row r="738" spans="1:3">
      <c r="A738" t="s">
        <v>32</v>
      </c>
      <c r="B738" s="21">
        <v>45553</v>
      </c>
      <c r="C738" s="22">
        <v>0.68049768518518516</v>
      </c>
    </row>
    <row r="739" spans="1:3">
      <c r="A739" t="s">
        <v>32</v>
      </c>
      <c r="B739" s="21">
        <v>45553</v>
      </c>
      <c r="C739" s="22">
        <v>0.68150462962962965</v>
      </c>
    </row>
    <row r="740" spans="1:3">
      <c r="A740" t="s">
        <v>32</v>
      </c>
      <c r="B740" s="21">
        <v>45553</v>
      </c>
      <c r="C740" s="22">
        <v>0.68177083333333333</v>
      </c>
    </row>
    <row r="741" spans="1:3">
      <c r="A741" t="s">
        <v>32</v>
      </c>
      <c r="B741" s="21">
        <v>45553</v>
      </c>
      <c r="C741" s="22">
        <v>0.68245370370370373</v>
      </c>
    </row>
    <row r="742" spans="1:3">
      <c r="A742" t="s">
        <v>32</v>
      </c>
      <c r="B742" s="21">
        <v>45553</v>
      </c>
      <c r="C742" s="22">
        <v>0.6839467592592593</v>
      </c>
    </row>
    <row r="743" spans="1:3">
      <c r="A743" t="s">
        <v>32</v>
      </c>
      <c r="B743" s="21">
        <v>45553</v>
      </c>
      <c r="C743" s="22">
        <v>0.68415509259259255</v>
      </c>
    </row>
    <row r="744" spans="1:3">
      <c r="A744" t="s">
        <v>32</v>
      </c>
      <c r="B744" s="21">
        <v>45553</v>
      </c>
      <c r="C744" s="22">
        <v>0.68622685185185184</v>
      </c>
    </row>
    <row r="745" spans="1:3">
      <c r="A745" t="s">
        <v>32</v>
      </c>
      <c r="B745" s="21">
        <v>45554</v>
      </c>
      <c r="C745" s="22">
        <v>0.3984375</v>
      </c>
    </row>
    <row r="746" spans="1:3">
      <c r="A746" t="s">
        <v>32</v>
      </c>
      <c r="B746" s="21">
        <v>45554</v>
      </c>
      <c r="C746" s="22">
        <v>0.39874999999999999</v>
      </c>
    </row>
    <row r="747" spans="1:3">
      <c r="A747" t="s">
        <v>32</v>
      </c>
      <c r="B747" s="21">
        <v>45554</v>
      </c>
      <c r="C747" s="22">
        <v>0.4004861111111111</v>
      </c>
    </row>
    <row r="748" spans="1:3">
      <c r="A748" t="s">
        <v>32</v>
      </c>
      <c r="B748" s="21">
        <v>45554</v>
      </c>
      <c r="C748" s="22">
        <v>0.40300925925925923</v>
      </c>
    </row>
    <row r="749" spans="1:3">
      <c r="A749" t="s">
        <v>32</v>
      </c>
      <c r="B749" s="21">
        <v>45554</v>
      </c>
      <c r="C749" s="22">
        <v>0.40483796296296298</v>
      </c>
    </row>
    <row r="750" spans="1:3">
      <c r="A750" t="s">
        <v>32</v>
      </c>
      <c r="B750" s="21">
        <v>45554</v>
      </c>
      <c r="C750" s="22">
        <v>0.40563657407407405</v>
      </c>
    </row>
    <row r="751" spans="1:3">
      <c r="A751" t="s">
        <v>32</v>
      </c>
      <c r="B751" s="21">
        <v>45554</v>
      </c>
      <c r="C751" s="22">
        <v>0.40598379629629627</v>
      </c>
    </row>
    <row r="752" spans="1:3">
      <c r="A752" t="s">
        <v>32</v>
      </c>
      <c r="B752" s="21">
        <v>45554</v>
      </c>
      <c r="C752" s="22">
        <v>0.40604166666666669</v>
      </c>
    </row>
    <row r="753" spans="1:3">
      <c r="A753" t="s">
        <v>32</v>
      </c>
      <c r="B753" s="21">
        <v>45554</v>
      </c>
      <c r="C753" s="22">
        <v>0.40759259259259262</v>
      </c>
    </row>
    <row r="754" spans="1:3">
      <c r="A754" t="s">
        <v>32</v>
      </c>
      <c r="B754" s="21">
        <v>45554</v>
      </c>
      <c r="C754" s="22">
        <v>0.41120370370370368</v>
      </c>
    </row>
    <row r="755" spans="1:3">
      <c r="A755" t="s">
        <v>32</v>
      </c>
      <c r="B755" s="21">
        <v>45554</v>
      </c>
      <c r="C755" s="22">
        <v>0.41164351851851849</v>
      </c>
    </row>
    <row r="756" spans="1:3">
      <c r="A756" t="s">
        <v>32</v>
      </c>
      <c r="B756" s="21">
        <v>45554</v>
      </c>
      <c r="C756" s="22">
        <v>0.41479166666666667</v>
      </c>
    </row>
    <row r="757" spans="1:3">
      <c r="A757" t="s">
        <v>32</v>
      </c>
      <c r="B757" s="21">
        <v>45554</v>
      </c>
      <c r="C757" s="22">
        <v>0.41621527777777778</v>
      </c>
    </row>
    <row r="758" spans="1:3">
      <c r="A758" t="s">
        <v>32</v>
      </c>
      <c r="B758" s="21">
        <v>45554</v>
      </c>
      <c r="C758" s="22">
        <v>0.42109953703703706</v>
      </c>
    </row>
    <row r="759" spans="1:3">
      <c r="A759" t="s">
        <v>32</v>
      </c>
      <c r="B759" s="21">
        <v>45554</v>
      </c>
      <c r="C759" s="22">
        <v>0.45127314814814817</v>
      </c>
    </row>
    <row r="760" spans="1:3">
      <c r="A760" t="s">
        <v>32</v>
      </c>
      <c r="B760" s="21">
        <v>45554</v>
      </c>
      <c r="C760" s="22">
        <v>0.46814814814814815</v>
      </c>
    </row>
    <row r="761" spans="1:3">
      <c r="A761" t="s">
        <v>32</v>
      </c>
      <c r="B761" s="21">
        <v>45554</v>
      </c>
      <c r="C761" s="22">
        <v>0.46841435185185187</v>
      </c>
    </row>
    <row r="762" spans="1:3">
      <c r="A762" t="s">
        <v>32</v>
      </c>
      <c r="B762" s="21">
        <v>45554</v>
      </c>
      <c r="C762" s="22">
        <v>0.46850694444444446</v>
      </c>
    </row>
    <row r="763" spans="1:3">
      <c r="A763" t="s">
        <v>32</v>
      </c>
      <c r="B763" s="21">
        <v>45554</v>
      </c>
      <c r="C763" s="22">
        <v>0.46917824074074072</v>
      </c>
    </row>
    <row r="764" spans="1:3">
      <c r="A764" t="s">
        <v>32</v>
      </c>
      <c r="B764" s="21">
        <v>45554</v>
      </c>
      <c r="C764" s="22">
        <v>0.46990740740740738</v>
      </c>
    </row>
    <row r="765" spans="1:3">
      <c r="A765" t="s">
        <v>32</v>
      </c>
      <c r="B765" s="21">
        <v>45554</v>
      </c>
      <c r="C765" s="22">
        <v>0.47025462962962961</v>
      </c>
    </row>
    <row r="766" spans="1:3">
      <c r="A766" t="s">
        <v>32</v>
      </c>
      <c r="B766" s="21">
        <v>45554</v>
      </c>
      <c r="C766" s="22">
        <v>0.47035879629629629</v>
      </c>
    </row>
    <row r="767" spans="1:3">
      <c r="A767" t="s">
        <v>32</v>
      </c>
      <c r="B767" s="21">
        <v>45554</v>
      </c>
      <c r="C767" s="22">
        <v>0.47074074074074074</v>
      </c>
    </row>
    <row r="768" spans="1:3">
      <c r="A768" t="s">
        <v>32</v>
      </c>
      <c r="B768" s="21">
        <v>45554</v>
      </c>
      <c r="C768" s="22">
        <v>0.47090277777777778</v>
      </c>
    </row>
    <row r="769" spans="1:3">
      <c r="A769" t="s">
        <v>32</v>
      </c>
      <c r="B769" s="21">
        <v>45554</v>
      </c>
      <c r="C769" s="22">
        <v>0.47114583333333332</v>
      </c>
    </row>
    <row r="770" spans="1:3">
      <c r="A770" t="s">
        <v>32</v>
      </c>
      <c r="B770" s="21">
        <v>45554</v>
      </c>
      <c r="C770" s="22">
        <v>0.47275462962962961</v>
      </c>
    </row>
    <row r="771" spans="1:3">
      <c r="A771" t="s">
        <v>32</v>
      </c>
      <c r="B771" s="21">
        <v>45554</v>
      </c>
      <c r="C771" s="22">
        <v>0.47281250000000002</v>
      </c>
    </row>
    <row r="772" spans="1:3">
      <c r="A772" t="s">
        <v>32</v>
      </c>
      <c r="B772" s="21">
        <v>45554</v>
      </c>
      <c r="C772" s="22">
        <v>0.48393518518518519</v>
      </c>
    </row>
    <row r="773" spans="1:3">
      <c r="A773" t="s">
        <v>32</v>
      </c>
      <c r="B773" s="21">
        <v>45554</v>
      </c>
      <c r="C773" s="22">
        <v>0.48403935185185187</v>
      </c>
    </row>
    <row r="774" spans="1:3">
      <c r="A774" t="s">
        <v>32</v>
      </c>
      <c r="B774" s="21">
        <v>45554</v>
      </c>
      <c r="C774" s="22">
        <v>0.48424768518518518</v>
      </c>
    </row>
    <row r="775" spans="1:3">
      <c r="A775" t="s">
        <v>32</v>
      </c>
      <c r="B775" s="21">
        <v>45554</v>
      </c>
      <c r="C775" s="22">
        <v>0.48539351851851853</v>
      </c>
    </row>
    <row r="776" spans="1:3">
      <c r="A776" t="s">
        <v>32</v>
      </c>
      <c r="B776" s="21">
        <v>45554</v>
      </c>
      <c r="C776" s="22">
        <v>0.48734953703703704</v>
      </c>
    </row>
    <row r="777" spans="1:3">
      <c r="A777" t="s">
        <v>32</v>
      </c>
      <c r="B777" s="21">
        <v>45554</v>
      </c>
      <c r="C777" s="22">
        <v>0.48739583333333331</v>
      </c>
    </row>
    <row r="778" spans="1:3">
      <c r="A778" t="s">
        <v>32</v>
      </c>
      <c r="B778" s="21">
        <v>45554</v>
      </c>
      <c r="C778" s="22">
        <v>0.48745370370370372</v>
      </c>
    </row>
    <row r="779" spans="1:3">
      <c r="A779" t="s">
        <v>32</v>
      </c>
      <c r="B779" s="21">
        <v>45554</v>
      </c>
      <c r="C779" s="22">
        <v>0.48745370370370372</v>
      </c>
    </row>
    <row r="780" spans="1:3">
      <c r="A780" t="s">
        <v>32</v>
      </c>
      <c r="B780" s="21">
        <v>45554</v>
      </c>
      <c r="C780" s="22">
        <v>0.48781249999999998</v>
      </c>
    </row>
    <row r="781" spans="1:3">
      <c r="A781" t="s">
        <v>32</v>
      </c>
      <c r="B781" s="21">
        <v>45554</v>
      </c>
      <c r="C781" s="22">
        <v>0.48837962962962961</v>
      </c>
    </row>
    <row r="782" spans="1:3">
      <c r="A782" t="s">
        <v>32</v>
      </c>
      <c r="B782" s="21">
        <v>45554</v>
      </c>
      <c r="C782" s="22">
        <v>0.48849537037037039</v>
      </c>
    </row>
    <row r="783" spans="1:3">
      <c r="A783" t="s">
        <v>32</v>
      </c>
      <c r="B783" s="21">
        <v>45554</v>
      </c>
      <c r="C783" s="22">
        <v>0.48849537037037039</v>
      </c>
    </row>
    <row r="784" spans="1:3">
      <c r="A784" t="s">
        <v>32</v>
      </c>
      <c r="B784" s="21">
        <v>45554</v>
      </c>
      <c r="C784" s="22">
        <v>0.48850694444444442</v>
      </c>
    </row>
    <row r="785" spans="1:3">
      <c r="A785" t="s">
        <v>32</v>
      </c>
      <c r="B785" s="21">
        <v>45554</v>
      </c>
      <c r="C785" s="22">
        <v>0.48850694444444442</v>
      </c>
    </row>
    <row r="786" spans="1:3">
      <c r="A786" t="s">
        <v>32</v>
      </c>
      <c r="B786" s="21">
        <v>45554</v>
      </c>
      <c r="C786" s="22">
        <v>0.48851851851851852</v>
      </c>
    </row>
    <row r="787" spans="1:3">
      <c r="A787" t="s">
        <v>32</v>
      </c>
      <c r="B787" s="21">
        <v>45554</v>
      </c>
      <c r="C787" s="22">
        <v>0.48854166666666665</v>
      </c>
    </row>
    <row r="788" spans="1:3">
      <c r="A788" t="s">
        <v>32</v>
      </c>
      <c r="B788" s="21">
        <v>45554</v>
      </c>
      <c r="C788" s="22">
        <v>0.65278935185185183</v>
      </c>
    </row>
    <row r="789" spans="1:3">
      <c r="A789" t="s">
        <v>32</v>
      </c>
      <c r="B789" s="21">
        <v>45554</v>
      </c>
      <c r="C789" s="22">
        <v>0.65285879629629628</v>
      </c>
    </row>
    <row r="790" spans="1:3">
      <c r="A790" t="s">
        <v>32</v>
      </c>
      <c r="B790" s="21">
        <v>45554</v>
      </c>
      <c r="C790" s="22">
        <v>0.65355324074074073</v>
      </c>
    </row>
    <row r="791" spans="1:3">
      <c r="A791" t="s">
        <v>32</v>
      </c>
      <c r="B791" s="21">
        <v>45554</v>
      </c>
      <c r="C791" s="22">
        <v>0.6538194444444444</v>
      </c>
    </row>
    <row r="792" spans="1:3">
      <c r="A792" t="s">
        <v>32</v>
      </c>
      <c r="B792" s="21">
        <v>45554</v>
      </c>
      <c r="C792" s="22">
        <v>0.6540393518518518</v>
      </c>
    </row>
    <row r="793" spans="1:3">
      <c r="A793" t="s">
        <v>32</v>
      </c>
      <c r="B793" s="21">
        <v>45554</v>
      </c>
      <c r="C793" s="22">
        <v>0.65423611111111113</v>
      </c>
    </row>
    <row r="794" spans="1:3">
      <c r="A794" t="s">
        <v>32</v>
      </c>
      <c r="B794" s="21">
        <v>45554</v>
      </c>
      <c r="C794" s="22">
        <v>0.65437500000000004</v>
      </c>
    </row>
    <row r="795" spans="1:3">
      <c r="A795" t="s">
        <v>32</v>
      </c>
      <c r="B795" s="21">
        <v>45554</v>
      </c>
      <c r="C795" s="22">
        <v>0.65456018518518522</v>
      </c>
    </row>
    <row r="796" spans="1:3">
      <c r="A796" t="s">
        <v>32</v>
      </c>
      <c r="B796" s="21">
        <v>45554</v>
      </c>
      <c r="C796" s="22">
        <v>0.65549768518518514</v>
      </c>
    </row>
    <row r="797" spans="1:3">
      <c r="A797" t="s">
        <v>32</v>
      </c>
      <c r="B797" s="21">
        <v>45554</v>
      </c>
      <c r="C797" s="22">
        <v>0.65628472222222223</v>
      </c>
    </row>
    <row r="798" spans="1:3">
      <c r="A798" t="s">
        <v>32</v>
      </c>
      <c r="B798" s="21">
        <v>45554</v>
      </c>
      <c r="C798" s="22">
        <v>0.65702546296296294</v>
      </c>
    </row>
    <row r="799" spans="1:3">
      <c r="A799" t="s">
        <v>32</v>
      </c>
      <c r="B799" s="21">
        <v>45554</v>
      </c>
      <c r="C799" s="22">
        <v>0.65725694444444449</v>
      </c>
    </row>
    <row r="800" spans="1:3">
      <c r="A800" t="s">
        <v>32</v>
      </c>
      <c r="B800" s="21">
        <v>45554</v>
      </c>
      <c r="C800" s="22">
        <v>0.65781250000000002</v>
      </c>
    </row>
    <row r="801" spans="1:3">
      <c r="A801" t="s">
        <v>32</v>
      </c>
      <c r="B801" s="21">
        <v>45554</v>
      </c>
      <c r="C801" s="22">
        <v>0.65785879629629629</v>
      </c>
    </row>
    <row r="802" spans="1:3">
      <c r="A802" t="s">
        <v>32</v>
      </c>
      <c r="B802" s="21">
        <v>45554</v>
      </c>
      <c r="C802" s="22">
        <v>0.65796296296296297</v>
      </c>
    </row>
    <row r="803" spans="1:3">
      <c r="A803" t="s">
        <v>32</v>
      </c>
      <c r="B803" s="21">
        <v>45554</v>
      </c>
      <c r="C803" s="22">
        <v>0.65806712962962965</v>
      </c>
    </row>
    <row r="804" spans="1:3">
      <c r="A804" t="s">
        <v>32</v>
      </c>
      <c r="B804" s="21">
        <v>45554</v>
      </c>
      <c r="C804" s="22">
        <v>0.65855324074074073</v>
      </c>
    </row>
    <row r="805" spans="1:3">
      <c r="A805" t="s">
        <v>32</v>
      </c>
      <c r="B805" s="21">
        <v>45554</v>
      </c>
      <c r="C805" s="22">
        <v>0.65886574074074078</v>
      </c>
    </row>
    <row r="806" spans="1:3">
      <c r="A806" t="s">
        <v>32</v>
      </c>
      <c r="B806" s="21">
        <v>45554</v>
      </c>
      <c r="C806" s="22">
        <v>0.65901620370370373</v>
      </c>
    </row>
    <row r="807" spans="1:3">
      <c r="A807" t="s">
        <v>32</v>
      </c>
      <c r="B807" s="21">
        <v>45554</v>
      </c>
      <c r="C807" s="22">
        <v>0.65921296296296295</v>
      </c>
    </row>
    <row r="808" spans="1:3">
      <c r="A808" t="s">
        <v>32</v>
      </c>
      <c r="B808" s="21">
        <v>45554</v>
      </c>
      <c r="C808" s="22">
        <v>0.6594444444444445</v>
      </c>
    </row>
    <row r="809" spans="1:3">
      <c r="A809" t="s">
        <v>32</v>
      </c>
      <c r="B809" s="21">
        <v>45554</v>
      </c>
      <c r="C809" s="22">
        <v>0.65971064814814817</v>
      </c>
    </row>
    <row r="810" spans="1:3">
      <c r="A810" t="s">
        <v>32</v>
      </c>
      <c r="B810" s="21">
        <v>45554</v>
      </c>
      <c r="C810" s="22">
        <v>0.66016203703703702</v>
      </c>
    </row>
    <row r="811" spans="1:3">
      <c r="A811" t="s">
        <v>32</v>
      </c>
      <c r="B811" s="21">
        <v>45554</v>
      </c>
      <c r="C811" s="22">
        <v>0.66023148148148147</v>
      </c>
    </row>
    <row r="812" spans="1:3">
      <c r="A812" t="s">
        <v>32</v>
      </c>
      <c r="B812" s="21">
        <v>45554</v>
      </c>
      <c r="C812" s="22">
        <v>0.66031249999999997</v>
      </c>
    </row>
    <row r="813" spans="1:3">
      <c r="A813" t="s">
        <v>32</v>
      </c>
      <c r="B813" s="21">
        <v>45554</v>
      </c>
      <c r="C813" s="22">
        <v>0.6606481481481481</v>
      </c>
    </row>
    <row r="814" spans="1:3">
      <c r="A814" t="s">
        <v>32</v>
      </c>
      <c r="B814" s="21">
        <v>45554</v>
      </c>
      <c r="C814" s="22">
        <v>0.66079861111111116</v>
      </c>
    </row>
    <row r="815" spans="1:3">
      <c r="A815" t="s">
        <v>32</v>
      </c>
      <c r="B815" s="21">
        <v>45554</v>
      </c>
      <c r="C815" s="22">
        <v>0.66143518518518518</v>
      </c>
    </row>
    <row r="816" spans="1:3">
      <c r="A816" t="s">
        <v>32</v>
      </c>
      <c r="B816" s="21">
        <v>45554</v>
      </c>
      <c r="C816" s="22">
        <v>0.66143518518518518</v>
      </c>
    </row>
    <row r="817" spans="1:3">
      <c r="A817" t="s">
        <v>32</v>
      </c>
      <c r="B817" s="21">
        <v>45554</v>
      </c>
      <c r="C817" s="22">
        <v>0.66144675925925922</v>
      </c>
    </row>
    <row r="818" spans="1:3">
      <c r="A818" t="s">
        <v>32</v>
      </c>
      <c r="B818" s="21">
        <v>45555</v>
      </c>
      <c r="C818" s="22">
        <v>0.38002314814814814</v>
      </c>
    </row>
    <row r="819" spans="1:3">
      <c r="A819" t="s">
        <v>32</v>
      </c>
      <c r="B819" s="21">
        <v>45555</v>
      </c>
      <c r="C819" s="22">
        <v>0.62711805555555555</v>
      </c>
    </row>
    <row r="820" spans="1:3">
      <c r="A820" t="s">
        <v>32</v>
      </c>
      <c r="B820" s="21">
        <v>45555</v>
      </c>
      <c r="C820" s="22">
        <v>0.62799768518518517</v>
      </c>
    </row>
    <row r="821" spans="1:3">
      <c r="A821" t="s">
        <v>32</v>
      </c>
      <c r="B821" s="21">
        <v>45555</v>
      </c>
      <c r="C821" s="22">
        <v>0.6293171296296296</v>
      </c>
    </row>
    <row r="822" spans="1:3">
      <c r="A822" t="s">
        <v>32</v>
      </c>
      <c r="B822" s="21">
        <v>45555</v>
      </c>
      <c r="C822" s="22">
        <v>0.63011574074074073</v>
      </c>
    </row>
    <row r="823" spans="1:3">
      <c r="A823" t="s">
        <v>32</v>
      </c>
      <c r="B823" s="21">
        <v>45555</v>
      </c>
      <c r="C823" s="22">
        <v>0.63020833333333337</v>
      </c>
    </row>
    <row r="824" spans="1:3">
      <c r="A824" t="s">
        <v>32</v>
      </c>
      <c r="B824" s="21">
        <v>45555</v>
      </c>
      <c r="C824" s="22">
        <v>0.63181712962962966</v>
      </c>
    </row>
    <row r="825" spans="1:3">
      <c r="A825" t="s">
        <v>32</v>
      </c>
      <c r="B825" s="21">
        <v>45555</v>
      </c>
      <c r="C825" s="22">
        <v>0.6325925925925926</v>
      </c>
    </row>
    <row r="826" spans="1:3">
      <c r="A826" t="s">
        <v>32</v>
      </c>
      <c r="B826" s="21">
        <v>45555</v>
      </c>
      <c r="C826" s="22">
        <v>0.63262731481481482</v>
      </c>
    </row>
    <row r="827" spans="1:3">
      <c r="A827" t="s">
        <v>32</v>
      </c>
      <c r="B827" s="21">
        <v>45555</v>
      </c>
      <c r="C827" s="22">
        <v>0.64624999999999999</v>
      </c>
    </row>
    <row r="828" spans="1:3">
      <c r="A828" t="s">
        <v>32</v>
      </c>
      <c r="B828" s="21">
        <v>45555</v>
      </c>
      <c r="C828" s="22">
        <v>0.64682870370370371</v>
      </c>
    </row>
    <row r="829" spans="1:3">
      <c r="A829" t="s">
        <v>32</v>
      </c>
      <c r="B829" s="21">
        <v>45555</v>
      </c>
      <c r="C829" s="22">
        <v>0.64733796296296298</v>
      </c>
    </row>
    <row r="830" spans="1:3">
      <c r="A830" t="s">
        <v>32</v>
      </c>
      <c r="B830" s="21">
        <v>45555</v>
      </c>
      <c r="C830" s="22">
        <v>0.64743055555555551</v>
      </c>
    </row>
    <row r="831" spans="1:3">
      <c r="A831" t="s">
        <v>32</v>
      </c>
      <c r="B831" s="21">
        <v>45555</v>
      </c>
      <c r="C831" s="22">
        <v>0.64756944444444442</v>
      </c>
    </row>
    <row r="832" spans="1:3">
      <c r="A832" t="s">
        <v>32</v>
      </c>
      <c r="B832" s="21">
        <v>45555</v>
      </c>
      <c r="C832" s="22">
        <v>0.64782407407407405</v>
      </c>
    </row>
    <row r="833" spans="1:3">
      <c r="A833" t="s">
        <v>32</v>
      </c>
      <c r="B833" s="21">
        <v>45555</v>
      </c>
      <c r="C833" s="22">
        <v>0.64918981481481486</v>
      </c>
    </row>
    <row r="834" spans="1:3">
      <c r="A834" t="s">
        <v>32</v>
      </c>
      <c r="B834" s="21">
        <v>45555</v>
      </c>
      <c r="C834" s="22">
        <v>0.65930555555555559</v>
      </c>
    </row>
    <row r="835" spans="1:3">
      <c r="A835" t="s">
        <v>32</v>
      </c>
      <c r="B835" s="21">
        <v>45555</v>
      </c>
      <c r="C835" s="22">
        <v>0.65939814814814812</v>
      </c>
    </row>
    <row r="836" spans="1:3">
      <c r="A836" t="s">
        <v>32</v>
      </c>
      <c r="B836" s="21">
        <v>45555</v>
      </c>
      <c r="C836" s="22">
        <v>0.65952546296296299</v>
      </c>
    </row>
    <row r="837" spans="1:3">
      <c r="A837" t="s">
        <v>32</v>
      </c>
      <c r="B837" s="21">
        <v>45555</v>
      </c>
      <c r="C837" s="22">
        <v>0.65957175925925926</v>
      </c>
    </row>
    <row r="838" spans="1:3">
      <c r="A838" t="s">
        <v>32</v>
      </c>
      <c r="B838" s="21">
        <v>45558</v>
      </c>
      <c r="C838" s="22">
        <v>0.44712962962962965</v>
      </c>
    </row>
    <row r="839" spans="1:3">
      <c r="A839" t="s">
        <v>32</v>
      </c>
      <c r="B839" s="21">
        <v>45558</v>
      </c>
      <c r="C839" s="22">
        <v>0.44748842592592591</v>
      </c>
    </row>
    <row r="840" spans="1:3">
      <c r="A840" t="s">
        <v>32</v>
      </c>
      <c r="B840" s="21">
        <v>45558</v>
      </c>
      <c r="C840" s="22">
        <v>0.44783564814814814</v>
      </c>
    </row>
    <row r="841" spans="1:3">
      <c r="A841" t="s">
        <v>32</v>
      </c>
      <c r="B841" s="21">
        <v>45558</v>
      </c>
      <c r="C841" s="22">
        <v>0.44809027777777777</v>
      </c>
    </row>
    <row r="842" spans="1:3">
      <c r="A842" t="s">
        <v>32</v>
      </c>
      <c r="B842" s="21">
        <v>45558</v>
      </c>
      <c r="C842" s="22">
        <v>0.44826388888888891</v>
      </c>
    </row>
    <row r="843" spans="1:3">
      <c r="A843" t="s">
        <v>32</v>
      </c>
      <c r="B843" s="21">
        <v>45558</v>
      </c>
      <c r="C843" s="22">
        <v>0.44840277777777776</v>
      </c>
    </row>
    <row r="844" spans="1:3">
      <c r="A844" t="s">
        <v>32</v>
      </c>
      <c r="B844" s="21">
        <v>45558</v>
      </c>
      <c r="C844" s="22">
        <v>0.44858796296296294</v>
      </c>
    </row>
    <row r="845" spans="1:3">
      <c r="A845" t="s">
        <v>32</v>
      </c>
      <c r="B845" s="21">
        <v>45558</v>
      </c>
      <c r="C845" s="22">
        <v>0.44871527777777775</v>
      </c>
    </row>
    <row r="846" spans="1:3">
      <c r="A846" t="s">
        <v>32</v>
      </c>
      <c r="B846" s="21">
        <v>45558</v>
      </c>
      <c r="C846" s="22">
        <v>0.44880787037037034</v>
      </c>
    </row>
    <row r="847" spans="1:3">
      <c r="A847" t="s">
        <v>32</v>
      </c>
      <c r="B847" s="21">
        <v>45558</v>
      </c>
      <c r="C847" s="22">
        <v>0.44915509259259262</v>
      </c>
    </row>
    <row r="848" spans="1:3">
      <c r="A848" t="s">
        <v>32</v>
      </c>
      <c r="B848" s="21">
        <v>45558</v>
      </c>
      <c r="C848" s="22">
        <v>0.44937500000000002</v>
      </c>
    </row>
    <row r="849" spans="1:3">
      <c r="A849" t="s">
        <v>32</v>
      </c>
      <c r="B849" s="21">
        <v>45558</v>
      </c>
      <c r="C849" s="22">
        <v>0.44952546296296297</v>
      </c>
    </row>
    <row r="850" spans="1:3">
      <c r="A850" t="s">
        <v>32</v>
      </c>
      <c r="B850" s="21">
        <v>45558</v>
      </c>
      <c r="C850" s="22">
        <v>0.45069444444444445</v>
      </c>
    </row>
    <row r="851" spans="1:3">
      <c r="A851" t="s">
        <v>32</v>
      </c>
      <c r="B851" s="21">
        <v>45558</v>
      </c>
      <c r="C851" s="22">
        <v>0.45098379629629631</v>
      </c>
    </row>
    <row r="852" spans="1:3">
      <c r="A852" t="s">
        <v>32</v>
      </c>
      <c r="B852" s="21">
        <v>45558</v>
      </c>
      <c r="C852" s="22">
        <v>0.4513773148148148</v>
      </c>
    </row>
    <row r="853" spans="1:3">
      <c r="A853" t="s">
        <v>32</v>
      </c>
      <c r="B853" s="21">
        <v>45558</v>
      </c>
      <c r="C853" s="22">
        <v>0.45158564814814817</v>
      </c>
    </row>
    <row r="854" spans="1:3">
      <c r="A854" t="s">
        <v>32</v>
      </c>
      <c r="B854" s="21">
        <v>45558</v>
      </c>
      <c r="C854" s="22">
        <v>0.45168981481481479</v>
      </c>
    </row>
    <row r="855" spans="1:3">
      <c r="A855" t="s">
        <v>32</v>
      </c>
      <c r="B855" s="21">
        <v>45558</v>
      </c>
      <c r="C855" s="22">
        <v>0.45171296296296298</v>
      </c>
    </row>
    <row r="856" spans="1:3">
      <c r="A856" t="s">
        <v>32</v>
      </c>
      <c r="B856" s="21">
        <v>45558</v>
      </c>
      <c r="C856" s="22">
        <v>0.45222222222222225</v>
      </c>
    </row>
    <row r="857" spans="1:3">
      <c r="A857" t="s">
        <v>32</v>
      </c>
      <c r="B857" s="21">
        <v>45558</v>
      </c>
      <c r="C857" s="22">
        <v>0.45281250000000001</v>
      </c>
    </row>
    <row r="858" spans="1:3">
      <c r="A858" t="s">
        <v>32</v>
      </c>
      <c r="B858" s="21">
        <v>45558</v>
      </c>
      <c r="C858" s="22">
        <v>0.45319444444444446</v>
      </c>
    </row>
    <row r="859" spans="1:3">
      <c r="A859" t="s">
        <v>32</v>
      </c>
      <c r="B859" s="21">
        <v>45558</v>
      </c>
      <c r="C859" s="22">
        <v>0.45344907407407409</v>
      </c>
    </row>
    <row r="860" spans="1:3">
      <c r="A860" t="s">
        <v>32</v>
      </c>
      <c r="B860" s="21">
        <v>45558</v>
      </c>
      <c r="C860" s="22">
        <v>0.45359953703703704</v>
      </c>
    </row>
    <row r="861" spans="1:3">
      <c r="A861" t="s">
        <v>32</v>
      </c>
      <c r="B861" s="21">
        <v>45558</v>
      </c>
      <c r="C861" s="22">
        <v>0.45371527777777776</v>
      </c>
    </row>
    <row r="862" spans="1:3">
      <c r="A862" t="s">
        <v>32</v>
      </c>
      <c r="B862" s="21">
        <v>45558</v>
      </c>
      <c r="C862" s="22">
        <v>0.4541087962962963</v>
      </c>
    </row>
    <row r="863" spans="1:3">
      <c r="A863" t="s">
        <v>32</v>
      </c>
      <c r="B863" s="21">
        <v>45558</v>
      </c>
      <c r="C863" s="22">
        <v>0.45417824074074076</v>
      </c>
    </row>
    <row r="864" spans="1:3">
      <c r="A864" t="s">
        <v>32</v>
      </c>
      <c r="B864" s="21">
        <v>45558</v>
      </c>
      <c r="C864" s="22">
        <v>0.45432870370370371</v>
      </c>
    </row>
    <row r="865" spans="1:3">
      <c r="A865" t="s">
        <v>32</v>
      </c>
      <c r="B865" s="21">
        <v>45558</v>
      </c>
      <c r="C865" s="22">
        <v>0.45458333333333334</v>
      </c>
    </row>
    <row r="866" spans="1:3">
      <c r="A866" t="s">
        <v>32</v>
      </c>
      <c r="B866" s="21">
        <v>45558</v>
      </c>
      <c r="C866" s="22">
        <v>0.45469907407407406</v>
      </c>
    </row>
    <row r="867" spans="1:3">
      <c r="A867" t="s">
        <v>32</v>
      </c>
      <c r="B867" s="21">
        <v>45558</v>
      </c>
      <c r="C867" s="22">
        <v>0.45493055555555556</v>
      </c>
    </row>
    <row r="868" spans="1:3">
      <c r="A868" t="s">
        <v>32</v>
      </c>
      <c r="B868" s="21">
        <v>45558</v>
      </c>
      <c r="C868" s="22">
        <v>0.45500000000000002</v>
      </c>
    </row>
    <row r="869" spans="1:3">
      <c r="A869" t="s">
        <v>32</v>
      </c>
      <c r="B869" s="21">
        <v>45558</v>
      </c>
      <c r="C869" s="22">
        <v>0.45508101851851851</v>
      </c>
    </row>
    <row r="870" spans="1:3">
      <c r="A870" t="s">
        <v>32</v>
      </c>
      <c r="B870" s="21">
        <v>45558</v>
      </c>
      <c r="C870" s="22">
        <v>0.45549768518518519</v>
      </c>
    </row>
    <row r="871" spans="1:3">
      <c r="A871" t="s">
        <v>32</v>
      </c>
      <c r="B871" s="21">
        <v>45558</v>
      </c>
      <c r="C871" s="22">
        <v>0.45564814814814814</v>
      </c>
    </row>
    <row r="872" spans="1:3">
      <c r="A872" t="s">
        <v>32</v>
      </c>
      <c r="B872" s="21">
        <v>45558</v>
      </c>
      <c r="C872" s="22">
        <v>0.45608796296296295</v>
      </c>
    </row>
    <row r="873" spans="1:3">
      <c r="A873" t="s">
        <v>32</v>
      </c>
      <c r="B873" s="21">
        <v>45558</v>
      </c>
      <c r="C873" s="22">
        <v>0.45622685185185186</v>
      </c>
    </row>
    <row r="874" spans="1:3">
      <c r="A874" t="s">
        <v>32</v>
      </c>
      <c r="B874" s="21">
        <v>45558</v>
      </c>
      <c r="C874" s="22">
        <v>0.45636574074074077</v>
      </c>
    </row>
    <row r="875" spans="1:3">
      <c r="A875" t="s">
        <v>32</v>
      </c>
      <c r="B875" s="21">
        <v>45558</v>
      </c>
      <c r="C875" s="22">
        <v>0.45666666666666667</v>
      </c>
    </row>
    <row r="876" spans="1:3">
      <c r="A876" t="s">
        <v>32</v>
      </c>
      <c r="B876" s="21">
        <v>45558</v>
      </c>
      <c r="C876" s="22">
        <v>0.45716435185185184</v>
      </c>
    </row>
    <row r="877" spans="1:3">
      <c r="A877" t="s">
        <v>32</v>
      </c>
      <c r="B877" s="21">
        <v>45558</v>
      </c>
      <c r="C877" s="22">
        <v>0.46281250000000002</v>
      </c>
    </row>
    <row r="878" spans="1:3">
      <c r="A878" t="s">
        <v>32</v>
      </c>
      <c r="B878" s="21">
        <v>45558</v>
      </c>
      <c r="C878" s="22">
        <v>0.46341435185185187</v>
      </c>
    </row>
    <row r="879" spans="1:3">
      <c r="A879" t="s">
        <v>32</v>
      </c>
      <c r="B879" s="21">
        <v>45558</v>
      </c>
      <c r="C879" s="22">
        <v>0.46439814814814817</v>
      </c>
    </row>
    <row r="880" spans="1:3">
      <c r="A880" t="s">
        <v>32</v>
      </c>
      <c r="B880" s="21">
        <v>45558</v>
      </c>
      <c r="C880" s="22">
        <v>0.46468749999999998</v>
      </c>
    </row>
    <row r="881" spans="1:3">
      <c r="A881" t="s">
        <v>32</v>
      </c>
      <c r="B881" s="21">
        <v>45558</v>
      </c>
      <c r="C881" s="22">
        <v>0.4652662037037037</v>
      </c>
    </row>
    <row r="882" spans="1:3">
      <c r="A882" t="s">
        <v>32</v>
      </c>
      <c r="B882" s="21">
        <v>45558</v>
      </c>
      <c r="C882" s="22">
        <v>0.46603009259259259</v>
      </c>
    </row>
    <row r="883" spans="1:3">
      <c r="A883" t="s">
        <v>32</v>
      </c>
      <c r="B883" s="21">
        <v>45558</v>
      </c>
      <c r="C883" s="22">
        <v>0.46638888888888891</v>
      </c>
    </row>
    <row r="884" spans="1:3">
      <c r="A884" t="s">
        <v>32</v>
      </c>
      <c r="B884" s="21">
        <v>45558</v>
      </c>
      <c r="C884" s="22">
        <v>0.46697916666666667</v>
      </c>
    </row>
    <row r="885" spans="1:3">
      <c r="A885" t="s">
        <v>32</v>
      </c>
      <c r="B885" s="21">
        <v>45558</v>
      </c>
      <c r="C885" s="22">
        <v>0.46766203703703701</v>
      </c>
    </row>
    <row r="886" spans="1:3">
      <c r="A886" t="s">
        <v>32</v>
      </c>
      <c r="B886" s="21">
        <v>45558</v>
      </c>
      <c r="C886" s="22">
        <v>0.46855324074074073</v>
      </c>
    </row>
    <row r="887" spans="1:3">
      <c r="A887" t="s">
        <v>32</v>
      </c>
      <c r="B887" s="21">
        <v>45558</v>
      </c>
      <c r="C887" s="22">
        <v>0.46866898148148151</v>
      </c>
    </row>
    <row r="888" spans="1:3">
      <c r="A888" t="s">
        <v>32</v>
      </c>
      <c r="B888" s="21">
        <v>45558</v>
      </c>
      <c r="C888" s="22">
        <v>0.46900462962962963</v>
      </c>
    </row>
    <row r="889" spans="1:3">
      <c r="A889" t="s">
        <v>32</v>
      </c>
      <c r="B889" s="21">
        <v>45558</v>
      </c>
      <c r="C889" s="22">
        <v>0.4690509259259259</v>
      </c>
    </row>
    <row r="890" spans="1:3">
      <c r="A890" t="s">
        <v>32</v>
      </c>
      <c r="B890" s="21">
        <v>45558</v>
      </c>
      <c r="C890" s="22">
        <v>0.46934027777777776</v>
      </c>
    </row>
    <row r="891" spans="1:3">
      <c r="A891" t="s">
        <v>32</v>
      </c>
      <c r="B891" s="21">
        <v>45558</v>
      </c>
      <c r="C891" s="22">
        <v>0.47086805555555555</v>
      </c>
    </row>
    <row r="892" spans="1:3">
      <c r="A892" t="s">
        <v>32</v>
      </c>
      <c r="B892" s="21">
        <v>45559</v>
      </c>
      <c r="C892" s="22">
        <v>0.45848379629629632</v>
      </c>
    </row>
    <row r="893" spans="1:3">
      <c r="A893" t="s">
        <v>32</v>
      </c>
      <c r="B893" s="21">
        <v>45559</v>
      </c>
      <c r="C893" s="22">
        <v>0.45853009259259259</v>
      </c>
    </row>
    <row r="894" spans="1:3">
      <c r="A894" t="s">
        <v>32</v>
      </c>
      <c r="B894" s="21">
        <v>45559</v>
      </c>
      <c r="C894" s="22">
        <v>0.45858796296296295</v>
      </c>
    </row>
    <row r="895" spans="1:3">
      <c r="A895" t="s">
        <v>32</v>
      </c>
      <c r="B895" s="21">
        <v>45559</v>
      </c>
      <c r="C895" s="22">
        <v>0.45884259259259258</v>
      </c>
    </row>
    <row r="896" spans="1:3">
      <c r="A896" t="s">
        <v>32</v>
      </c>
      <c r="B896" s="21">
        <v>45559</v>
      </c>
      <c r="C896" s="22">
        <v>0.45946759259259257</v>
      </c>
    </row>
    <row r="897" spans="1:3">
      <c r="A897" t="s">
        <v>32</v>
      </c>
      <c r="B897" s="21">
        <v>45559</v>
      </c>
      <c r="C897" s="22">
        <v>0.46001157407407406</v>
      </c>
    </row>
    <row r="898" spans="1:3">
      <c r="A898" t="s">
        <v>32</v>
      </c>
      <c r="B898" s="21">
        <v>45559</v>
      </c>
      <c r="C898" s="22">
        <v>0.4601851851851852</v>
      </c>
    </row>
    <row r="899" spans="1:3">
      <c r="A899" t="s">
        <v>32</v>
      </c>
      <c r="B899" s="21">
        <v>45559</v>
      </c>
      <c r="C899" s="22">
        <v>0.46020833333333333</v>
      </c>
    </row>
    <row r="900" spans="1:3">
      <c r="A900" t="s">
        <v>32</v>
      </c>
      <c r="B900" s="21">
        <v>45559</v>
      </c>
      <c r="C900" s="22">
        <v>0.4606365740740741</v>
      </c>
    </row>
    <row r="901" spans="1:3">
      <c r="A901" t="s">
        <v>32</v>
      </c>
      <c r="B901" s="21">
        <v>45559</v>
      </c>
      <c r="C901" s="22">
        <v>0.46078703703703705</v>
      </c>
    </row>
    <row r="902" spans="1:3">
      <c r="A902" t="s">
        <v>32</v>
      </c>
      <c r="B902" s="21">
        <v>45559</v>
      </c>
      <c r="C902" s="22">
        <v>0.46157407407407408</v>
      </c>
    </row>
    <row r="903" spans="1:3">
      <c r="A903" t="s">
        <v>32</v>
      </c>
      <c r="B903" s="21">
        <v>45559</v>
      </c>
      <c r="C903" s="22">
        <v>0.46276620370370369</v>
      </c>
    </row>
    <row r="904" spans="1:3">
      <c r="A904" t="s">
        <v>32</v>
      </c>
      <c r="B904" s="21">
        <v>45559</v>
      </c>
      <c r="C904" s="22">
        <v>0.4634490740740741</v>
      </c>
    </row>
    <row r="905" spans="1:3">
      <c r="A905" t="s">
        <v>32</v>
      </c>
      <c r="B905" s="21">
        <v>45559</v>
      </c>
      <c r="C905" s="22">
        <v>0.46427083333333335</v>
      </c>
    </row>
    <row r="906" spans="1:3">
      <c r="A906" t="s">
        <v>32</v>
      </c>
      <c r="B906" s="21">
        <v>45559</v>
      </c>
      <c r="C906" s="22">
        <v>0.4645023148148148</v>
      </c>
    </row>
    <row r="907" spans="1:3">
      <c r="A907" t="s">
        <v>32</v>
      </c>
      <c r="B907" s="21">
        <v>45559</v>
      </c>
      <c r="C907" s="22">
        <v>0.46516203703703701</v>
      </c>
    </row>
    <row r="908" spans="1:3">
      <c r="A908" t="s">
        <v>32</v>
      </c>
      <c r="B908" s="21">
        <v>45559</v>
      </c>
      <c r="C908" s="22">
        <v>0.46696759259259257</v>
      </c>
    </row>
    <row r="909" spans="1:3">
      <c r="A909" t="s">
        <v>32</v>
      </c>
      <c r="B909" s="21">
        <v>45559</v>
      </c>
      <c r="C909" s="22">
        <v>0.46780092592592593</v>
      </c>
    </row>
    <row r="910" spans="1:3">
      <c r="A910" t="s">
        <v>32</v>
      </c>
      <c r="B910" s="21">
        <v>45559</v>
      </c>
      <c r="C910" s="22">
        <v>0.46871527777777777</v>
      </c>
    </row>
    <row r="911" spans="1:3">
      <c r="A911" t="s">
        <v>32</v>
      </c>
      <c r="B911" s="21">
        <v>45559</v>
      </c>
      <c r="C911" s="22">
        <v>0.46891203703703704</v>
      </c>
    </row>
    <row r="912" spans="1:3">
      <c r="A912" t="s">
        <v>32</v>
      </c>
      <c r="B912" s="21">
        <v>45559</v>
      </c>
      <c r="C912" s="22">
        <v>0.46913194444444445</v>
      </c>
    </row>
    <row r="913" spans="1:3">
      <c r="A913" t="s">
        <v>32</v>
      </c>
      <c r="B913" s="21">
        <v>45559</v>
      </c>
      <c r="C913" s="22">
        <v>0.46927083333333336</v>
      </c>
    </row>
    <row r="914" spans="1:3">
      <c r="A914" t="s">
        <v>32</v>
      </c>
      <c r="B914" s="21">
        <v>45559</v>
      </c>
      <c r="C914" s="22">
        <v>0.46943287037037035</v>
      </c>
    </row>
    <row r="915" spans="1:3">
      <c r="A915" t="s">
        <v>32</v>
      </c>
      <c r="B915" s="21">
        <v>45559</v>
      </c>
      <c r="C915" s="22">
        <v>0.47062500000000002</v>
      </c>
    </row>
    <row r="916" spans="1:3">
      <c r="A916" t="s">
        <v>32</v>
      </c>
      <c r="B916" s="21">
        <v>45559</v>
      </c>
      <c r="C916" s="22">
        <v>0.47190972222222222</v>
      </c>
    </row>
    <row r="917" spans="1:3">
      <c r="A917" t="s">
        <v>32</v>
      </c>
      <c r="B917" s="21">
        <v>45559</v>
      </c>
      <c r="C917" s="22">
        <v>0.47200231481481481</v>
      </c>
    </row>
    <row r="918" spans="1:3">
      <c r="A918" t="s">
        <v>32</v>
      </c>
      <c r="B918" s="21">
        <v>45559</v>
      </c>
      <c r="C918" s="22">
        <v>0.47243055555555558</v>
      </c>
    </row>
    <row r="919" spans="1:3">
      <c r="A919" t="s">
        <v>32</v>
      </c>
      <c r="B919" s="21">
        <v>45559</v>
      </c>
      <c r="C919" s="22">
        <v>0.47271990740740738</v>
      </c>
    </row>
    <row r="920" spans="1:3">
      <c r="A920" t="s">
        <v>32</v>
      </c>
      <c r="B920" s="21">
        <v>45559</v>
      </c>
      <c r="C920" s="22">
        <v>0.47281250000000002</v>
      </c>
    </row>
    <row r="921" spans="1:3">
      <c r="A921" t="s">
        <v>32</v>
      </c>
      <c r="B921" s="21">
        <v>45559</v>
      </c>
      <c r="C921" s="22">
        <v>0.47289351851851852</v>
      </c>
    </row>
    <row r="922" spans="1:3">
      <c r="A922" t="s">
        <v>32</v>
      </c>
      <c r="B922" s="21">
        <v>45559</v>
      </c>
      <c r="C922" s="22">
        <v>0.47337962962962965</v>
      </c>
    </row>
    <row r="923" spans="1:3">
      <c r="A923" t="s">
        <v>32</v>
      </c>
      <c r="B923" s="21">
        <v>45559</v>
      </c>
      <c r="C923" s="22">
        <v>0.47364583333333332</v>
      </c>
    </row>
    <row r="924" spans="1:3">
      <c r="A924" t="s">
        <v>32</v>
      </c>
      <c r="B924" s="21">
        <v>45559</v>
      </c>
      <c r="C924" s="22">
        <v>0.47371527777777778</v>
      </c>
    </row>
    <row r="925" spans="1:3">
      <c r="A925" t="s">
        <v>32</v>
      </c>
      <c r="B925" s="21">
        <v>45559</v>
      </c>
      <c r="C925" s="22">
        <v>0.4737615740740741</v>
      </c>
    </row>
    <row r="926" spans="1:3">
      <c r="A926" t="s">
        <v>32</v>
      </c>
      <c r="B926" s="21">
        <v>45559</v>
      </c>
      <c r="C926" s="22">
        <v>0.47402777777777777</v>
      </c>
    </row>
    <row r="927" spans="1:3">
      <c r="A927" t="s">
        <v>32</v>
      </c>
      <c r="B927" s="21">
        <v>45559</v>
      </c>
      <c r="C927" s="22">
        <v>0.47408564814814813</v>
      </c>
    </row>
    <row r="928" spans="1:3">
      <c r="A928" t="s">
        <v>32</v>
      </c>
      <c r="B928" s="21">
        <v>45559</v>
      </c>
      <c r="C928" s="22">
        <v>0.47424768518518517</v>
      </c>
    </row>
    <row r="929" spans="1:3">
      <c r="A929" t="s">
        <v>32</v>
      </c>
      <c r="B929" s="21">
        <v>45559</v>
      </c>
      <c r="C929" s="22">
        <v>0.47467592592592595</v>
      </c>
    </row>
    <row r="930" spans="1:3">
      <c r="A930" t="s">
        <v>32</v>
      </c>
      <c r="B930" s="21">
        <v>45559</v>
      </c>
      <c r="C930" s="22">
        <v>0.47521990740740738</v>
      </c>
    </row>
    <row r="931" spans="1:3">
      <c r="A931" t="s">
        <v>32</v>
      </c>
      <c r="B931" s="21">
        <v>45559</v>
      </c>
      <c r="C931" s="22">
        <v>0.4754976851851852</v>
      </c>
    </row>
    <row r="932" spans="1:3">
      <c r="A932" t="s">
        <v>32</v>
      </c>
      <c r="B932" s="21">
        <v>45559</v>
      </c>
      <c r="C932" s="22">
        <v>0.47553240740740743</v>
      </c>
    </row>
    <row r="933" spans="1:3">
      <c r="A933" t="s">
        <v>32</v>
      </c>
      <c r="B933" s="21">
        <v>45559</v>
      </c>
      <c r="C933" s="22">
        <v>0.47612268518518519</v>
      </c>
    </row>
    <row r="934" spans="1:3">
      <c r="A934" t="s">
        <v>32</v>
      </c>
      <c r="B934" s="21">
        <v>45559</v>
      </c>
      <c r="C934" s="22">
        <v>0.47657407407407409</v>
      </c>
    </row>
    <row r="935" spans="1:3">
      <c r="A935" t="s">
        <v>32</v>
      </c>
      <c r="B935" s="21">
        <v>45559</v>
      </c>
      <c r="C935" s="22">
        <v>0.47665509259259259</v>
      </c>
    </row>
    <row r="936" spans="1:3">
      <c r="A936" t="s">
        <v>32</v>
      </c>
      <c r="B936" s="21">
        <v>45559</v>
      </c>
      <c r="C936" s="22">
        <v>0.47723379629629631</v>
      </c>
    </row>
    <row r="937" spans="1:3">
      <c r="A937" t="s">
        <v>32</v>
      </c>
      <c r="B937" s="21">
        <v>45559</v>
      </c>
      <c r="C937" s="22">
        <v>0.47770833333333335</v>
      </c>
    </row>
    <row r="938" spans="1:3">
      <c r="A938" t="s">
        <v>32</v>
      </c>
      <c r="B938" s="21">
        <v>45559</v>
      </c>
      <c r="C938" s="22">
        <v>0.47780092592592593</v>
      </c>
    </row>
    <row r="939" spans="1:3">
      <c r="A939" t="s">
        <v>32</v>
      </c>
      <c r="B939" s="21">
        <v>45559</v>
      </c>
      <c r="C939" s="22">
        <v>0.47803240740740743</v>
      </c>
    </row>
    <row r="940" spans="1:3">
      <c r="A940" t="s">
        <v>32</v>
      </c>
      <c r="B940" s="21">
        <v>45559</v>
      </c>
      <c r="C940" s="22">
        <v>0.49153935185185182</v>
      </c>
    </row>
    <row r="941" spans="1:3">
      <c r="A941" t="s">
        <v>32</v>
      </c>
      <c r="B941" s="21">
        <v>45559</v>
      </c>
      <c r="C941" s="22">
        <v>0.49243055555555554</v>
      </c>
    </row>
    <row r="942" spans="1:3">
      <c r="A942" t="s">
        <v>32</v>
      </c>
      <c r="B942" s="21">
        <v>45559</v>
      </c>
      <c r="C942" s="22">
        <v>0.4929513888888889</v>
      </c>
    </row>
    <row r="943" spans="1:3">
      <c r="A943" t="s">
        <v>32</v>
      </c>
      <c r="B943" s="21">
        <v>45561</v>
      </c>
      <c r="C943" s="22">
        <v>0.46261574074074074</v>
      </c>
    </row>
    <row r="944" spans="1:3">
      <c r="A944" t="s">
        <v>32</v>
      </c>
      <c r="B944" s="21">
        <v>45610</v>
      </c>
      <c r="C944" s="22">
        <v>0.49819444444444444</v>
      </c>
    </row>
    <row r="945" spans="1:3">
      <c r="A945" t="s">
        <v>32</v>
      </c>
      <c r="B945" s="21">
        <v>45610</v>
      </c>
      <c r="C945" s="22">
        <v>0.50231481481481477</v>
      </c>
    </row>
    <row r="946" spans="1:3">
      <c r="A946" t="s">
        <v>32</v>
      </c>
      <c r="B946" s="21">
        <v>45610</v>
      </c>
      <c r="C946" s="22">
        <v>0.50329861111111107</v>
      </c>
    </row>
    <row r="947" spans="1:3">
      <c r="A947" t="s">
        <v>32</v>
      </c>
      <c r="B947" s="21">
        <v>45610</v>
      </c>
      <c r="C947" s="22">
        <v>0.50348379629629625</v>
      </c>
    </row>
    <row r="948" spans="1:3">
      <c r="A948" t="s">
        <v>32</v>
      </c>
      <c r="B948" s="21">
        <v>45610</v>
      </c>
      <c r="C948" s="22">
        <v>0.50495370370370374</v>
      </c>
    </row>
    <row r="949" spans="1:3">
      <c r="A949" t="s">
        <v>32</v>
      </c>
      <c r="B949" s="21">
        <v>45610</v>
      </c>
      <c r="C949" s="22">
        <v>0.50509259259259254</v>
      </c>
    </row>
    <row r="950" spans="1:3">
      <c r="A950" t="s">
        <v>32</v>
      </c>
      <c r="B950" s="21">
        <v>45610</v>
      </c>
      <c r="C950" s="22">
        <v>0.50515046296296295</v>
      </c>
    </row>
    <row r="951" spans="1:3">
      <c r="A951" t="s">
        <v>32</v>
      </c>
      <c r="B951" s="21">
        <v>45610</v>
      </c>
      <c r="C951" s="22">
        <v>0.52188657407407413</v>
      </c>
    </row>
    <row r="952" spans="1:3">
      <c r="A952" t="s">
        <v>32</v>
      </c>
      <c r="B952" s="21">
        <v>45610</v>
      </c>
      <c r="C952" s="22">
        <v>0.64621527777777776</v>
      </c>
    </row>
    <row r="953" spans="1:3">
      <c r="A953" t="s">
        <v>32</v>
      </c>
      <c r="B953" s="21">
        <v>45610</v>
      </c>
      <c r="C953" s="22">
        <v>0.65511574074074075</v>
      </c>
    </row>
    <row r="954" spans="1:3">
      <c r="A954" t="s">
        <v>32</v>
      </c>
      <c r="B954" s="21">
        <v>45610</v>
      </c>
      <c r="C954" s="22">
        <v>0.65528935185185189</v>
      </c>
    </row>
    <row r="955" spans="1:3">
      <c r="A955" t="s">
        <v>32</v>
      </c>
      <c r="B955" s="21">
        <v>45610</v>
      </c>
      <c r="C955" s="22">
        <v>0.65658564814814813</v>
      </c>
    </row>
    <row r="956" spans="1:3">
      <c r="A956" t="s">
        <v>32</v>
      </c>
      <c r="B956" s="21">
        <v>45610</v>
      </c>
      <c r="C956" s="22">
        <v>0.65791666666666671</v>
      </c>
    </row>
    <row r="957" spans="1:3">
      <c r="A957" t="s">
        <v>32</v>
      </c>
      <c r="B957" s="21">
        <v>45610</v>
      </c>
      <c r="C957" s="22">
        <v>0.65802083333333339</v>
      </c>
    </row>
    <row r="958" spans="1:3">
      <c r="A958" t="s">
        <v>32</v>
      </c>
      <c r="B958" s="21">
        <v>45610</v>
      </c>
      <c r="C958" s="22">
        <v>0.65849537037037043</v>
      </c>
    </row>
    <row r="959" spans="1:3">
      <c r="A959" t="s">
        <v>32</v>
      </c>
      <c r="B959" s="21">
        <v>45610</v>
      </c>
      <c r="C959" s="22">
        <v>0.65887731481481482</v>
      </c>
    </row>
    <row r="960" spans="1:3">
      <c r="A960" t="s">
        <v>32</v>
      </c>
      <c r="B960" s="21">
        <v>45610</v>
      </c>
      <c r="C960" s="22">
        <v>0.66126157407407404</v>
      </c>
    </row>
    <row r="961" spans="1:3">
      <c r="A961" t="s">
        <v>32</v>
      </c>
      <c r="B961" s="21">
        <v>45610</v>
      </c>
      <c r="C961" s="22">
        <v>0.66240740740740744</v>
      </c>
    </row>
    <row r="962" spans="1:3">
      <c r="A962" t="s">
        <v>32</v>
      </c>
      <c r="B962" s="21">
        <v>45610</v>
      </c>
      <c r="C962" s="22">
        <v>0.66364583333333338</v>
      </c>
    </row>
    <row r="963" spans="1:3">
      <c r="A963" t="s">
        <v>32</v>
      </c>
      <c r="B963" s="21">
        <v>45610</v>
      </c>
      <c r="C963" s="22">
        <v>0.66487268518518516</v>
      </c>
    </row>
    <row r="964" spans="1:3">
      <c r="A964" t="s">
        <v>32</v>
      </c>
      <c r="B964" s="21">
        <v>45610</v>
      </c>
      <c r="C964" s="22">
        <v>0.66792824074074075</v>
      </c>
    </row>
    <row r="965" spans="1:3">
      <c r="A965" t="s">
        <v>32</v>
      </c>
      <c r="B965" s="21">
        <v>45610</v>
      </c>
      <c r="C965" s="22">
        <v>0.66821759259259261</v>
      </c>
    </row>
    <row r="966" spans="1:3">
      <c r="A966" t="s">
        <v>32</v>
      </c>
      <c r="B966" s="21">
        <v>45610</v>
      </c>
      <c r="C966" s="22">
        <v>0.66836805555555556</v>
      </c>
    </row>
    <row r="967" spans="1:3">
      <c r="A967" t="s">
        <v>32</v>
      </c>
      <c r="B967" s="21">
        <v>45610</v>
      </c>
      <c r="C967" s="22">
        <v>0.66866898148148146</v>
      </c>
    </row>
    <row r="968" spans="1:3">
      <c r="A968" t="s">
        <v>32</v>
      </c>
      <c r="B968" s="21">
        <v>45610</v>
      </c>
      <c r="C968" s="22">
        <v>0.66976851851851849</v>
      </c>
    </row>
    <row r="969" spans="1:3">
      <c r="A969" t="s">
        <v>32</v>
      </c>
      <c r="B969" s="21">
        <v>45610</v>
      </c>
      <c r="C969" s="22">
        <v>0.66987268518518517</v>
      </c>
    </row>
    <row r="970" spans="1:3">
      <c r="A970" t="s">
        <v>32</v>
      </c>
      <c r="B970" s="21">
        <v>45610</v>
      </c>
      <c r="C970" s="22">
        <v>0.66991898148148143</v>
      </c>
    </row>
    <row r="971" spans="1:3">
      <c r="A971" t="s">
        <v>32</v>
      </c>
      <c r="B971" s="21">
        <v>45610</v>
      </c>
      <c r="C971" s="22">
        <v>0.67003472222222227</v>
      </c>
    </row>
    <row r="972" spans="1:3">
      <c r="A972" t="s">
        <v>32</v>
      </c>
      <c r="B972" s="21">
        <v>45610</v>
      </c>
      <c r="C972" s="22">
        <v>0.67015046296296299</v>
      </c>
    </row>
    <row r="973" spans="1:3">
      <c r="A973" t="s">
        <v>32</v>
      </c>
      <c r="B973" s="21">
        <v>45610</v>
      </c>
      <c r="C973" s="22">
        <v>0.67019675925925926</v>
      </c>
    </row>
    <row r="974" spans="1:3">
      <c r="A974" t="s">
        <v>32</v>
      </c>
      <c r="B974" s="21">
        <v>45610</v>
      </c>
      <c r="C974" s="22">
        <v>0.67046296296296293</v>
      </c>
    </row>
    <row r="975" spans="1:3">
      <c r="A975" t="s">
        <v>32</v>
      </c>
      <c r="B975" s="21">
        <v>45610</v>
      </c>
      <c r="C975" s="22">
        <v>0.67056712962962961</v>
      </c>
    </row>
    <row r="976" spans="1:3">
      <c r="A976" t="s">
        <v>32</v>
      </c>
      <c r="B976" s="21">
        <v>45610</v>
      </c>
      <c r="C976" s="22">
        <v>0.67104166666666665</v>
      </c>
    </row>
    <row r="977" spans="1:3">
      <c r="A977" t="s">
        <v>32</v>
      </c>
      <c r="B977" s="21">
        <v>45610</v>
      </c>
      <c r="C977" s="22">
        <v>0.67109953703703706</v>
      </c>
    </row>
    <row r="978" spans="1:3">
      <c r="A978" t="s">
        <v>32</v>
      </c>
      <c r="B978" s="21">
        <v>45610</v>
      </c>
      <c r="C978" s="22">
        <v>0.67146990740740742</v>
      </c>
    </row>
    <row r="979" spans="1:3">
      <c r="A979" t="s">
        <v>32</v>
      </c>
      <c r="B979" s="21">
        <v>45610</v>
      </c>
      <c r="C979" s="22">
        <v>0.67158564814814814</v>
      </c>
    </row>
    <row r="980" spans="1:3">
      <c r="A980" t="s">
        <v>32</v>
      </c>
      <c r="B980" s="21">
        <v>45610</v>
      </c>
      <c r="C980" s="22">
        <v>0.67160879629629633</v>
      </c>
    </row>
    <row r="981" spans="1:3">
      <c r="A981" t="s">
        <v>32</v>
      </c>
      <c r="B981" s="21">
        <v>45610</v>
      </c>
      <c r="C981" s="22">
        <v>0.67192129629629627</v>
      </c>
    </row>
    <row r="982" spans="1:3">
      <c r="A982" t="s">
        <v>32</v>
      </c>
      <c r="B982" s="21">
        <v>45610</v>
      </c>
      <c r="C982" s="22">
        <v>0.67340277777777779</v>
      </c>
    </row>
    <row r="983" spans="1:3">
      <c r="A983" t="s">
        <v>32</v>
      </c>
      <c r="B983" s="21">
        <v>45610</v>
      </c>
      <c r="C983" s="22">
        <v>0.67435185185185187</v>
      </c>
    </row>
    <row r="984" spans="1:3">
      <c r="A984" t="s">
        <v>32</v>
      </c>
      <c r="B984" s="21">
        <v>45610</v>
      </c>
      <c r="C984" s="22">
        <v>0.67494212962962963</v>
      </c>
    </row>
    <row r="985" spans="1:3">
      <c r="A985" t="s">
        <v>32</v>
      </c>
      <c r="B985" s="21">
        <v>45610</v>
      </c>
      <c r="C985" s="22">
        <v>0.67554398148148154</v>
      </c>
    </row>
    <row r="986" spans="1:3">
      <c r="A986" t="s">
        <v>32</v>
      </c>
      <c r="B986" s="21">
        <v>45610</v>
      </c>
      <c r="C986" s="22">
        <v>0.67561342592592588</v>
      </c>
    </row>
    <row r="987" spans="1:3">
      <c r="A987" t="s">
        <v>32</v>
      </c>
      <c r="B987" s="21">
        <v>45610</v>
      </c>
      <c r="C987" s="22">
        <v>0.67633101851851851</v>
      </c>
    </row>
    <row r="988" spans="1:3">
      <c r="A988" t="s">
        <v>32</v>
      </c>
      <c r="B988" s="21">
        <v>45610</v>
      </c>
      <c r="C988" s="22">
        <v>0.67672453703703705</v>
      </c>
    </row>
    <row r="989" spans="1:3">
      <c r="A989" t="s">
        <v>32</v>
      </c>
      <c r="B989" s="21">
        <v>45610</v>
      </c>
      <c r="C989" s="22">
        <v>0.6772569444444444</v>
      </c>
    </row>
    <row r="990" spans="1:3">
      <c r="A990" t="s">
        <v>32</v>
      </c>
      <c r="B990" s="21">
        <v>45610</v>
      </c>
      <c r="C990" s="22">
        <v>0.67769675925925921</v>
      </c>
    </row>
    <row r="991" spans="1:3">
      <c r="A991" t="s">
        <v>32</v>
      </c>
      <c r="B991" s="21">
        <v>45610</v>
      </c>
      <c r="C991" s="22">
        <v>0.67781250000000004</v>
      </c>
    </row>
    <row r="992" spans="1:3">
      <c r="A992" t="s">
        <v>32</v>
      </c>
      <c r="B992" s="21">
        <v>45610</v>
      </c>
      <c r="C992" s="22">
        <v>0.67790509259259257</v>
      </c>
    </row>
    <row r="993" spans="1:3">
      <c r="A993" t="s">
        <v>32</v>
      </c>
      <c r="B993" s="21">
        <v>45610</v>
      </c>
      <c r="C993" s="22">
        <v>0.67798611111111107</v>
      </c>
    </row>
    <row r="994" spans="1:3">
      <c r="A994" t="s">
        <v>32</v>
      </c>
      <c r="B994" s="21">
        <v>45610</v>
      </c>
      <c r="C994" s="22">
        <v>0.6799074074074074</v>
      </c>
    </row>
    <row r="995" spans="1:3">
      <c r="A995" t="s">
        <v>32</v>
      </c>
      <c r="B995" s="21">
        <v>45610</v>
      </c>
      <c r="C995" s="22">
        <v>0.68109953703703707</v>
      </c>
    </row>
    <row r="996" spans="1:3">
      <c r="A996" t="s">
        <v>32</v>
      </c>
      <c r="B996" s="21">
        <v>45610</v>
      </c>
      <c r="C996" s="22">
        <v>0.68121527777777779</v>
      </c>
    </row>
    <row r="997" spans="1:3">
      <c r="A997" t="s">
        <v>32</v>
      </c>
      <c r="B997" s="21">
        <v>45610</v>
      </c>
      <c r="C997" s="22">
        <v>0.68223379629629632</v>
      </c>
    </row>
    <row r="998" spans="1:3">
      <c r="A998" t="s">
        <v>32</v>
      </c>
      <c r="B998" s="21">
        <v>45610</v>
      </c>
      <c r="C998" s="22">
        <v>0.68266203703703698</v>
      </c>
    </row>
    <row r="999" spans="1:3">
      <c r="A999" t="s">
        <v>32</v>
      </c>
      <c r="B999" s="21">
        <v>45610</v>
      </c>
      <c r="C999" s="22">
        <v>0.68298611111111107</v>
      </c>
    </row>
    <row r="1000" spans="1:3">
      <c r="A1000" t="s">
        <v>32</v>
      </c>
      <c r="B1000" s="21">
        <v>45610</v>
      </c>
      <c r="C1000" s="22">
        <v>0.68327546296296293</v>
      </c>
    </row>
    <row r="1001" spans="1:3">
      <c r="A1001" t="s">
        <v>32</v>
      </c>
      <c r="B1001" s="21">
        <v>45610</v>
      </c>
      <c r="C1001" s="22">
        <v>0.68369212962962966</v>
      </c>
    </row>
    <row r="1002" spans="1:3">
      <c r="A1002" t="s">
        <v>32</v>
      </c>
      <c r="B1002" s="21">
        <v>45610</v>
      </c>
      <c r="C1002" s="22">
        <v>0.68391203703703707</v>
      </c>
    </row>
    <row r="1003" spans="1:3">
      <c r="A1003" t="s">
        <v>32</v>
      </c>
      <c r="B1003" s="21">
        <v>45610</v>
      </c>
      <c r="C1003" s="22">
        <v>0.68398148148148152</v>
      </c>
    </row>
    <row r="1004" spans="1:3">
      <c r="A1004" t="s">
        <v>32</v>
      </c>
      <c r="B1004" s="21">
        <v>45610</v>
      </c>
      <c r="C1004" s="22">
        <v>0.6840856481481481</v>
      </c>
    </row>
    <row r="1005" spans="1:3">
      <c r="A1005" t="s">
        <v>32</v>
      </c>
      <c r="B1005" s="21">
        <v>45610</v>
      </c>
      <c r="C1005" s="22">
        <v>0.68443287037037037</v>
      </c>
    </row>
    <row r="1006" spans="1:3">
      <c r="A1006" t="s">
        <v>32</v>
      </c>
      <c r="B1006" s="21">
        <v>45610</v>
      </c>
      <c r="C1006" s="22">
        <v>0.68484953703703699</v>
      </c>
    </row>
    <row r="1007" spans="1:3">
      <c r="A1007" t="s">
        <v>32</v>
      </c>
      <c r="B1007" s="21">
        <v>45610</v>
      </c>
      <c r="C1007" s="22">
        <v>0.6849305555555556</v>
      </c>
    </row>
    <row r="1008" spans="1:3">
      <c r="A1008" t="s">
        <v>32</v>
      </c>
      <c r="B1008" s="21">
        <v>45610</v>
      </c>
      <c r="C1008" s="22">
        <v>0.68505787037037036</v>
      </c>
    </row>
    <row r="1009" spans="1:3">
      <c r="A1009" t="s">
        <v>32</v>
      </c>
      <c r="B1009" s="21">
        <v>45610</v>
      </c>
      <c r="C1009" s="22">
        <v>0.68512731481481481</v>
      </c>
    </row>
    <row r="1010" spans="1:3">
      <c r="A1010" t="s">
        <v>32</v>
      </c>
      <c r="B1010" s="21">
        <v>45610</v>
      </c>
      <c r="C1010" s="22">
        <v>0.68537037037037041</v>
      </c>
    </row>
    <row r="1011" spans="1:3">
      <c r="A1011" t="s">
        <v>32</v>
      </c>
      <c r="B1011" s="21">
        <v>45610</v>
      </c>
      <c r="C1011" s="22">
        <v>0.6861342592592593</v>
      </c>
    </row>
    <row r="1012" spans="1:3">
      <c r="A1012" t="s">
        <v>32</v>
      </c>
      <c r="B1012" s="21">
        <v>45610</v>
      </c>
      <c r="C1012" s="22">
        <v>0.68614583333333334</v>
      </c>
    </row>
    <row r="1013" spans="1:3">
      <c r="A1013" t="s">
        <v>32</v>
      </c>
      <c r="B1013" s="21">
        <v>45610</v>
      </c>
      <c r="C1013" s="22">
        <v>0.68657407407407411</v>
      </c>
    </row>
    <row r="1014" spans="1:3">
      <c r="A1014" t="s">
        <v>32</v>
      </c>
      <c r="B1014" s="21">
        <v>45610</v>
      </c>
      <c r="C1014" s="22">
        <v>0.68674768518518514</v>
      </c>
    </row>
    <row r="1015" spans="1:3">
      <c r="A1015" t="s">
        <v>32</v>
      </c>
      <c r="B1015" s="21">
        <v>45610</v>
      </c>
      <c r="C1015" s="22">
        <v>0.68762731481481476</v>
      </c>
    </row>
    <row r="1016" spans="1:3">
      <c r="A1016" t="s">
        <v>32</v>
      </c>
      <c r="B1016" s="21">
        <v>45610</v>
      </c>
      <c r="C1016" s="22">
        <v>0.68791666666666662</v>
      </c>
    </row>
    <row r="1017" spans="1:3">
      <c r="A1017" t="s">
        <v>32</v>
      </c>
      <c r="B1017" s="21">
        <v>45610</v>
      </c>
      <c r="C1017" s="22">
        <v>0.68876157407407412</v>
      </c>
    </row>
    <row r="1018" spans="1:3">
      <c r="A1018" t="s">
        <v>32</v>
      </c>
      <c r="B1018" s="21">
        <v>45610</v>
      </c>
      <c r="C1018" s="22">
        <v>0.68887731481481485</v>
      </c>
    </row>
    <row r="1019" spans="1:3">
      <c r="A1019" t="s">
        <v>32</v>
      </c>
      <c r="B1019" s="21">
        <v>45610</v>
      </c>
      <c r="C1019" s="22">
        <v>0.68898148148148153</v>
      </c>
    </row>
    <row r="1020" spans="1:3">
      <c r="A1020" t="s">
        <v>32</v>
      </c>
      <c r="B1020" s="21">
        <v>45610</v>
      </c>
      <c r="C1020" s="22">
        <v>0.68951388888888887</v>
      </c>
    </row>
    <row r="1021" spans="1:3">
      <c r="A1021" t="s">
        <v>32</v>
      </c>
      <c r="B1021" s="21">
        <v>45610</v>
      </c>
      <c r="C1021" s="22">
        <v>0.68967592592592597</v>
      </c>
    </row>
    <row r="1022" spans="1:3">
      <c r="A1022" t="s">
        <v>32</v>
      </c>
      <c r="B1022" s="21">
        <v>45610</v>
      </c>
      <c r="C1022" s="22">
        <v>0.69046296296296295</v>
      </c>
    </row>
    <row r="1023" spans="1:3">
      <c r="A1023" t="s">
        <v>32</v>
      </c>
      <c r="B1023" s="21">
        <v>45610</v>
      </c>
      <c r="C1023" s="22">
        <v>0.6909953703703704</v>
      </c>
    </row>
    <row r="1024" spans="1:3">
      <c r="A1024" t="s">
        <v>32</v>
      </c>
      <c r="B1024" s="21">
        <v>45610</v>
      </c>
      <c r="C1024" s="22">
        <v>0.69114583333333335</v>
      </c>
    </row>
    <row r="1025" spans="1:3">
      <c r="A1025" t="s">
        <v>32</v>
      </c>
      <c r="B1025" s="21">
        <v>45610</v>
      </c>
      <c r="C1025" s="22">
        <v>0.69137731481481479</v>
      </c>
    </row>
    <row r="1026" spans="1:3">
      <c r="A1026" t="s">
        <v>32</v>
      </c>
      <c r="B1026" s="21">
        <v>45610</v>
      </c>
      <c r="C1026" s="22">
        <v>0.69234953703703705</v>
      </c>
    </row>
    <row r="1027" spans="1:3">
      <c r="A1027" t="s">
        <v>32</v>
      </c>
      <c r="B1027" s="21">
        <v>45610</v>
      </c>
      <c r="C1027" s="22">
        <v>0.69317129629629626</v>
      </c>
    </row>
    <row r="1028" spans="1:3">
      <c r="A1028" t="s">
        <v>32</v>
      </c>
      <c r="B1028" s="21">
        <v>45610</v>
      </c>
      <c r="C1028" s="22">
        <v>0.69363425925925926</v>
      </c>
    </row>
    <row r="1029" spans="1:3">
      <c r="A1029" t="s">
        <v>32</v>
      </c>
      <c r="B1029" s="21">
        <v>45610</v>
      </c>
      <c r="C1029" s="22">
        <v>0.69374999999999998</v>
      </c>
    </row>
    <row r="1030" spans="1:3">
      <c r="A1030" t="s">
        <v>32</v>
      </c>
      <c r="B1030" s="21">
        <v>45610</v>
      </c>
      <c r="C1030" s="22">
        <v>0.69384259259259262</v>
      </c>
    </row>
    <row r="1031" spans="1:3">
      <c r="A1031" t="s">
        <v>32</v>
      </c>
      <c r="B1031" s="21">
        <v>45610</v>
      </c>
      <c r="C1031" s="22">
        <v>0.69452546296296291</v>
      </c>
    </row>
    <row r="1032" spans="1:3">
      <c r="A1032" t="s">
        <v>32</v>
      </c>
      <c r="B1032" s="21">
        <v>45610</v>
      </c>
      <c r="C1032" s="22">
        <v>0.69480324074074074</v>
      </c>
    </row>
    <row r="1033" spans="1:3">
      <c r="A1033" t="s">
        <v>32</v>
      </c>
      <c r="B1033" s="21">
        <v>45610</v>
      </c>
      <c r="C1033" s="22">
        <v>0.69512731481481482</v>
      </c>
    </row>
    <row r="1034" spans="1:3">
      <c r="A1034" t="s">
        <v>32</v>
      </c>
      <c r="B1034" s="21">
        <v>45610</v>
      </c>
      <c r="C1034" s="22">
        <v>0.69554398148148144</v>
      </c>
    </row>
    <row r="1035" spans="1:3">
      <c r="A1035" t="s">
        <v>32</v>
      </c>
      <c r="B1035" s="21">
        <v>45610</v>
      </c>
      <c r="C1035" s="22">
        <v>0.69563657407407409</v>
      </c>
    </row>
    <row r="1036" spans="1:3">
      <c r="A1036" t="s">
        <v>32</v>
      </c>
      <c r="B1036" s="21">
        <v>45610</v>
      </c>
      <c r="C1036" s="22">
        <v>0.69581018518518523</v>
      </c>
    </row>
    <row r="1037" spans="1:3">
      <c r="A1037" t="s">
        <v>32</v>
      </c>
      <c r="B1037" s="21">
        <v>45610</v>
      </c>
      <c r="C1037" s="22">
        <v>0.69621527777777781</v>
      </c>
    </row>
    <row r="1038" spans="1:3">
      <c r="A1038" t="s">
        <v>32</v>
      </c>
      <c r="B1038" s="21">
        <v>45610</v>
      </c>
      <c r="C1038" s="22">
        <v>0.69626157407407407</v>
      </c>
    </row>
    <row r="1039" spans="1:3">
      <c r="A1039" t="s">
        <v>32</v>
      </c>
      <c r="B1039" s="21">
        <v>45610</v>
      </c>
      <c r="C1039" s="22">
        <v>0.69638888888888884</v>
      </c>
    </row>
    <row r="1040" spans="1:3">
      <c r="A1040" t="s">
        <v>32</v>
      </c>
      <c r="B1040" s="21">
        <v>45610</v>
      </c>
      <c r="C1040" s="22">
        <v>0.69646990740740744</v>
      </c>
    </row>
    <row r="1041" spans="1:3">
      <c r="A1041" t="s">
        <v>32</v>
      </c>
      <c r="B1041" s="21">
        <v>45610</v>
      </c>
      <c r="C1041" s="22">
        <v>0.69650462962962967</v>
      </c>
    </row>
    <row r="1042" spans="1:3">
      <c r="A1042" t="s">
        <v>32</v>
      </c>
      <c r="B1042" s="21">
        <v>45610</v>
      </c>
      <c r="C1042" s="22">
        <v>0.69722222222222219</v>
      </c>
    </row>
    <row r="1043" spans="1:3">
      <c r="A1043" t="s">
        <v>32</v>
      </c>
      <c r="B1043" s="21">
        <v>45610</v>
      </c>
      <c r="C1043" s="22">
        <v>0.69738425925925929</v>
      </c>
    </row>
    <row r="1044" spans="1:3">
      <c r="A1044" t="s">
        <v>32</v>
      </c>
      <c r="B1044" s="21">
        <v>45610</v>
      </c>
      <c r="C1044" s="22">
        <v>0.70434027777777775</v>
      </c>
    </row>
    <row r="1045" spans="1:3">
      <c r="A1045" t="s">
        <v>32</v>
      </c>
      <c r="B1045" s="21">
        <v>45610</v>
      </c>
      <c r="C1045" s="22">
        <v>0.70454861111111111</v>
      </c>
    </row>
    <row r="1046" spans="1:3">
      <c r="A1046" t="s">
        <v>32</v>
      </c>
      <c r="B1046" s="21">
        <v>45610</v>
      </c>
      <c r="C1046" s="22">
        <v>0.70479166666666671</v>
      </c>
    </row>
    <row r="1047" spans="1:3">
      <c r="A1047" t="s">
        <v>32</v>
      </c>
      <c r="B1047" s="21">
        <v>45610</v>
      </c>
      <c r="C1047" s="22">
        <v>0.7051736111111111</v>
      </c>
    </row>
    <row r="1048" spans="1:3">
      <c r="A1048" t="s">
        <v>32</v>
      </c>
      <c r="B1048" s="21">
        <v>45610</v>
      </c>
      <c r="C1048" s="22">
        <v>0.70534722222222224</v>
      </c>
    </row>
    <row r="1049" spans="1:3">
      <c r="A1049" t="s">
        <v>32</v>
      </c>
      <c r="B1049" s="21">
        <v>45610</v>
      </c>
      <c r="C1049" s="22">
        <v>0.70562499999999995</v>
      </c>
    </row>
    <row r="1050" spans="1:3">
      <c r="A1050" t="s">
        <v>32</v>
      </c>
      <c r="B1050" s="21">
        <v>45610</v>
      </c>
      <c r="C1050" s="22">
        <v>0.70590277777777777</v>
      </c>
    </row>
    <row r="1051" spans="1:3">
      <c r="A1051" t="s">
        <v>32</v>
      </c>
      <c r="B1051" s="21">
        <v>45610</v>
      </c>
      <c r="C1051" s="22">
        <v>0.70616898148148144</v>
      </c>
    </row>
    <row r="1052" spans="1:3">
      <c r="A1052" t="s">
        <v>32</v>
      </c>
      <c r="B1052" s="21">
        <v>45610</v>
      </c>
      <c r="C1052" s="22">
        <v>0.70626157407407408</v>
      </c>
    </row>
    <row r="1053" spans="1:3">
      <c r="A1053" t="s">
        <v>32</v>
      </c>
      <c r="B1053" s="21">
        <v>45610</v>
      </c>
      <c r="C1053" s="22">
        <v>0.71394675925925921</v>
      </c>
    </row>
    <row r="1054" spans="1:3">
      <c r="A1054" t="s">
        <v>32</v>
      </c>
      <c r="B1054" s="21">
        <v>45610</v>
      </c>
      <c r="C1054" s="22">
        <v>0.71429398148148149</v>
      </c>
    </row>
    <row r="1055" spans="1:3">
      <c r="A1055" t="s">
        <v>32</v>
      </c>
      <c r="B1055" s="21">
        <v>45610</v>
      </c>
      <c r="C1055" s="22">
        <v>0.71462962962962961</v>
      </c>
    </row>
    <row r="1056" spans="1:3">
      <c r="A1056" t="s">
        <v>32</v>
      </c>
      <c r="B1056" s="21">
        <v>45610</v>
      </c>
      <c r="C1056" s="22">
        <v>0.71498842592592593</v>
      </c>
    </row>
    <row r="1057" spans="1:3">
      <c r="A1057" t="s">
        <v>32</v>
      </c>
      <c r="B1057" s="21">
        <v>45610</v>
      </c>
      <c r="C1057" s="22">
        <v>0.71530092592592598</v>
      </c>
    </row>
    <row r="1058" spans="1:3">
      <c r="A1058" t="s">
        <v>32</v>
      </c>
      <c r="B1058" s="21">
        <v>45610</v>
      </c>
      <c r="C1058" s="22">
        <v>0.72037037037037033</v>
      </c>
    </row>
    <row r="1059" spans="1:3">
      <c r="A1059" t="s">
        <v>32</v>
      </c>
      <c r="B1059" s="21">
        <v>45611</v>
      </c>
      <c r="C1059" s="22">
        <v>0.64400462962962968</v>
      </c>
    </row>
    <row r="1060" spans="1:3">
      <c r="A1060" t="s">
        <v>32</v>
      </c>
      <c r="B1060" s="21">
        <v>45611</v>
      </c>
      <c r="C1060" s="22">
        <v>0.6444212962962963</v>
      </c>
    </row>
    <row r="1061" spans="1:3">
      <c r="A1061" t="s">
        <v>32</v>
      </c>
      <c r="B1061" s="21">
        <v>45611</v>
      </c>
      <c r="C1061" s="22">
        <v>0.64451388888888894</v>
      </c>
    </row>
    <row r="1062" spans="1:3">
      <c r="A1062" t="s">
        <v>32</v>
      </c>
      <c r="B1062" s="21">
        <v>45611</v>
      </c>
      <c r="C1062" s="22">
        <v>0.64458333333333329</v>
      </c>
    </row>
    <row r="1063" spans="1:3">
      <c r="A1063" t="s">
        <v>32</v>
      </c>
      <c r="B1063" s="21">
        <v>45611</v>
      </c>
      <c r="C1063" s="22">
        <v>0.64471064814814816</v>
      </c>
    </row>
    <row r="1064" spans="1:3">
      <c r="A1064" t="s">
        <v>32</v>
      </c>
      <c r="B1064" s="21">
        <v>45611</v>
      </c>
      <c r="C1064" s="22">
        <v>0.64476851851851846</v>
      </c>
    </row>
    <row r="1065" spans="1:3">
      <c r="A1065" t="s">
        <v>32</v>
      </c>
      <c r="B1065" s="21">
        <v>45611</v>
      </c>
      <c r="C1065" s="22">
        <v>0.6448842592592593</v>
      </c>
    </row>
    <row r="1066" spans="1:3">
      <c r="A1066" t="s">
        <v>32</v>
      </c>
      <c r="B1066" s="21">
        <v>45611</v>
      </c>
      <c r="C1066" s="22">
        <v>0.6450231481481481</v>
      </c>
    </row>
    <row r="1067" spans="1:3">
      <c r="A1067" t="s">
        <v>32</v>
      </c>
      <c r="B1067" s="21">
        <v>45611</v>
      </c>
      <c r="C1067" s="22">
        <v>0.64509259259259255</v>
      </c>
    </row>
    <row r="1068" spans="1:3">
      <c r="A1068" t="s">
        <v>32</v>
      </c>
      <c r="B1068" s="21">
        <v>45611</v>
      </c>
      <c r="C1068" s="22">
        <v>0.64516203703703701</v>
      </c>
    </row>
    <row r="1069" spans="1:3">
      <c r="A1069" t="s">
        <v>32</v>
      </c>
      <c r="B1069" s="21">
        <v>45611</v>
      </c>
      <c r="C1069" s="22">
        <v>0.64523148148148146</v>
      </c>
    </row>
    <row r="1070" spans="1:3">
      <c r="A1070" t="s">
        <v>32</v>
      </c>
      <c r="B1070" s="21">
        <v>45611</v>
      </c>
      <c r="C1070" s="22">
        <v>0.64530092592592592</v>
      </c>
    </row>
    <row r="1071" spans="1:3">
      <c r="A1071" t="s">
        <v>32</v>
      </c>
      <c r="B1071" s="21">
        <v>45611</v>
      </c>
      <c r="C1071" s="22">
        <v>0.64538194444444441</v>
      </c>
    </row>
    <row r="1072" spans="1:3">
      <c r="A1072" t="s">
        <v>32</v>
      </c>
      <c r="B1072" s="21">
        <v>45611</v>
      </c>
      <c r="C1072" s="22">
        <v>0.64569444444444446</v>
      </c>
    </row>
    <row r="1073" spans="1:3">
      <c r="A1073" t="s">
        <v>32</v>
      </c>
      <c r="B1073" s="21">
        <v>45611</v>
      </c>
      <c r="C1073" s="22">
        <v>0.64597222222222217</v>
      </c>
    </row>
    <row r="1074" spans="1:3">
      <c r="A1074" t="s">
        <v>32</v>
      </c>
      <c r="B1074" s="21">
        <v>45611</v>
      </c>
      <c r="C1074" s="22">
        <v>0.64604166666666663</v>
      </c>
    </row>
    <row r="1075" spans="1:3">
      <c r="A1075" t="s">
        <v>32</v>
      </c>
      <c r="B1075" s="21">
        <v>45611</v>
      </c>
      <c r="C1075" s="22">
        <v>0.64609953703703704</v>
      </c>
    </row>
    <row r="1076" spans="1:3">
      <c r="A1076" t="s">
        <v>32</v>
      </c>
      <c r="B1076" s="21">
        <v>45611</v>
      </c>
      <c r="C1076" s="22">
        <v>0.64615740740740746</v>
      </c>
    </row>
    <row r="1077" spans="1:3">
      <c r="A1077" t="s">
        <v>32</v>
      </c>
      <c r="B1077" s="21">
        <v>45611</v>
      </c>
      <c r="C1077" s="22">
        <v>0.64629629629629626</v>
      </c>
    </row>
    <row r="1078" spans="1:3">
      <c r="A1078" t="s">
        <v>32</v>
      </c>
      <c r="B1078" s="21">
        <v>45611</v>
      </c>
      <c r="C1078" s="22">
        <v>0.64656250000000004</v>
      </c>
    </row>
    <row r="1079" spans="1:3">
      <c r="A1079" t="s">
        <v>32</v>
      </c>
      <c r="B1079" s="21">
        <v>45611</v>
      </c>
      <c r="C1079" s="22">
        <v>0.64687499999999998</v>
      </c>
    </row>
    <row r="1080" spans="1:3">
      <c r="A1080" t="s">
        <v>32</v>
      </c>
      <c r="B1080" s="21">
        <v>45611</v>
      </c>
      <c r="C1080" s="22">
        <v>0.64714120370370365</v>
      </c>
    </row>
    <row r="1081" spans="1:3">
      <c r="A1081" t="s">
        <v>32</v>
      </c>
      <c r="B1081" s="21">
        <v>45611</v>
      </c>
      <c r="C1081" s="22">
        <v>0.64800925925925923</v>
      </c>
    </row>
    <row r="1082" spans="1:3">
      <c r="A1082" t="s">
        <v>32</v>
      </c>
      <c r="B1082" s="21">
        <v>45611</v>
      </c>
      <c r="C1082" s="22">
        <v>0.73541666666666672</v>
      </c>
    </row>
    <row r="1083" spans="1:3">
      <c r="A1083" t="s">
        <v>32</v>
      </c>
      <c r="B1083" s="21">
        <v>45611</v>
      </c>
      <c r="C1083" s="22">
        <v>0.73633101851851857</v>
      </c>
    </row>
    <row r="1084" spans="1:3">
      <c r="A1084" t="s">
        <v>32</v>
      </c>
      <c r="B1084" s="21">
        <v>45611</v>
      </c>
      <c r="C1084" s="22">
        <v>0.73649305555555555</v>
      </c>
    </row>
    <row r="1085" spans="1:3">
      <c r="A1085" t="s">
        <v>32</v>
      </c>
      <c r="B1085" s="21">
        <v>45611</v>
      </c>
      <c r="C1085" s="22">
        <v>0.73665509259259254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8">
    <tabColor theme="3" tint="-0.249977111117893"/>
  </sheetPr>
  <dimension ref="B2:H37"/>
  <sheetViews>
    <sheetView workbookViewId="0"/>
  </sheetViews>
  <sheetFormatPr defaultRowHeight="15"/>
  <cols>
    <col min="2" max="2" width="24.28515625" customWidth="1"/>
    <col min="3" max="3" width="10.7109375" customWidth="1"/>
    <col min="4" max="5" width="11.85546875" bestFit="1" customWidth="1"/>
    <col min="8" max="8" width="39.140625" bestFit="1" customWidth="1"/>
  </cols>
  <sheetData>
    <row r="2" spans="2:8" ht="15.75" thickBot="1"/>
    <row r="3" spans="2:8">
      <c r="B3" s="1" t="s">
        <v>3</v>
      </c>
      <c r="C3" s="2" t="s">
        <v>0</v>
      </c>
      <c r="D3" s="2"/>
      <c r="E3" s="2"/>
      <c r="F3" s="3"/>
    </row>
    <row r="4" spans="2:8">
      <c r="B4" s="75" t="s">
        <v>4</v>
      </c>
      <c r="C4" s="76"/>
      <c r="D4" s="5"/>
      <c r="E4" s="5"/>
      <c r="F4" s="6"/>
    </row>
    <row r="5" spans="2:8">
      <c r="B5" s="4" t="s">
        <v>11</v>
      </c>
      <c r="C5" s="10">
        <v>2.9</v>
      </c>
      <c r="D5" s="5"/>
      <c r="E5" s="5"/>
      <c r="F5" s="6"/>
      <c r="H5" s="9" t="s">
        <v>8</v>
      </c>
    </row>
    <row r="6" spans="2:8">
      <c r="B6" s="4" t="s">
        <v>16</v>
      </c>
      <c r="C6" s="10">
        <v>3.12</v>
      </c>
      <c r="D6" s="5"/>
      <c r="E6" s="5"/>
      <c r="F6" s="6"/>
    </row>
    <row r="7" spans="2:8">
      <c r="B7" s="4" t="s">
        <v>12</v>
      </c>
      <c r="C7" s="10">
        <v>4.3499999999999996</v>
      </c>
      <c r="D7" s="5"/>
      <c r="E7" s="5"/>
      <c r="F7" s="6"/>
    </row>
    <row r="8" spans="2:8">
      <c r="B8" s="4" t="s">
        <v>17</v>
      </c>
      <c r="C8" s="5">
        <f>C6/C5</f>
        <v>1.0758620689655174</v>
      </c>
      <c r="D8" s="5"/>
      <c r="E8" s="5"/>
      <c r="F8" s="6"/>
    </row>
    <row r="9" spans="2:8">
      <c r="B9" s="4" t="s">
        <v>18</v>
      </c>
      <c r="C9" s="5">
        <f>C5/C6</f>
        <v>0.9294871794871794</v>
      </c>
      <c r="D9" s="5"/>
      <c r="E9" s="5"/>
      <c r="F9" s="6"/>
    </row>
    <row r="10" spans="2:8">
      <c r="B10" s="4" t="s">
        <v>19</v>
      </c>
      <c r="C10" s="5">
        <f>C5/C7</f>
        <v>0.66666666666666674</v>
      </c>
      <c r="D10" s="5"/>
      <c r="E10" s="5"/>
      <c r="F10" s="6"/>
    </row>
    <row r="11" spans="2:8">
      <c r="B11" s="4" t="s">
        <v>20</v>
      </c>
      <c r="C11" s="5">
        <f>C6/C7</f>
        <v>0.71724137931034493</v>
      </c>
      <c r="D11" s="5"/>
      <c r="E11" s="5"/>
      <c r="F11" s="6"/>
    </row>
    <row r="12" spans="2:8">
      <c r="B12" s="75" t="s">
        <v>9</v>
      </c>
      <c r="C12" s="76"/>
      <c r="D12" s="5"/>
      <c r="E12" s="5"/>
      <c r="F12" s="6"/>
    </row>
    <row r="13" spans="2:8">
      <c r="B13" s="4" t="s">
        <v>10</v>
      </c>
      <c r="C13" s="11">
        <v>0.05</v>
      </c>
      <c r="D13" s="5"/>
      <c r="E13" s="5"/>
      <c r="F13" s="6"/>
    </row>
    <row r="14" spans="2:8">
      <c r="B14" s="75" t="s">
        <v>6</v>
      </c>
      <c r="C14" s="76"/>
      <c r="D14" s="5"/>
      <c r="E14" s="5"/>
      <c r="F14" s="6"/>
    </row>
    <row r="15" spans="2:8">
      <c r="B15" s="4" t="s">
        <v>7</v>
      </c>
      <c r="C15" s="11">
        <v>0.12</v>
      </c>
      <c r="D15" s="5"/>
      <c r="E15" s="5"/>
      <c r="F15" s="6"/>
    </row>
    <row r="16" spans="2:8">
      <c r="B16" s="4"/>
      <c r="C16" s="5"/>
      <c r="D16" s="5"/>
      <c r="E16" s="5"/>
      <c r="F16" s="6"/>
    </row>
    <row r="17" spans="2:6">
      <c r="B17" s="4"/>
      <c r="C17" s="5"/>
      <c r="D17" s="5"/>
      <c r="E17" s="5"/>
      <c r="F17" s="6"/>
    </row>
    <row r="18" spans="2:6">
      <c r="B18" s="4"/>
      <c r="C18" s="5"/>
      <c r="D18" s="5"/>
      <c r="E18" s="5"/>
      <c r="F18" s="6"/>
    </row>
    <row r="19" spans="2:6">
      <c r="B19" s="75" t="s">
        <v>5</v>
      </c>
      <c r="C19" s="76"/>
      <c r="D19" s="5"/>
      <c r="E19" s="5"/>
      <c r="F19" s="6"/>
    </row>
    <row r="20" spans="2:6">
      <c r="B20" s="12" t="s">
        <v>13</v>
      </c>
      <c r="C20" s="13" t="s">
        <v>14</v>
      </c>
      <c r="D20" s="13" t="s">
        <v>9</v>
      </c>
      <c r="E20" s="13" t="s">
        <v>1</v>
      </c>
      <c r="F20" s="14" t="s">
        <v>15</v>
      </c>
    </row>
    <row r="21" spans="2:6">
      <c r="B21" s="4" t="s">
        <v>21</v>
      </c>
      <c r="C21" s="11">
        <v>0.1</v>
      </c>
      <c r="D21" s="11">
        <v>0.05</v>
      </c>
      <c r="E21" s="11">
        <v>0.2</v>
      </c>
      <c r="F21" s="16">
        <v>1.35</v>
      </c>
    </row>
    <row r="22" spans="2:6">
      <c r="B22" s="4" t="s">
        <v>22</v>
      </c>
      <c r="C22" s="11">
        <v>0.1</v>
      </c>
      <c r="D22" s="11">
        <v>0.05</v>
      </c>
      <c r="E22" s="11">
        <v>0.15</v>
      </c>
      <c r="F22" s="16">
        <v>1.3</v>
      </c>
    </row>
    <row r="23" spans="2:6">
      <c r="B23" s="4" t="s">
        <v>2</v>
      </c>
      <c r="C23" s="11">
        <v>0.1</v>
      </c>
      <c r="D23" s="11">
        <v>0.05</v>
      </c>
      <c r="E23" s="11">
        <v>0.15</v>
      </c>
      <c r="F23" s="16">
        <v>1.3</v>
      </c>
    </row>
    <row r="24" spans="2:6">
      <c r="B24" s="4" t="s">
        <v>23</v>
      </c>
      <c r="C24" s="11">
        <v>0.1</v>
      </c>
      <c r="D24" s="11">
        <v>0.05</v>
      </c>
      <c r="E24" s="11">
        <v>0.15</v>
      </c>
      <c r="F24" s="16">
        <v>1.3</v>
      </c>
    </row>
    <row r="25" spans="2:6">
      <c r="B25" s="4" t="s">
        <v>24</v>
      </c>
      <c r="C25" s="11">
        <v>0.1</v>
      </c>
      <c r="D25" s="11">
        <v>0.05</v>
      </c>
      <c r="E25" s="11">
        <v>0.15</v>
      </c>
      <c r="F25" s="16">
        <v>1.3</v>
      </c>
    </row>
    <row r="26" spans="2:6">
      <c r="B26" s="4" t="s">
        <v>25</v>
      </c>
      <c r="C26" s="11">
        <v>0.05</v>
      </c>
      <c r="D26" s="11">
        <v>0.05</v>
      </c>
      <c r="E26" s="11">
        <v>0.4</v>
      </c>
      <c r="F26" s="16">
        <v>1.5</v>
      </c>
    </row>
    <row r="27" spans="2:6">
      <c r="B27" s="4" t="s">
        <v>26</v>
      </c>
      <c r="C27" s="11">
        <v>0.05</v>
      </c>
      <c r="D27" s="11">
        <v>0.05</v>
      </c>
      <c r="E27" s="11">
        <v>0.3</v>
      </c>
      <c r="F27" s="16">
        <v>1.4</v>
      </c>
    </row>
    <row r="28" spans="2:6">
      <c r="B28" s="4" t="s">
        <v>27</v>
      </c>
      <c r="C28" s="11">
        <v>0.05</v>
      </c>
      <c r="D28" s="11">
        <v>0.05</v>
      </c>
      <c r="E28" s="11">
        <v>0.3</v>
      </c>
      <c r="F28" s="16">
        <v>1.4</v>
      </c>
    </row>
    <row r="29" spans="2:6">
      <c r="B29" s="4" t="s">
        <v>28</v>
      </c>
      <c r="C29" s="11">
        <v>0.05</v>
      </c>
      <c r="D29" s="11">
        <v>0.05</v>
      </c>
      <c r="E29" s="11">
        <v>0.3</v>
      </c>
      <c r="F29" s="16">
        <v>1.4</v>
      </c>
    </row>
    <row r="30" spans="2:6">
      <c r="B30" s="4" t="s">
        <v>29</v>
      </c>
      <c r="C30" s="11">
        <v>0.05</v>
      </c>
      <c r="D30" s="11">
        <v>0.05</v>
      </c>
      <c r="E30" s="11">
        <v>0.3</v>
      </c>
      <c r="F30" s="16">
        <v>1.4</v>
      </c>
    </row>
    <row r="31" spans="2:6">
      <c r="B31" s="4" t="s">
        <v>30</v>
      </c>
      <c r="C31" s="11">
        <v>0.05</v>
      </c>
      <c r="D31" s="11">
        <v>0.05</v>
      </c>
      <c r="E31" s="11">
        <v>0.2</v>
      </c>
      <c r="F31" s="16">
        <v>1.3</v>
      </c>
    </row>
    <row r="32" spans="2:6">
      <c r="B32" s="4"/>
      <c r="C32" s="11"/>
      <c r="D32" s="11"/>
      <c r="E32" s="11"/>
      <c r="F32" s="6"/>
    </row>
    <row r="33" spans="2:6">
      <c r="B33" s="4"/>
      <c r="C33" s="11"/>
      <c r="D33" s="11"/>
      <c r="E33" s="11"/>
      <c r="F33" s="6"/>
    </row>
    <row r="34" spans="2:6">
      <c r="B34" s="4"/>
      <c r="C34" s="11"/>
      <c r="D34" s="11"/>
      <c r="E34" s="11"/>
      <c r="F34" s="6"/>
    </row>
    <row r="35" spans="2:6">
      <c r="B35" s="4"/>
      <c r="C35" s="11"/>
      <c r="D35" s="11"/>
      <c r="E35" s="11"/>
      <c r="F35" s="6"/>
    </row>
    <row r="36" spans="2:6">
      <c r="B36" s="4"/>
      <c r="C36" s="11"/>
      <c r="D36" s="11"/>
      <c r="E36" s="11"/>
      <c r="F36" s="6"/>
    </row>
    <row r="37" spans="2:6" ht="15.75" thickBot="1">
      <c r="B37" s="7"/>
      <c r="C37" s="15"/>
      <c r="D37" s="15"/>
      <c r="E37" s="15"/>
      <c r="F37" s="8"/>
    </row>
  </sheetData>
  <mergeCells count="4">
    <mergeCell ref="B4:C4"/>
    <mergeCell ref="B12:C12"/>
    <mergeCell ref="B19:C19"/>
    <mergeCell ref="B14:C14"/>
  </mergeCells>
  <hyperlinks>
    <hyperlink ref="H5" r:id="rId1" xr:uid="{00000000-0004-0000-0600-000000000000}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473BCF-3304-42D5-85C6-17A7A6BF4E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12</vt:i4>
      </vt:variant>
    </vt:vector>
  </HeadingPairs>
  <TitlesOfParts>
    <vt:vector size="15" baseType="lpstr">
      <vt:lpstr>TEKLİF(YSS)</vt:lpstr>
      <vt:lpstr>KAYIT</vt:lpstr>
      <vt:lpstr>YAİS_KATSAYILAR</vt:lpstr>
      <vt:lpstr>Detronix</vt:lpstr>
      <vt:lpstr>EUR</vt:lpstr>
      <vt:lpstr>EUR_GPB</vt:lpstr>
      <vt:lpstr>EUR_USD</vt:lpstr>
      <vt:lpstr>Ggider</vt:lpstr>
      <vt:lpstr>GPB</vt:lpstr>
      <vt:lpstr>İŞÇK</vt:lpstr>
      <vt:lpstr>USD</vt:lpstr>
      <vt:lpstr>USD_EUR</vt:lpstr>
      <vt:lpstr>USD_GPB</vt:lpstr>
      <vt:lpstr>'TEKLİF(YSS)'!Yazdırma_Alanı</vt:lpstr>
      <vt:lpstr>'TEKLİF(YSS)'!Yazdırma_Başlıkları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ANONIM</dc:creator>
  <cp:lastModifiedBy>ANONIM</cp:lastModifiedBy>
  <cp:lastPrinted>2024-09-23T07:12:59Z</cp:lastPrinted>
  <dcterms:created xsi:type="dcterms:W3CDTF">2006-09-16T00:00:00Z</dcterms:created>
  <dcterms:modified xsi:type="dcterms:W3CDTF">2024-11-25T20:21:57Z</dcterms:modified>
</cp:coreProperties>
</file>