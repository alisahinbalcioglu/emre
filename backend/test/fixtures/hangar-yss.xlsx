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sar\Desktop\TEKLİF VERİLEN PROJELER\EMO AYVAZ\"/>
    </mc:Choice>
  </mc:AlternateContent>
  <xr:revisionPtr revIDLastSave="0" documentId="13_ncr:1_{0DBA96BD-47BD-4EFA-9BB9-444C7E374969}" xr6:coauthVersionLast="47" xr6:coauthVersionMax="47" xr10:uidLastSave="{00000000-0000-0000-0000-000000000000}"/>
  <bookViews>
    <workbookView xWindow="-120" yWindow="-120" windowWidth="29040" windowHeight="15720" tabRatio="720" xr2:uid="{00000000-000D-0000-FFFF-FFFF00000000}"/>
  </bookViews>
  <sheets>
    <sheet name="YANGIN_TESISATI" sheetId="7" r:id="rId1"/>
  </sheets>
  <externalReferences>
    <externalReference r:id="rId2"/>
    <externalReference r:id="rId3"/>
  </externalReferences>
  <definedNames>
    <definedName name="DOLAR">[1]KUR!$B$2</definedName>
    <definedName name="EURO">[1]KUR!$B$1</definedName>
    <definedName name="USS">[2]KUR!$C$3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8" i="7" l="1"/>
  <c r="F43" i="7"/>
  <c r="F38" i="7"/>
  <c r="F39" i="7"/>
  <c r="F56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40" i="7"/>
  <c r="F41" i="7"/>
  <c r="F42" i="7"/>
  <c r="F44" i="7"/>
  <c r="F45" i="7"/>
  <c r="F46" i="7"/>
  <c r="F47" i="7"/>
  <c r="F49" i="7"/>
  <c r="F50" i="7"/>
  <c r="F52" i="7"/>
  <c r="F55" i="7"/>
  <c r="F57" i="7"/>
  <c r="F4" i="7"/>
  <c r="F54" i="7" l="1"/>
  <c r="F58" i="7" l="1"/>
</calcChain>
</file>

<file path=xl/sharedStrings.xml><?xml version="1.0" encoding="utf-8"?>
<sst xmlns="http://schemas.openxmlformats.org/spreadsheetml/2006/main" count="98" uniqueCount="65">
  <si>
    <t>FIRMA-J HAVACİLİK 1 NOLU HANGAR ve OFİS PROJESİ HANGAR BÖLÜMÜ MEKANİK TESİSAT KEŞİF ÖZETİ</t>
  </si>
  <si>
    <t xml:space="preserve">YANGIN TESİSAT İŞLERİ  </t>
  </si>
  <si>
    <t>S. NO</t>
  </si>
  <si>
    <t>MALZEMENİN CİNSİ</t>
  </si>
  <si>
    <t>MİKTAR</t>
  </si>
  <si>
    <t>BİRİM</t>
  </si>
  <si>
    <t>İŞÇİLİK BİRİM FİYAT (TL)</t>
  </si>
  <si>
    <t>İŞÇİLİK TOPLAM FİYAT (TL)</t>
  </si>
  <si>
    <t>SPRİNKLER UPRİGHT K:5,6(80)</t>
  </si>
  <si>
    <t>Ad</t>
  </si>
  <si>
    <t>1/2" NPT, 68°C, Prinç</t>
  </si>
  <si>
    <t>UL listeli, FM onaylı</t>
  </si>
  <si>
    <t>SPRİNKLER UPRİGHT K:5,6(80) ( YEDEK )</t>
  </si>
  <si>
    <t>AD.</t>
  </si>
  <si>
    <t>SPRİNKLER KABİNET</t>
  </si>
  <si>
    <t>12 adet 1/2" Sprinkler Hazneli</t>
  </si>
  <si>
    <t>Kırmızı Boyalı</t>
  </si>
  <si>
    <t>ISLAK ALARM VANASI</t>
  </si>
  <si>
    <t>Bağlantı elemanları, geciktirme hücresi,</t>
  </si>
  <si>
    <t>motor gong ve prresostetı ile beraber</t>
  </si>
  <si>
    <t>6"</t>
  </si>
  <si>
    <t>KELEBEK VANA</t>
  </si>
  <si>
    <t>wafer tip, indikatörlü ve izleme anahtarlı</t>
  </si>
  <si>
    <t>8"</t>
  </si>
  <si>
    <t>TEST VE DRENAJ VANASI</t>
  </si>
  <si>
    <t>test, boşaltma ve kapalı konumlu,</t>
  </si>
  <si>
    <t>gözetleme camlı,</t>
  </si>
  <si>
    <t>1 1/4" NPT, K:80 orifis</t>
  </si>
  <si>
    <t>KÜRESEL VANA</t>
  </si>
  <si>
    <t>storz adaptör ve kapağı ile</t>
  </si>
  <si>
    <t>TSE belgeli</t>
  </si>
  <si>
    <t>2"</t>
  </si>
  <si>
    <t>MANOMETRE</t>
  </si>
  <si>
    <t>4" çapli, 0-20 bar göstergeli, gliserinli tip</t>
  </si>
  <si>
    <t>Siyah borular ( Antipas Boyalı )</t>
  </si>
  <si>
    <t>dikişli, PN 16, TS EN 10255 orta seri</t>
  </si>
  <si>
    <t>1"</t>
  </si>
  <si>
    <t>MT.</t>
  </si>
  <si>
    <t>1½"</t>
  </si>
  <si>
    <t>4"</t>
  </si>
  <si>
    <t>10"</t>
  </si>
  <si>
    <t>9..1</t>
  </si>
  <si>
    <t>BORU BOYAMA İŞLERİ,</t>
  </si>
  <si>
    <t>2 kat Ral 3000 yağlı boya ile</t>
  </si>
  <si>
    <t>1"-2"</t>
  </si>
  <si>
    <t>2½"-4"</t>
  </si>
  <si>
    <t>5"-12"</t>
  </si>
  <si>
    <t>9.2</t>
  </si>
  <si>
    <t>Fittings ( Yivli - Dişli - Kaynaklı )</t>
  </si>
  <si>
    <t>set</t>
  </si>
  <si>
    <t>10</t>
  </si>
  <si>
    <t>KOLEKTÖR İMALATI ( PROJEDE Kİ GİBİ )</t>
  </si>
  <si>
    <t>11</t>
  </si>
  <si>
    <t>SİSMİK ASKILAMA</t>
  </si>
  <si>
    <t>12</t>
  </si>
  <si>
    <t>ASKILAMA EKİPMANLARI ( KELEPÇE, TİJ, U BOLT
VS. )</t>
  </si>
  <si>
    <t>%</t>
  </si>
  <si>
    <t>13</t>
  </si>
  <si>
    <t>ÇELİK KONSTRÜKSİYON</t>
  </si>
  <si>
    <t>KG</t>
  </si>
  <si>
    <t>14</t>
  </si>
  <si>
    <t>TEST ve DEVREYE ALMA</t>
  </si>
  <si>
    <t>15</t>
  </si>
  <si>
    <t>16</t>
  </si>
  <si>
    <t>YANGIN TESİSAT İŞLERİ TOPLAM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</si>
</sst>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\T\L"/>
  </numFmts>
  <fonts count="18" x14ac:knownFonts="1">
    <font>
      <sz val="10"/>
      <name val="Arial"/>
      <charset val="162"/>
    </font>
    <font>
      <sz val="11"/>
      <color theme="1"/>
      <name val="Calibri"/>
      <family val="2"/>
      <charset val="162"/>
      <scheme val="minor"/>
    </font>
    <font>
      <sz val="10"/>
      <name val="Arial"/>
      <family val="2"/>
      <charset val="162"/>
    </font>
    <font>
      <sz val="10"/>
      <name val="Arial"/>
      <family val="2"/>
      <charset val="162"/>
    </font>
    <font>
      <sz val="10"/>
      <name val="Arial Tur"/>
      <charset val="162"/>
    </font>
    <font>
      <b/>
      <sz val="10"/>
      <name val="Tahoma"/>
      <family val="2"/>
      <charset val="162"/>
    </font>
    <font>
      <sz val="9"/>
      <name val="Tahoma"/>
      <family val="2"/>
      <charset val="162"/>
    </font>
    <font>
      <sz val="10"/>
      <name val="Tahoma"/>
      <family val="2"/>
      <charset val="162"/>
    </font>
    <font>
      <sz val="9"/>
      <color rgb="FF000000"/>
      <name val="Tahoma"/>
      <family val="2"/>
      <charset val="162"/>
    </font>
    <font>
      <sz val="10"/>
      <name val="Arial"/>
      <family val="2"/>
      <charset val="162"/>
    </font>
    <font>
      <b/>
      <sz val="10"/>
      <name val="Aptos Narrow"/>
      <family val="2"/>
    </font>
    <font>
      <b/>
      <sz val="11"/>
      <name val="Aptos Narrow"/>
      <family val="2"/>
    </font>
    <font>
      <b/>
      <sz val="12"/>
      <name val="Aptos Narrow"/>
      <family val="2"/>
    </font>
    <font>
      <sz val="10"/>
      <color rgb="FF000000"/>
      <name val="Aptos Narrow"/>
      <family val="2"/>
    </font>
    <font>
      <sz val="10"/>
      <name val="Aptos Narrow"/>
      <family val="2"/>
    </font>
    <font>
      <b/>
      <sz val="10"/>
      <color rgb="FFFF0000"/>
      <name val="Aptos Narrow"/>
      <family val="2"/>
    </font>
    <font>
      <sz val="10"/>
      <color rgb="FFFF0000"/>
      <name val="Aptos Narrow"/>
      <family val="2"/>
    </font>
    <font>
      <sz val="1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medium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/>
      <top/>
      <bottom style="medium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</borders>
  <cellStyleXfs count="8">
    <xf numFmtId="0" fontId="0" fillId="0" borderId="0"/>
    <xf numFmtId="9" fontId="2" fillId="0" borderId="0" applyFont="0" applyFill="0" applyBorder="0" applyAlignment="0" applyProtection="0"/>
    <xf numFmtId="0" fontId="3" fillId="0" borderId="0"/>
    <xf numFmtId="0" fontId="3" fillId="0" borderId="0"/>
    <xf numFmtId="0" fontId="4" fillId="0" borderId="0"/>
    <xf numFmtId="0" fontId="4" fillId="0" borderId="0"/>
    <xf numFmtId="0" fontId="1" fillId="0" borderId="0"/>
    <xf numFmtId="0" fontId="9" fillId="0" borderId="0"/>
  </cellStyleXfs>
  <cellXfs count="47">
    <xf numFmtId="0" fontId="0" fillId="0" borderId="0" xfId="0"/>
    <xf numFmtId="164" fontId="6" fillId="2" borderId="6" xfId="0" applyNumberFormat="1" applyFont="1" applyFill="1" applyBorder="1" applyAlignment="1">
      <alignment horizontal="center" vertical="center" wrapText="1"/>
    </xf>
    <xf numFmtId="164" fontId="6" fillId="2" borderId="2" xfId="0" applyNumberFormat="1" applyFont="1" applyFill="1" applyBorder="1" applyAlignment="1">
      <alignment horizontal="center" vertical="center" wrapText="1"/>
    </xf>
    <xf numFmtId="49" fontId="5" fillId="2" borderId="5" xfId="0" applyNumberFormat="1" applyFont="1" applyFill="1" applyBorder="1" applyAlignment="1">
      <alignment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left" vertical="center"/>
    </xf>
    <xf numFmtId="49" fontId="7" fillId="0" borderId="0" xfId="0" applyNumberFormat="1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49" fontId="6" fillId="3" borderId="1" xfId="0" applyNumberFormat="1" applyFont="1" applyFill="1" applyBorder="1" applyAlignment="1">
      <alignment horizontal="center" vertical="top" wrapText="1"/>
    </xf>
    <xf numFmtId="49" fontId="6" fillId="0" borderId="1" xfId="0" applyNumberFormat="1" applyFont="1" applyBorder="1" applyAlignment="1">
      <alignment horizontal="center" vertical="top" wrapText="1"/>
    </xf>
    <xf numFmtId="49" fontId="6" fillId="0" borderId="1" xfId="7" applyNumberFormat="1" applyFont="1" applyBorder="1" applyAlignment="1">
      <alignment horizontal="center" vertical="top" wrapText="1"/>
    </xf>
    <xf numFmtId="49" fontId="10" fillId="2" borderId="1" xfId="2" applyNumberFormat="1" applyFont="1" applyFill="1" applyBorder="1" applyAlignment="1">
      <alignment horizontal="center" vertical="center" wrapText="1"/>
    </xf>
    <xf numFmtId="0" fontId="10" fillId="2" borderId="2" xfId="2" applyFont="1" applyFill="1" applyBorder="1" applyAlignment="1">
      <alignment horizontal="left" vertical="center" wrapText="1"/>
    </xf>
    <xf numFmtId="0" fontId="10" fillId="2" borderId="2" xfId="2" applyFont="1" applyFill="1" applyBorder="1" applyAlignment="1">
      <alignment horizontal="center" vertical="center" wrapText="1"/>
    </xf>
    <xf numFmtId="164" fontId="10" fillId="2" borderId="2" xfId="0" applyNumberFormat="1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top" wrapText="1"/>
    </xf>
    <xf numFmtId="1" fontId="13" fillId="0" borderId="2" xfId="0" applyNumberFormat="1" applyFont="1" applyBorder="1" applyAlignment="1">
      <alignment horizontal="center" vertical="center" shrinkToFit="1"/>
    </xf>
    <xf numFmtId="0" fontId="14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164" fontId="14" fillId="0" borderId="2" xfId="3" applyNumberFormat="1" applyFont="1" applyBorder="1" applyAlignment="1">
      <alignment horizontal="center" vertical="center" wrapText="1"/>
    </xf>
    <xf numFmtId="0" fontId="14" fillId="0" borderId="2" xfId="0" applyFont="1" applyBorder="1" applyAlignment="1">
      <alignment horizontal="left" vertical="top" wrapText="1"/>
    </xf>
    <xf numFmtId="0" fontId="15" fillId="0" borderId="2" xfId="0" applyFont="1" applyBorder="1" applyAlignment="1">
      <alignment horizontal="left" vertical="top" wrapText="1"/>
    </xf>
    <xf numFmtId="1" fontId="15" fillId="0" borderId="2" xfId="0" applyNumberFormat="1" applyFont="1" applyBorder="1" applyAlignment="1">
      <alignment horizontal="center" vertical="center" shrinkToFit="1"/>
    </xf>
    <xf numFmtId="0" fontId="14" fillId="0" borderId="2" xfId="0" applyFont="1" applyBorder="1" applyAlignment="1">
      <alignment vertical="center" wrapText="1"/>
    </xf>
    <xf numFmtId="0" fontId="16" fillId="0" borderId="2" xfId="0" applyFont="1" applyBorder="1" applyAlignment="1">
      <alignment horizontal="left" vertical="top" wrapText="1"/>
    </xf>
    <xf numFmtId="1" fontId="16" fillId="0" borderId="2" xfId="0" applyNumberFormat="1" applyFont="1" applyBorder="1" applyAlignment="1">
      <alignment horizontal="center" vertical="center" shrinkToFit="1"/>
    </xf>
    <xf numFmtId="0" fontId="16" fillId="0" borderId="2" xfId="0" applyFont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left" vertical="top" wrapText="1"/>
    </xf>
    <xf numFmtId="1" fontId="13" fillId="3" borderId="2" xfId="0" applyNumberFormat="1" applyFont="1" applyFill="1" applyBorder="1" applyAlignment="1">
      <alignment horizontal="center" vertical="center" shrinkToFit="1"/>
    </xf>
    <xf numFmtId="0" fontId="14" fillId="3" borderId="2" xfId="0" applyFont="1" applyFill="1" applyBorder="1" applyAlignment="1">
      <alignment horizontal="center" vertical="center" wrapText="1"/>
    </xf>
    <xf numFmtId="164" fontId="14" fillId="3" borderId="2" xfId="3" applyNumberFormat="1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2" xfId="7" applyFont="1" applyBorder="1" applyAlignment="1">
      <alignment horizontal="left" vertical="top" wrapText="1"/>
    </xf>
    <xf numFmtId="1" fontId="13" fillId="0" borderId="2" xfId="7" applyNumberFormat="1" applyFont="1" applyBorder="1" applyAlignment="1">
      <alignment horizontal="center" vertical="center" shrinkToFit="1"/>
    </xf>
    <xf numFmtId="0" fontId="14" fillId="0" borderId="2" xfId="7" applyFont="1" applyBorder="1" applyAlignment="1">
      <alignment horizontal="center" vertical="center" wrapText="1"/>
    </xf>
    <xf numFmtId="49" fontId="11" fillId="4" borderId="4" xfId="2" applyNumberFormat="1" applyFont="1" applyFill="1" applyBorder="1" applyAlignment="1">
      <alignment horizontal="center" vertical="center"/>
    </xf>
    <xf numFmtId="3" fontId="11" fillId="4" borderId="3" xfId="5" applyNumberFormat="1" applyFont="1" applyFill="1" applyBorder="1" applyAlignment="1">
      <alignment horizontal="left" vertical="center" wrapText="1"/>
    </xf>
    <xf numFmtId="2" fontId="17" fillId="4" borderId="3" xfId="2" applyNumberFormat="1" applyFont="1" applyFill="1" applyBorder="1" applyAlignment="1">
      <alignment horizontal="center" vertical="center"/>
    </xf>
    <xf numFmtId="0" fontId="17" fillId="4" borderId="3" xfId="2" applyFont="1" applyFill="1" applyBorder="1" applyAlignment="1">
      <alignment horizontal="center" vertical="center"/>
    </xf>
    <xf numFmtId="164" fontId="17" fillId="4" borderId="3" xfId="2" applyNumberFormat="1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left" vertical="center" wrapText="1"/>
    </xf>
    <xf numFmtId="0" fontId="12" fillId="2" borderId="2" xfId="0" applyFont="1" applyFill="1" applyBorder="1" applyAlignment="1">
      <alignment horizontal="left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top" shrinkToFit="1"/>
    </xf>
    <xf numFmtId="49" fontId="8" fillId="0" borderId="1" xfId="0" applyNumberFormat="1" applyFont="1" applyBorder="1" applyAlignment="1">
      <alignment horizontal="center" vertical="center" shrinkToFit="1"/>
    </xf>
    <xf numFmtId="0" fontId="14" fillId="0" borderId="2" xfId="0" applyFont="1" applyBorder="1" applyAlignment="1">
      <alignment horizontal="center" vertical="center" wrapText="1"/>
    </xf>
  </cellXfs>
  <cellStyles count="8">
    <cellStyle name="Normal" xfId="0" builtinId="0"/>
    <cellStyle name="Normal 168" xfId="2" xr:uid="{00000000-0005-0000-0000-000001000000}"/>
    <cellStyle name="Normal 2" xfId="6" xr:uid="{00000000-0005-0000-0000-000002000000}"/>
    <cellStyle name="Normal 21" xfId="4" xr:uid="{00000000-0005-0000-0000-000003000000}"/>
    <cellStyle name="Normal 25" xfId="5" xr:uid="{00000000-0005-0000-0000-000004000000}"/>
    <cellStyle name="Normal 6" xfId="7" xr:uid="{52BC14D4-FFF2-4E10-ACFB-43B7F5CA4D96}"/>
    <cellStyle name="Normal_Shhi Tsst 2 2" xfId="3" xr:uid="{00000000-0005-0000-0000-000008000000}"/>
    <cellStyle name="Yüzde 2" xfId="1" xr:uid="{00000000-0005-0000-0000-00000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01-PROJELER\01-Esref_Bey\00-Sartnameler\Hascelik_Idari_Bina_Mekanik_Tesisat_Kesfi_2009202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01-PROJELER\01-Esref_Bey\00-Sartnameler\SM_Hascelik_Fabrika_Mekanik_Tesisat_Kesfi_0311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İCMAL"/>
      <sheetName val=" HAVALANDIRMA TESİSATI"/>
      <sheetName val="SIHHI TESİSAT"/>
      <sheetName val="VRF KLİMA TESİSATI"/>
      <sheetName val="KUR"/>
    </sheetNames>
    <sheetDataSet>
      <sheetData sheetId="0" refreshError="1"/>
      <sheetData sheetId="1" refreshError="1"/>
      <sheetData sheetId="2"/>
      <sheetData sheetId="3" refreshError="1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PAK"/>
      <sheetName val="ICMAL"/>
      <sheetName val="PROSES_TESISATI_KESIF"/>
      <sheetName val="KUR"/>
    </sheetNames>
    <sheetDataSet>
      <sheetData sheetId="0" refreshError="1"/>
      <sheetData sheetId="1" refreshError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F58"/>
  <sheetViews>
    <sheetView showZeros="0" tabSelected="1" view="pageBreakPreview" zoomScale="110" zoomScaleNormal="110" zoomScaleSheetLayoutView="110" workbookViewId="0">
      <pane xSplit="1" ySplit="3" topLeftCell="B32" activePane="bottomRight" state="frozen"/>
      <selection pane="topRight" activeCell="D1" sqref="D1"/>
      <selection pane="bottomLeft" activeCell="A4" sqref="A4"/>
      <selection pane="bottomRight" activeCell="C41" sqref="C41"/>
    </sheetView>
  </sheetViews>
  <sheetFormatPr defaultColWidth="9.140625" defaultRowHeight="12.75" x14ac:dyDescent="0.2"/>
  <cols>
    <col min="1" max="1" width="9.7109375" style="7" customWidth="1"/>
    <col min="2" max="2" width="52.85546875" style="5" customWidth="1"/>
    <col min="3" max="4" width="9.28515625" style="8" customWidth="1"/>
    <col min="5" max="5" width="18" style="5" customWidth="1"/>
    <col min="6" max="6" width="18.7109375" style="5" customWidth="1"/>
    <col min="7" max="16384" width="9.140625" style="5"/>
  </cols>
  <sheetData>
    <row r="1" spans="1:6" ht="24.95" customHeight="1" x14ac:dyDescent="0.2">
      <c r="A1" s="3"/>
      <c r="B1" s="41" t="s">
        <v>0</v>
      </c>
      <c r="C1" s="41"/>
      <c r="D1" s="41"/>
      <c r="E1" s="1"/>
      <c r="F1" s="1"/>
    </row>
    <row r="2" spans="1:6" ht="24.95" customHeight="1" x14ac:dyDescent="0.2">
      <c r="A2" s="4"/>
      <c r="B2" s="42" t="s">
        <v>1</v>
      </c>
      <c r="C2" s="42"/>
      <c r="D2" s="42"/>
      <c r="E2" s="2"/>
      <c r="F2" s="2"/>
    </row>
    <row r="3" spans="1:6" s="6" customFormat="1" ht="45" customHeight="1" x14ac:dyDescent="0.2">
      <c r="A3" s="12" t="s">
        <v>2</v>
      </c>
      <c r="B3" s="13" t="s">
        <v>3</v>
      </c>
      <c r="C3" s="14" t="s">
        <v>4</v>
      </c>
      <c r="D3" s="14" t="s">
        <v>5</v>
      </c>
      <c r="E3" s="15" t="s">
        <v>6</v>
      </c>
      <c r="F3" s="15" t="s">
        <v>7</v>
      </c>
    </row>
    <row r="4" spans="1:6" ht="24" customHeight="1" x14ac:dyDescent="0.2">
      <c r="A4" s="44">
        <v>1</v>
      </c>
      <c r="B4" s="16" t="s">
        <v>8</v>
      </c>
      <c r="C4" s="17">
        <v>504</v>
      </c>
      <c r="D4" s="18" t="s">
        <v>9</v>
      </c>
      <c r="E4" s="20">
        <v>100</v>
      </c>
      <c r="F4" s="20">
        <f t="shared" ref="F4:F23" si="0">E4*C4</f>
        <v>50400</v>
      </c>
    </row>
    <row r="5" spans="1:6" ht="17.100000000000001" customHeight="1" x14ac:dyDescent="0.2">
      <c r="A5" s="44"/>
      <c r="B5" s="21" t="s">
        <v>10</v>
      </c>
      <c r="C5" s="17"/>
      <c r="D5" s="18"/>
      <c r="E5" s="20"/>
      <c r="F5" s="20">
        <f t="shared" si="0"/>
        <v>0</v>
      </c>
    </row>
    <row r="6" spans="1:6" ht="17.100000000000001" customHeight="1" x14ac:dyDescent="0.2">
      <c r="A6" s="44"/>
      <c r="B6" s="21" t="s">
        <v>11</v>
      </c>
      <c r="C6" s="17"/>
      <c r="D6" s="18"/>
      <c r="E6" s="20"/>
      <c r="F6" s="20">
        <f t="shared" si="0"/>
        <v>0</v>
      </c>
    </row>
    <row r="7" spans="1:6" ht="13.5" x14ac:dyDescent="0.2">
      <c r="A7" s="44">
        <v>2</v>
      </c>
      <c r="B7" s="16" t="s">
        <v>12</v>
      </c>
      <c r="C7" s="17">
        <v>12</v>
      </c>
      <c r="D7" s="18" t="s">
        <v>13</v>
      </c>
      <c r="E7" s="20">
        <v>100</v>
      </c>
      <c r="F7" s="20">
        <f t="shared" si="0"/>
        <v>1200</v>
      </c>
    </row>
    <row r="8" spans="1:6" ht="17.100000000000001" customHeight="1" x14ac:dyDescent="0.2">
      <c r="A8" s="44"/>
      <c r="B8" s="21" t="s">
        <v>10</v>
      </c>
      <c r="C8" s="17"/>
      <c r="D8" s="18"/>
      <c r="E8" s="20"/>
      <c r="F8" s="20">
        <f t="shared" si="0"/>
        <v>0</v>
      </c>
    </row>
    <row r="9" spans="1:6" ht="17.100000000000001" customHeight="1" x14ac:dyDescent="0.2">
      <c r="A9" s="44"/>
      <c r="B9" s="21" t="s">
        <v>11</v>
      </c>
      <c r="C9" s="17"/>
      <c r="D9" s="18"/>
      <c r="E9" s="20"/>
      <c r="F9" s="20">
        <f t="shared" si="0"/>
        <v>0</v>
      </c>
    </row>
    <row r="10" spans="1:6" ht="13.5" x14ac:dyDescent="0.2">
      <c r="A10" s="44">
        <v>3</v>
      </c>
      <c r="B10" s="16" t="s">
        <v>14</v>
      </c>
      <c r="C10" s="17">
        <v>1</v>
      </c>
      <c r="D10" s="18" t="s">
        <v>13</v>
      </c>
      <c r="E10" s="20">
        <v>5000</v>
      </c>
      <c r="F10" s="20">
        <f t="shared" si="0"/>
        <v>5000</v>
      </c>
    </row>
    <row r="11" spans="1:6" ht="17.100000000000001" customHeight="1" x14ac:dyDescent="0.2">
      <c r="A11" s="44"/>
      <c r="B11" s="21" t="s">
        <v>15</v>
      </c>
      <c r="C11" s="17"/>
      <c r="D11" s="18"/>
      <c r="E11" s="20"/>
      <c r="F11" s="20">
        <f t="shared" si="0"/>
        <v>0</v>
      </c>
    </row>
    <row r="12" spans="1:6" ht="17.100000000000001" customHeight="1" x14ac:dyDescent="0.2">
      <c r="A12" s="44"/>
      <c r="B12" s="21" t="s">
        <v>16</v>
      </c>
      <c r="C12" s="17"/>
      <c r="D12" s="18"/>
      <c r="E12" s="20"/>
      <c r="F12" s="20">
        <f t="shared" si="0"/>
        <v>0</v>
      </c>
    </row>
    <row r="13" spans="1:6" ht="17.100000000000001" customHeight="1" x14ac:dyDescent="0.2">
      <c r="A13" s="45">
        <v>4</v>
      </c>
      <c r="B13" s="16" t="s">
        <v>17</v>
      </c>
      <c r="C13" s="17"/>
      <c r="D13" s="18"/>
      <c r="E13" s="20"/>
      <c r="F13" s="20">
        <f t="shared" si="0"/>
        <v>0</v>
      </c>
    </row>
    <row r="14" spans="1:6" ht="17.100000000000001" customHeight="1" x14ac:dyDescent="0.2">
      <c r="A14" s="45"/>
      <c r="B14" s="21" t="s">
        <v>18</v>
      </c>
      <c r="C14" s="17"/>
      <c r="D14" s="18"/>
      <c r="E14" s="20"/>
      <c r="F14" s="20">
        <f t="shared" si="0"/>
        <v>0</v>
      </c>
    </row>
    <row r="15" spans="1:6" ht="17.100000000000001" customHeight="1" x14ac:dyDescent="0.2">
      <c r="A15" s="45"/>
      <c r="B15" s="21" t="s">
        <v>19</v>
      </c>
      <c r="C15" s="17"/>
      <c r="D15" s="18"/>
      <c r="E15" s="20"/>
      <c r="F15" s="20">
        <f t="shared" si="0"/>
        <v>0</v>
      </c>
    </row>
    <row r="16" spans="1:6" ht="17.100000000000001" customHeight="1" x14ac:dyDescent="0.2">
      <c r="A16" s="45"/>
      <c r="B16" s="21" t="s">
        <v>11</v>
      </c>
      <c r="C16" s="17"/>
      <c r="D16" s="18"/>
      <c r="E16" s="20"/>
      <c r="F16" s="20">
        <f t="shared" si="0"/>
        <v>0</v>
      </c>
    </row>
    <row r="17" spans="1:6" ht="17.100000000000001" customHeight="1" x14ac:dyDescent="0.2">
      <c r="A17" s="45"/>
      <c r="B17" s="21" t="s">
        <v>20</v>
      </c>
      <c r="C17" s="17">
        <v>2</v>
      </c>
      <c r="D17" s="18" t="s">
        <v>13</v>
      </c>
      <c r="E17" s="20">
        <v>6250</v>
      </c>
      <c r="F17" s="20">
        <f t="shared" si="0"/>
        <v>12500</v>
      </c>
    </row>
    <row r="18" spans="1:6" ht="17.100000000000001" customHeight="1" x14ac:dyDescent="0.2">
      <c r="A18" s="45">
        <v>5</v>
      </c>
      <c r="B18" s="16" t="s">
        <v>21</v>
      </c>
      <c r="C18" s="18"/>
      <c r="D18" s="18"/>
      <c r="E18" s="20"/>
      <c r="F18" s="20">
        <f t="shared" si="0"/>
        <v>0</v>
      </c>
    </row>
    <row r="19" spans="1:6" ht="17.100000000000001" customHeight="1" x14ac:dyDescent="0.2">
      <c r="A19" s="45"/>
      <c r="B19" s="21" t="s">
        <v>22</v>
      </c>
      <c r="C19" s="18"/>
      <c r="D19" s="18"/>
      <c r="E19" s="20"/>
      <c r="F19" s="20">
        <f t="shared" si="0"/>
        <v>0</v>
      </c>
    </row>
    <row r="20" spans="1:6" ht="17.100000000000001" customHeight="1" x14ac:dyDescent="0.2">
      <c r="A20" s="45"/>
      <c r="B20" s="21" t="s">
        <v>11</v>
      </c>
      <c r="C20" s="18"/>
      <c r="D20" s="18"/>
      <c r="E20" s="20"/>
      <c r="F20" s="20">
        <f t="shared" si="0"/>
        <v>0</v>
      </c>
    </row>
    <row r="21" spans="1:6" ht="17.100000000000001" customHeight="1" x14ac:dyDescent="0.2">
      <c r="A21" s="45"/>
      <c r="B21" s="21" t="s">
        <v>20</v>
      </c>
      <c r="C21" s="17">
        <v>2</v>
      </c>
      <c r="D21" s="18" t="s">
        <v>13</v>
      </c>
      <c r="E21" s="20">
        <v>2500</v>
      </c>
      <c r="F21" s="20">
        <f t="shared" si="0"/>
        <v>5000</v>
      </c>
    </row>
    <row r="22" spans="1:6" ht="17.100000000000001" customHeight="1" x14ac:dyDescent="0.2">
      <c r="A22" s="45"/>
      <c r="B22" s="21" t="s">
        <v>23</v>
      </c>
      <c r="C22" s="17">
        <v>1</v>
      </c>
      <c r="D22" s="18" t="s">
        <v>13</v>
      </c>
      <c r="E22" s="20">
        <v>3500</v>
      </c>
      <c r="F22" s="20">
        <f t="shared" si="0"/>
        <v>3500</v>
      </c>
    </row>
    <row r="23" spans="1:6" ht="17.100000000000001" customHeight="1" x14ac:dyDescent="0.2">
      <c r="A23" s="45">
        <v>6</v>
      </c>
      <c r="B23" s="16" t="s">
        <v>24</v>
      </c>
      <c r="C23" s="18"/>
      <c r="D23" s="18"/>
      <c r="E23" s="20"/>
      <c r="F23" s="20">
        <f t="shared" si="0"/>
        <v>0</v>
      </c>
    </row>
    <row r="24" spans="1:6" ht="17.100000000000001" customHeight="1" x14ac:dyDescent="0.2">
      <c r="A24" s="45"/>
      <c r="B24" s="21" t="s">
        <v>25</v>
      </c>
      <c r="C24" s="18"/>
      <c r="D24" s="18"/>
      <c r="E24" s="20"/>
      <c r="F24" s="20"/>
    </row>
    <row r="25" spans="1:6" ht="17.100000000000001" customHeight="1" x14ac:dyDescent="0.2">
      <c r="A25" s="45"/>
      <c r="B25" s="21" t="s">
        <v>26</v>
      </c>
      <c r="C25" s="18"/>
      <c r="D25" s="18"/>
      <c r="E25" s="20"/>
      <c r="F25" s="20">
        <f t="shared" ref="F25:F37" si="1">E25*C25</f>
        <v>0</v>
      </c>
    </row>
    <row r="26" spans="1:6" ht="17.100000000000001" customHeight="1" x14ac:dyDescent="0.2">
      <c r="A26" s="45"/>
      <c r="B26" s="21" t="s">
        <v>11</v>
      </c>
      <c r="C26" s="18"/>
      <c r="D26" s="18"/>
      <c r="E26" s="20"/>
      <c r="F26" s="20">
        <f t="shared" si="1"/>
        <v>0</v>
      </c>
    </row>
    <row r="27" spans="1:6" ht="17.100000000000001" customHeight="1" x14ac:dyDescent="0.2">
      <c r="A27" s="45"/>
      <c r="B27" s="21" t="s">
        <v>27</v>
      </c>
      <c r="C27" s="17">
        <v>2</v>
      </c>
      <c r="D27" s="18" t="s">
        <v>13</v>
      </c>
      <c r="E27" s="20">
        <v>1500</v>
      </c>
      <c r="F27" s="20">
        <f t="shared" si="1"/>
        <v>3000</v>
      </c>
    </row>
    <row r="28" spans="1:6" ht="17.100000000000001" customHeight="1" x14ac:dyDescent="0.2">
      <c r="A28" s="44">
        <v>7</v>
      </c>
      <c r="B28" s="16" t="s">
        <v>28</v>
      </c>
      <c r="C28" s="18"/>
      <c r="D28" s="18"/>
      <c r="E28" s="20"/>
      <c r="F28" s="20">
        <f t="shared" si="1"/>
        <v>0</v>
      </c>
    </row>
    <row r="29" spans="1:6" ht="17.100000000000001" customHeight="1" x14ac:dyDescent="0.2">
      <c r="A29" s="44"/>
      <c r="B29" s="21" t="s">
        <v>29</v>
      </c>
      <c r="C29" s="18"/>
      <c r="D29" s="18"/>
      <c r="E29" s="20"/>
      <c r="F29" s="20">
        <f t="shared" si="1"/>
        <v>0</v>
      </c>
    </row>
    <row r="30" spans="1:6" ht="17.100000000000001" customHeight="1" x14ac:dyDescent="0.2">
      <c r="A30" s="44"/>
      <c r="B30" s="21" t="s">
        <v>30</v>
      </c>
      <c r="C30" s="18"/>
      <c r="D30" s="18"/>
      <c r="E30" s="20"/>
      <c r="F30" s="20">
        <f t="shared" si="1"/>
        <v>0</v>
      </c>
    </row>
    <row r="31" spans="1:6" ht="17.100000000000001" customHeight="1" x14ac:dyDescent="0.2">
      <c r="A31" s="44"/>
      <c r="B31" s="21" t="s">
        <v>31</v>
      </c>
      <c r="C31" s="17">
        <v>7</v>
      </c>
      <c r="D31" s="18" t="s">
        <v>13</v>
      </c>
      <c r="E31" s="20">
        <v>1250</v>
      </c>
      <c r="F31" s="20">
        <f t="shared" si="1"/>
        <v>8750</v>
      </c>
    </row>
    <row r="32" spans="1:6" ht="17.100000000000001" customHeight="1" x14ac:dyDescent="0.2">
      <c r="A32" s="44">
        <v>8</v>
      </c>
      <c r="B32" s="16" t="s">
        <v>32</v>
      </c>
      <c r="C32" s="17">
        <v>1</v>
      </c>
      <c r="D32" s="18" t="s">
        <v>13</v>
      </c>
      <c r="E32" s="20">
        <v>750</v>
      </c>
      <c r="F32" s="20">
        <f t="shared" si="1"/>
        <v>750</v>
      </c>
    </row>
    <row r="33" spans="1:6" ht="17.100000000000001" customHeight="1" x14ac:dyDescent="0.2">
      <c r="A33" s="44"/>
      <c r="B33" s="21" t="s">
        <v>33</v>
      </c>
      <c r="C33" s="17"/>
      <c r="D33" s="18"/>
      <c r="E33" s="20"/>
      <c r="F33" s="20">
        <f t="shared" si="1"/>
        <v>0</v>
      </c>
    </row>
    <row r="34" spans="1:6" ht="17.100000000000001" customHeight="1" x14ac:dyDescent="0.2">
      <c r="A34" s="44"/>
      <c r="B34" s="21" t="s">
        <v>30</v>
      </c>
      <c r="C34" s="17"/>
      <c r="D34" s="18"/>
      <c r="E34" s="20"/>
      <c r="F34" s="20">
        <f t="shared" si="1"/>
        <v>0</v>
      </c>
    </row>
    <row r="35" spans="1:6" ht="17.100000000000001" customHeight="1" x14ac:dyDescent="0.2">
      <c r="A35" s="45">
        <v>9</v>
      </c>
      <c r="B35" s="21" t="s">
        <v>34</v>
      </c>
      <c r="C35" s="46"/>
      <c r="D35" s="18"/>
      <c r="E35" s="20"/>
      <c r="F35" s="20">
        <f t="shared" si="1"/>
        <v>0</v>
      </c>
    </row>
    <row r="36" spans="1:6" ht="17.100000000000001" customHeight="1" x14ac:dyDescent="0.2">
      <c r="A36" s="45"/>
      <c r="B36" s="21" t="s">
        <v>35</v>
      </c>
      <c r="C36" s="46"/>
      <c r="D36" s="18"/>
      <c r="E36" s="20"/>
      <c r="F36" s="20">
        <f t="shared" si="1"/>
        <v>0</v>
      </c>
    </row>
    <row r="37" spans="1:6" ht="17.100000000000001" customHeight="1" x14ac:dyDescent="0.2">
      <c r="A37" s="45"/>
      <c r="B37" s="21" t="s">
        <v>36</v>
      </c>
      <c r="C37" s="17">
        <v>84</v>
      </c>
      <c r="D37" s="18" t="s">
        <v>37</v>
      </c>
      <c r="E37" s="20">
        <v>200</v>
      </c>
      <c r="F37" s="20">
        <f t="shared" si="1"/>
        <v>16800</v>
      </c>
    </row>
    <row r="38" spans="1:6" ht="17.100000000000001" customHeight="1" x14ac:dyDescent="0.2">
      <c r="A38" s="45"/>
      <c r="B38" s="22" t="s">
        <v>36</v>
      </c>
      <c r="C38" s="23">
        <v>114</v>
      </c>
      <c r="D38" s="19" t="s">
        <v>37</v>
      </c>
      <c r="E38" s="20">
        <v>200</v>
      </c>
      <c r="F38" s="20">
        <f t="shared" ref="F38:F39" si="2">E38*C38</f>
        <v>22800</v>
      </c>
    </row>
    <row r="39" spans="1:6" ht="17.100000000000001" customHeight="1" x14ac:dyDescent="0.2">
      <c r="A39" s="45"/>
      <c r="B39" s="22" t="s">
        <v>38</v>
      </c>
      <c r="C39" s="23">
        <v>1596</v>
      </c>
      <c r="D39" s="19" t="s">
        <v>37</v>
      </c>
      <c r="E39" s="20">
        <v>200</v>
      </c>
      <c r="F39" s="20">
        <f t="shared" si="2"/>
        <v>319200</v>
      </c>
    </row>
    <row r="40" spans="1:6" ht="17.100000000000001" customHeight="1" x14ac:dyDescent="0.2">
      <c r="A40" s="45"/>
      <c r="B40" s="21" t="s">
        <v>31</v>
      </c>
      <c r="C40" s="17">
        <v>1620</v>
      </c>
      <c r="D40" s="18" t="s">
        <v>37</v>
      </c>
      <c r="E40" s="20">
        <v>280</v>
      </c>
      <c r="F40" s="20">
        <f t="shared" ref="F40:F48" si="3">E40*C40</f>
        <v>453600</v>
      </c>
    </row>
    <row r="41" spans="1:6" ht="17.100000000000001" customHeight="1" x14ac:dyDescent="0.2">
      <c r="A41" s="45"/>
      <c r="B41" s="21" t="s">
        <v>39</v>
      </c>
      <c r="C41" s="17">
        <v>168</v>
      </c>
      <c r="D41" s="18" t="s">
        <v>37</v>
      </c>
      <c r="E41" s="20">
        <v>380</v>
      </c>
      <c r="F41" s="20">
        <f t="shared" si="3"/>
        <v>63840</v>
      </c>
    </row>
    <row r="42" spans="1:6" ht="17.100000000000001" customHeight="1" x14ac:dyDescent="0.2">
      <c r="A42" s="45"/>
      <c r="B42" s="21" t="s">
        <v>20</v>
      </c>
      <c r="C42" s="17">
        <v>270</v>
      </c>
      <c r="D42" s="18" t="s">
        <v>37</v>
      </c>
      <c r="E42" s="20">
        <v>500</v>
      </c>
      <c r="F42" s="20">
        <f t="shared" si="3"/>
        <v>135000</v>
      </c>
    </row>
    <row r="43" spans="1:6" ht="17.100000000000001" customHeight="1" x14ac:dyDescent="0.2">
      <c r="A43" s="45"/>
      <c r="B43" s="22" t="s">
        <v>20</v>
      </c>
      <c r="C43" s="23">
        <v>216</v>
      </c>
      <c r="D43" s="19" t="s">
        <v>37</v>
      </c>
      <c r="E43" s="20">
        <v>500</v>
      </c>
      <c r="F43" s="20">
        <f t="shared" si="3"/>
        <v>108000</v>
      </c>
    </row>
    <row r="44" spans="1:6" ht="17.100000000000001" customHeight="1" x14ac:dyDescent="0.2">
      <c r="A44" s="45"/>
      <c r="B44" s="21" t="s">
        <v>40</v>
      </c>
      <c r="C44" s="17">
        <v>6</v>
      </c>
      <c r="D44" s="18" t="s">
        <v>37</v>
      </c>
      <c r="E44" s="20">
        <v>800</v>
      </c>
      <c r="F44" s="20">
        <f t="shared" si="3"/>
        <v>4800</v>
      </c>
    </row>
    <row r="45" spans="1:6" ht="17.100000000000001" customHeight="1" x14ac:dyDescent="0.2">
      <c r="A45" s="43" t="s">
        <v>41</v>
      </c>
      <c r="B45" s="16" t="s">
        <v>42</v>
      </c>
      <c r="C45" s="24"/>
      <c r="D45" s="18"/>
      <c r="E45" s="20"/>
      <c r="F45" s="20">
        <f t="shared" si="3"/>
        <v>0</v>
      </c>
    </row>
    <row r="46" spans="1:6" ht="17.100000000000001" customHeight="1" x14ac:dyDescent="0.2">
      <c r="A46" s="43"/>
      <c r="B46" s="21" t="s">
        <v>43</v>
      </c>
      <c r="C46" s="24"/>
      <c r="D46" s="18"/>
      <c r="E46" s="20"/>
      <c r="F46" s="20">
        <f t="shared" si="3"/>
        <v>0</v>
      </c>
    </row>
    <row r="47" spans="1:6" ht="17.100000000000001" customHeight="1" x14ac:dyDescent="0.2">
      <c r="A47" s="43"/>
      <c r="B47" s="21" t="s">
        <v>44</v>
      </c>
      <c r="C47" s="17">
        <v>1620</v>
      </c>
      <c r="D47" s="18" t="s">
        <v>37</v>
      </c>
      <c r="E47" s="20">
        <v>35</v>
      </c>
      <c r="F47" s="20">
        <f t="shared" si="3"/>
        <v>56700</v>
      </c>
    </row>
    <row r="48" spans="1:6" ht="17.100000000000001" customHeight="1" x14ac:dyDescent="0.2">
      <c r="A48" s="43"/>
      <c r="B48" s="25" t="s">
        <v>44</v>
      </c>
      <c r="C48" s="26">
        <v>1794</v>
      </c>
      <c r="D48" s="27" t="s">
        <v>37</v>
      </c>
      <c r="E48" s="20">
        <v>35</v>
      </c>
      <c r="F48" s="20">
        <f t="shared" si="3"/>
        <v>62790</v>
      </c>
    </row>
    <row r="49" spans="1:6" ht="17.100000000000001" customHeight="1" x14ac:dyDescent="0.2">
      <c r="A49" s="43"/>
      <c r="B49" s="21" t="s">
        <v>45</v>
      </c>
      <c r="C49" s="17">
        <v>168</v>
      </c>
      <c r="D49" s="18" t="s">
        <v>37</v>
      </c>
      <c r="E49" s="20">
        <v>35</v>
      </c>
      <c r="F49" s="20">
        <f>E49*C49</f>
        <v>5880</v>
      </c>
    </row>
    <row r="50" spans="1:6" ht="17.100000000000001" customHeight="1" x14ac:dyDescent="0.2">
      <c r="A50" s="43"/>
      <c r="B50" s="21" t="s">
        <v>46</v>
      </c>
      <c r="C50" s="17">
        <v>276</v>
      </c>
      <c r="D50" s="18" t="s">
        <v>37</v>
      </c>
      <c r="E50" s="20">
        <v>35</v>
      </c>
      <c r="F50" s="20">
        <f>E50*C50</f>
        <v>9660</v>
      </c>
    </row>
    <row r="51" spans="1:6" ht="17.100000000000001" customHeight="1" x14ac:dyDescent="0.2">
      <c r="A51" s="9" t="s">
        <v>47</v>
      </c>
      <c r="B51" s="28" t="s">
        <v>48</v>
      </c>
      <c r="C51" s="29">
        <v>1</v>
      </c>
      <c r="D51" s="30" t="s">
        <v>49</v>
      </c>
      <c r="E51" s="31">
        <v>50000</v>
      </c>
      <c r="F51" s="31">
        <v>50000</v>
      </c>
    </row>
    <row r="52" spans="1:6" ht="15" customHeight="1" x14ac:dyDescent="0.2">
      <c r="A52" s="10" t="s">
        <v>50</v>
      </c>
      <c r="B52" s="16" t="s">
        <v>51</v>
      </c>
      <c r="C52" s="17">
        <v>1</v>
      </c>
      <c r="D52" s="18" t="s">
        <v>49</v>
      </c>
      <c r="E52" s="20">
        <v>15000</v>
      </c>
      <c r="F52" s="20">
        <f>E52*C52</f>
        <v>15000</v>
      </c>
    </row>
    <row r="53" spans="1:6" ht="15" customHeight="1" x14ac:dyDescent="0.2">
      <c r="A53" s="10" t="s">
        <v>52</v>
      </c>
      <c r="B53" s="32" t="s">
        <v>53</v>
      </c>
      <c r="C53" s="17">
        <v>1</v>
      </c>
      <c r="D53" s="18" t="s">
        <v>49</v>
      </c>
      <c r="E53" s="20">
        <v>150000</v>
      </c>
      <c r="F53" s="20">
        <v>150000</v>
      </c>
    </row>
    <row r="54" spans="1:6" ht="24" customHeight="1" x14ac:dyDescent="0.2">
      <c r="A54" s="10" t="s">
        <v>54</v>
      </c>
      <c r="B54" s="16" t="s">
        <v>55</v>
      </c>
      <c r="C54" s="17">
        <v>15</v>
      </c>
      <c r="D54" s="18" t="s">
        <v>56</v>
      </c>
      <c r="E54" s="20"/>
      <c r="F54" s="20">
        <f>SUM(F42:F44)*C54/100</f>
        <v>37170</v>
      </c>
    </row>
    <row r="55" spans="1:6" ht="15" customHeight="1" x14ac:dyDescent="0.2">
      <c r="A55" s="10" t="s">
        <v>57</v>
      </c>
      <c r="B55" s="16" t="s">
        <v>58</v>
      </c>
      <c r="C55" s="17">
        <v>2950</v>
      </c>
      <c r="D55" s="18" t="s">
        <v>59</v>
      </c>
      <c r="E55" s="20">
        <v>40</v>
      </c>
      <c r="F55" s="20">
        <f>E55*C55</f>
        <v>118000</v>
      </c>
    </row>
    <row r="56" spans="1:6" ht="15" customHeight="1" x14ac:dyDescent="0.2">
      <c r="A56" s="10" t="s">
        <v>60</v>
      </c>
      <c r="B56" s="16" t="s">
        <v>61</v>
      </c>
      <c r="C56" s="17">
        <v>1</v>
      </c>
      <c r="D56" s="18" t="s">
        <v>49</v>
      </c>
      <c r="E56" s="20">
        <v>15000</v>
      </c>
      <c r="F56" s="20">
        <f>E56*C56</f>
        <v>15000</v>
      </c>
    </row>
    <row r="57" spans="1:6" ht="31.15" customHeight="1" x14ac:dyDescent="0.2">
      <c r="A57" s="11" t="s">
        <v>62</v>
      </c>
      <c r="B57" s="33"/>
      <c r="C57" s="34"/>
      <c r="D57" s="35"/>
      <c r="E57" s="20"/>
      <c r="F57" s="20">
        <f>E57*C57</f>
        <v>0</v>
      </c>
    </row>
    <row r="58" spans="1:6" ht="24.95" customHeight="1" thickBot="1" x14ac:dyDescent="0.25">
      <c r="A58" s="36" t="s">
        <v>63</v>
      </c>
      <c r="B58" s="37" t="s">
        <v>64</v>
      </c>
      <c r="C58" s="38"/>
      <c r="D58" s="39"/>
      <c r="E58" s="40"/>
      <c r="F58" s="40">
        <f>SUM(F4:F57)</f>
        <v>1734340</v>
      </c>
    </row>
  </sheetData>
  <mergeCells count="13">
    <mergeCell ref="B1:D1"/>
    <mergeCell ref="B2:D2"/>
    <mergeCell ref="A45:A50"/>
    <mergeCell ref="A32:A34"/>
    <mergeCell ref="A35:A44"/>
    <mergeCell ref="C35:C36"/>
    <mergeCell ref="A18:A22"/>
    <mergeCell ref="A23:A27"/>
    <mergeCell ref="A28:A31"/>
    <mergeCell ref="A10:A12"/>
    <mergeCell ref="A13:A17"/>
    <mergeCell ref="A4:A6"/>
    <mergeCell ref="A7:A9"/>
  </mergeCells>
  <pageMargins left="0.7" right="0.7" top="0.75" bottom="0.75" header="0.3" footer="0.3"/>
  <pageSetup paperSize="9" scale="3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YANGIN_TESISATI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ANONIM</dc:creator>
  <cp:keywords/>
  <dc:description/>
  <cp:lastModifiedBy>ANONIM</cp:lastModifiedBy>
  <cp:revision/>
  <dcterms:created xsi:type="dcterms:W3CDTF">2020-12-21T10:35:02Z</dcterms:created>
  <dcterms:modified xsi:type="dcterms:W3CDTF">2024-12-09T20:24:01Z</dcterms:modified>
  <cp:category/>
  <cp:contentStatus/>
</cp:coreProperties>
</file>