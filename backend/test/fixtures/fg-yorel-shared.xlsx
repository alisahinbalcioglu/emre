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basar\Desktop\"/>
    </mc:Choice>
  </mc:AlternateContent>
  <xr:revisionPtr revIDLastSave="0" documentId="13_ncr:1_{54AB629A-5B24-4A83-99C0-198A5CE237D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keşif" sheetId="11" r:id="rId1"/>
    <sheet name="mekanik G BLOK" sheetId="4" r:id="rId2"/>
    <sheet name="mekanik F BLOK" sheetId="5" r:id="rId3"/>
    <sheet name="elektrik G BLOK" sheetId="15" r:id="rId4"/>
    <sheet name="elektrik F BLOK" sheetId="16" r:id="rId5"/>
  </sheets>
  <definedNames>
    <definedName name="kr">#REF!</definedName>
    <definedName name="_xlnm.Print_Area" localSheetId="2">'mekanik F BLOK'!#REF!</definedName>
    <definedName name="_xlnm.Print_Area" localSheetId="1">'mekanik G BLOK'!#REF!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5" l="1"/>
  <c r="H28" i="15" l="1"/>
  <c r="H71" i="15" l="1"/>
  <c r="H97" i="15"/>
  <c r="H62" i="15"/>
  <c r="H52" i="15"/>
  <c r="H79" i="15"/>
  <c r="H84" i="15"/>
  <c r="H4" i="15" l="1"/>
  <c r="H8" i="15"/>
  <c r="H47" i="15"/>
  <c r="H16" i="15"/>
  <c r="H4" i="16"/>
  <c r="H64" i="15"/>
  <c r="H3" i="15" l="1"/>
  <c r="B5" i="11" s="1"/>
  <c r="H3" i="16"/>
  <c r="D5" i="11" s="1"/>
  <c r="I4" i="16" l="1"/>
  <c r="J37" i="15"/>
  <c r="I37" i="15"/>
  <c r="I16" i="15"/>
  <c r="I8" i="15"/>
  <c r="I28" i="15"/>
  <c r="I47" i="15"/>
  <c r="I4" i="15"/>
  <c r="I52" i="15"/>
  <c r="I64" i="15"/>
  <c r="I84" i="15"/>
  <c r="I71" i="15"/>
  <c r="I62" i="15"/>
  <c r="I97" i="15"/>
  <c r="I79" i="15"/>
  <c r="J4" i="16"/>
  <c r="J97" i="15"/>
  <c r="J64" i="15"/>
  <c r="J8" i="15"/>
  <c r="J28" i="15"/>
  <c r="J47" i="15"/>
  <c r="J71" i="15"/>
  <c r="I186" i="5"/>
  <c r="J16" i="15"/>
  <c r="J62" i="15"/>
  <c r="J4" i="15"/>
  <c r="J79" i="15"/>
  <c r="J84" i="15"/>
  <c r="J52" i="15" l="1"/>
  <c r="J3" i="15" s="1"/>
  <c r="I205" i="5"/>
  <c r="I122" i="5"/>
  <c r="I4" i="5"/>
  <c r="I3" i="15"/>
  <c r="C5" i="11" s="1"/>
  <c r="I3" i="16"/>
  <c r="E5" i="11" s="1"/>
  <c r="J3" i="16" l="1"/>
  <c r="I3" i="5"/>
  <c r="H186" i="5" l="1"/>
  <c r="H110" i="4" l="1"/>
  <c r="H205" i="5"/>
  <c r="H154" i="4"/>
  <c r="H4" i="4"/>
  <c r="H122" i="5"/>
  <c r="H4" i="5"/>
  <c r="H173" i="4"/>
  <c r="H3" i="4" l="1"/>
  <c r="B4" i="11" s="1"/>
  <c r="H3" i="5"/>
  <c r="I154" i="4"/>
  <c r="I173" i="4"/>
  <c r="I4" i="4" l="1"/>
  <c r="I110" i="4"/>
  <c r="J154" i="4"/>
  <c r="J122" i="5"/>
  <c r="J205" i="5"/>
  <c r="J186" i="5"/>
  <c r="D4" i="11"/>
  <c r="F4" i="11" s="1"/>
  <c r="I3" i="4" l="1"/>
  <c r="C4" i="11" s="1"/>
  <c r="J4" i="5" l="1"/>
  <c r="J3" i="5" s="1"/>
  <c r="J4" i="4"/>
  <c r="J110" i="4"/>
  <c r="J173" i="4"/>
  <c r="J3" i="4" l="1"/>
  <c r="E4" i="11"/>
  <c r="G4" i="11" s="1"/>
  <c r="H4" i="11" s="1"/>
  <c r="F5" i="11" l="1"/>
  <c r="G5" i="11"/>
  <c r="H5" i="11" l="1"/>
  <c r="H6" i="11" s="1"/>
  <c r="G6" i="11"/>
  <c r="F6" i="11"/>
</calcChain>
</file>

<file path=xl/sharedStrings.xml><?xml version="1.0" encoding="utf-8"?>
<sst xmlns="http://schemas.openxmlformats.org/spreadsheetml/2006/main" count="1711" uniqueCount="357">
  <si>
    <t>Birim</t>
  </si>
  <si>
    <t>Miktar</t>
  </si>
  <si>
    <t>adet</t>
  </si>
  <si>
    <t>İşçilik Birim Fiyat</t>
  </si>
  <si>
    <t>metre</t>
  </si>
  <si>
    <t xml:space="preserve">PİS SU BORULARI  </t>
  </si>
  <si>
    <t>Malzeme Birim Fiyat</t>
  </si>
  <si>
    <t>Malzeme Tutar</t>
  </si>
  <si>
    <t>İşçilik Tutar</t>
  </si>
  <si>
    <t>Toplam Tutar</t>
  </si>
  <si>
    <t>DN 20</t>
  </si>
  <si>
    <t xml:space="preserve">DN 25 </t>
  </si>
  <si>
    <t>DN 32</t>
  </si>
  <si>
    <t>DN 40</t>
  </si>
  <si>
    <t xml:space="preserve">DN 50 </t>
  </si>
  <si>
    <t xml:space="preserve">DN 63 </t>
  </si>
  <si>
    <t xml:space="preserve">DN 20 </t>
  </si>
  <si>
    <t xml:space="preserve">DN 32 </t>
  </si>
  <si>
    <t xml:space="preserve">DN 40 </t>
  </si>
  <si>
    <t xml:space="preserve">DN 110 </t>
  </si>
  <si>
    <t xml:space="preserve">DN 75 </t>
  </si>
  <si>
    <t>DN 80</t>
  </si>
  <si>
    <t>DN 65</t>
  </si>
  <si>
    <t>kg</t>
  </si>
  <si>
    <t>m²</t>
  </si>
  <si>
    <t>DN 25</t>
  </si>
  <si>
    <t>DN 15</t>
  </si>
  <si>
    <t>DN 125</t>
  </si>
  <si>
    <t>DN 50</t>
  </si>
  <si>
    <t>G BLOK MEKANİK KEŞİF</t>
  </si>
  <si>
    <t>F BLOK MEKANİK KEŞİF</t>
  </si>
  <si>
    <t>SIHHI TESİSAT İŞLERİ</t>
  </si>
  <si>
    <t>G BLOK TUTARI</t>
  </si>
  <si>
    <t>F BLOK TUTARI</t>
  </si>
  <si>
    <t>TOPLAM TUTAR</t>
  </si>
  <si>
    <t>Sıra No</t>
  </si>
  <si>
    <t>İşin Tanımı</t>
  </si>
  <si>
    <t>MALZEME</t>
  </si>
  <si>
    <t>İŞÇİLİK</t>
  </si>
  <si>
    <t>GENEL TOPLAM</t>
  </si>
  <si>
    <t xml:space="preserve">F VE G BLOK MEKANİK VE ELEKTRİK İŞLERİ TEKLİF TABLOSU </t>
  </si>
  <si>
    <t>Açıklama/Marka</t>
  </si>
  <si>
    <t>set</t>
  </si>
  <si>
    <t>YANGIN TESİSATI İŞLERİ</t>
  </si>
  <si>
    <t>ISITMA-SOĞUTMA TESİSAT İŞLERİ</t>
  </si>
  <si>
    <t>HAVALANDIRMA TESİSAT İŞLERİ</t>
  </si>
  <si>
    <t>VİTİRİFİYE MALZEMELERİ</t>
  </si>
  <si>
    <t>FİTTİNGS ORANI</t>
  </si>
  <si>
    <t>KROM ARA MUSLUK</t>
  </si>
  <si>
    <t>ÇAMAŞIR-BULAŞIK MAKİNESİ MUSLUĞU</t>
  </si>
  <si>
    <t>LAVABO</t>
  </si>
  <si>
    <t>KLOZET</t>
  </si>
  <si>
    <t>LAVABO BATARYASI</t>
  </si>
  <si>
    <t>DUŞ BATARYASI</t>
  </si>
  <si>
    <t>HAVLULUK</t>
  </si>
  <si>
    <t>TUVALET KAĞITLIK</t>
  </si>
  <si>
    <t>SABUNLUK</t>
  </si>
  <si>
    <t>DN 100</t>
  </si>
  <si>
    <t>YAĞMUR SUYU BORULARI</t>
  </si>
  <si>
    <t xml:space="preserve">TEMİZ SU BORULARI  </t>
  </si>
  <si>
    <t>PRİNÇ KÜRESEL VANA</t>
  </si>
  <si>
    <t>KÜRESEL VANALAR</t>
  </si>
  <si>
    <t>PİSLİK TUTUCU</t>
  </si>
  <si>
    <t>ÇEKVALF</t>
  </si>
  <si>
    <t>TERMOMETRE</t>
  </si>
  <si>
    <t>MANOMETRE</t>
  </si>
  <si>
    <t>EMNİYET VENTİLİ</t>
  </si>
  <si>
    <t>ÜÇ YOLLU TERMOSTATİK KARIŞIM VANASI</t>
  </si>
  <si>
    <t>HAVALIK ŞAPKASI</t>
  </si>
  <si>
    <t>SÜZGEÇLER</t>
  </si>
  <si>
    <t>DUŞ SÜZGECİ</t>
  </si>
  <si>
    <t>GÜNNEŞ KOLLEKTÖRÜ</t>
  </si>
  <si>
    <t>24 L</t>
  </si>
  <si>
    <t>150 L</t>
  </si>
  <si>
    <t>ÇİFT SERPANTİNLİ BOİLER</t>
  </si>
  <si>
    <t>1000 L</t>
  </si>
  <si>
    <t>1500 L</t>
  </si>
  <si>
    <t>2000 L</t>
  </si>
  <si>
    <t>ELEKTRİKLİ KAZAN</t>
  </si>
  <si>
    <t>24 KW</t>
  </si>
  <si>
    <t>GENLEŞME TANKI</t>
  </si>
  <si>
    <t>TEMİZ SU HİDROFORU</t>
  </si>
  <si>
    <t>ASKI SİSTEMLERİ</t>
  </si>
  <si>
    <t>ÇEŞİTLİ ŞEKİLLERDE ÇELİK İŞLERİ</t>
  </si>
  <si>
    <t>TEST VE DEVREYE ALMA İŞLERİ</t>
  </si>
  <si>
    <t>TESİSAT TEST, YIKAMA VE DEVREYE ALMA İŞLERİ</t>
  </si>
  <si>
    <t>SİRKÜLASYON POMPALAR</t>
  </si>
  <si>
    <t>300 L</t>
  </si>
  <si>
    <t>1,75 m³/h</t>
  </si>
  <si>
    <t>2,5 m³/h</t>
  </si>
  <si>
    <t>SPRİNK HATTI BORULARI</t>
  </si>
  <si>
    <t>ANTİPAS BORU BOYAMASI</t>
  </si>
  <si>
    <t>2 KAT BORU BOYAMASI</t>
  </si>
  <si>
    <t>YANGIN DOLAPLARI</t>
  </si>
  <si>
    <t>PH ETİKETLİ SİYAH CAM KAPAKLI YANGIN DOLABI</t>
  </si>
  <si>
    <t>YANGIN DOLAP HATTI HİDROFORU</t>
  </si>
  <si>
    <t>YANGIN POMPASI</t>
  </si>
  <si>
    <t>YANGIN DOLAP HATTI BORULARI</t>
  </si>
  <si>
    <t>SPRİNKLER</t>
  </si>
  <si>
    <t>ASMA TAVAN SPRİNK 68°C, K=80, 1/2" NPT (ROZET DAHİL)</t>
  </si>
  <si>
    <t>OTOPARK SPRİNK 68°C, K=80, 1/2" NPT</t>
  </si>
  <si>
    <t>ESNEK SPRİNKLER HORTUMU (50 cm)</t>
  </si>
  <si>
    <t>FLOW SWİTCH</t>
  </si>
  <si>
    <t>TEST DRENAJ VANASI</t>
  </si>
  <si>
    <t>ISLAK ALARM VANASI</t>
  </si>
  <si>
    <t>KELEBEK VANA</t>
  </si>
  <si>
    <t>İZLENEBİLİR KELEBEK VANA</t>
  </si>
  <si>
    <t>İTFAİYE BAĞLANTI AĞZI</t>
  </si>
  <si>
    <t>1xDN100 NPT GİRİŞLİ, 2xDN65 NST ÇIKIŞLI</t>
  </si>
  <si>
    <t>ASMA DUVAR SPRİNK 68°C, K=80, 1/2" NPT (ROZET DAHİL)</t>
  </si>
  <si>
    <t>VRF SİSTEMİ</t>
  </si>
  <si>
    <t>VRF SİSTEM EKİPMANLARI</t>
  </si>
  <si>
    <t>VRF SİSTEM BAKIR BORULAMA</t>
  </si>
  <si>
    <t>HAVA KANALI</t>
  </si>
  <si>
    <t>0,8 MM GALVANİZ SAC</t>
  </si>
  <si>
    <t>HAVA KANALI İZOLASYONU</t>
  </si>
  <si>
    <t>13 MM KANAL İZOLASYONU</t>
  </si>
  <si>
    <t>İZOLELİ TAM ESNEK ALÜMİNYUM FLEX HAVA KANALI</t>
  </si>
  <si>
    <t>Q150</t>
  </si>
  <si>
    <t>PANJURLAR VE DİFÜZÖRLER</t>
  </si>
  <si>
    <t>725x175</t>
  </si>
  <si>
    <t>675x175</t>
  </si>
  <si>
    <t>700x250</t>
  </si>
  <si>
    <t xml:space="preserve">KLİMA DRENAJ BORULARI  </t>
  </si>
  <si>
    <t>PP KÜRESEL VANALAR</t>
  </si>
  <si>
    <t>GÜNEŞ KOLLEKTÖR BORULARI</t>
  </si>
  <si>
    <t>13MM KAUÇUK BORU İZOLASYONU</t>
  </si>
  <si>
    <t>13 PANELLİ</t>
  </si>
  <si>
    <t>19 PANELLİ</t>
  </si>
  <si>
    <t>OTOMATİK HAVA ATMA PROJÖRÜ</t>
  </si>
  <si>
    <t>DUMAN TAHLİYE FANI</t>
  </si>
  <si>
    <t>JET FAN</t>
  </si>
  <si>
    <t>WC FAN</t>
  </si>
  <si>
    <t>ISI GERİ KAZANIM CİHAZI</t>
  </si>
  <si>
    <t>SPRİO ÇEKVALF</t>
  </si>
  <si>
    <t>Q100</t>
  </si>
  <si>
    <t>İZOLESİZ TAM ESNEK ALÜMİNYUM FLEX HAVA KANALI</t>
  </si>
  <si>
    <t>Q100 GEMİCİ ANEMOSDAT</t>
  </si>
  <si>
    <t>ÇELİK KORUYUCU TEL</t>
  </si>
  <si>
    <t>SPRİO HAVA KANALLARI</t>
  </si>
  <si>
    <t>445x445</t>
  </si>
  <si>
    <t>350x730</t>
  </si>
  <si>
    <t>600x370</t>
  </si>
  <si>
    <t>650x730</t>
  </si>
  <si>
    <t>1000x2000</t>
  </si>
  <si>
    <t>100 SPRİO KANAL</t>
  </si>
  <si>
    <t>125 SPRİO KANAL</t>
  </si>
  <si>
    <t>150 SPRİO KANAL</t>
  </si>
  <si>
    <t>160 SPRİO KANAL</t>
  </si>
  <si>
    <t>180 SPRİO KANAL</t>
  </si>
  <si>
    <t>200 SPRİO KANAL</t>
  </si>
  <si>
    <t>250 SPRİO KANAL</t>
  </si>
  <si>
    <t>280 SPRİO KANAL</t>
  </si>
  <si>
    <t>315 SPRİO KANAL</t>
  </si>
  <si>
    <t>355 SPRİO KANAL</t>
  </si>
  <si>
    <t>300 SPRİO KANAL</t>
  </si>
  <si>
    <t>500 W ELEKTRİKLİ BANYO RADYATÖRÜ</t>
  </si>
  <si>
    <t>700 W ELEKTRİKLİ BANYO RADYATÖRÜ</t>
  </si>
  <si>
    <t>PİSUAR</t>
  </si>
  <si>
    <t>DN 25-DN 50</t>
  </si>
  <si>
    <t>DN 65-DN 100</t>
  </si>
  <si>
    <t>ŞAMANDIRALI VANA</t>
  </si>
  <si>
    <t>5150 m3</t>
  </si>
  <si>
    <t>ALARM ZİLİ</t>
  </si>
  <si>
    <t>KONVASYONEL YANGIN ALARM ZİLİ</t>
  </si>
  <si>
    <t>2x12,6 m³/h</t>
  </si>
  <si>
    <t>2x9,36 m³/h</t>
  </si>
  <si>
    <t>2x18 m³/h</t>
  </si>
  <si>
    <t>3x18 m³/h</t>
  </si>
  <si>
    <t>2x47+1x2 m³/h</t>
  </si>
  <si>
    <t>9MM ALUMİNYUM FOLYO KAUÇUK BORU İZOLASYONU</t>
  </si>
  <si>
    <t>BANYO SÜZGECİ</t>
  </si>
  <si>
    <t>BALKON SÜZGECİ</t>
  </si>
  <si>
    <t>ÇATI SÜZGECİ</t>
  </si>
  <si>
    <t>10631 m3</t>
  </si>
  <si>
    <t>1171 m3</t>
  </si>
  <si>
    <t>144 m3</t>
  </si>
  <si>
    <t>ELEKTRİK TESİSATI İŞLERİ</t>
  </si>
  <si>
    <t>MEKANİK TESİSATI İŞLERİ</t>
  </si>
  <si>
    <t>PANOLAR</t>
  </si>
  <si>
    <t>GMRO_G</t>
  </si>
  <si>
    <t>RO_ZP_G</t>
  </si>
  <si>
    <t>RT-A</t>
  </si>
  <si>
    <t>KUVVETLİ AKIM KABLOLARI</t>
  </si>
  <si>
    <t>3x1,5 NHXMH</t>
  </si>
  <si>
    <t>3x2,5 NHXMH</t>
  </si>
  <si>
    <t>5x2,5 NHXMH</t>
  </si>
  <si>
    <t>5x6 N2XH</t>
  </si>
  <si>
    <t>5x10 N2XH</t>
  </si>
  <si>
    <t xml:space="preserve">AYDINLATMA ARMATÜRLERİ
</t>
  </si>
  <si>
    <t>8,8 W TAVAN APLİK</t>
  </si>
  <si>
    <t>8,8 W DUVAR APLİK</t>
  </si>
  <si>
    <t>28 W ETANJ LED ARMATÜR</t>
  </si>
  <si>
    <t>ACİL YÖNLENDİRME ARMATÜRÜ</t>
  </si>
  <si>
    <t>360 DERECE HAREKET DEDEKTÖRÜ</t>
  </si>
  <si>
    <t>KOMODİN ÜSTÜ DUVAR APLİK</t>
  </si>
  <si>
    <t>ANAHTAR PRİZ</t>
  </si>
  <si>
    <t>5x16 A MAKİNE PRİZİ</t>
  </si>
  <si>
    <t>2M TOPRAKLI PRİZ</t>
  </si>
  <si>
    <t>TEST VE DEVREYE ALMA</t>
  </si>
  <si>
    <t>TOPRAKLAMA</t>
  </si>
  <si>
    <t>30x3,5 GALVANİZ ŞERİT</t>
  </si>
  <si>
    <t>EŞ POTANSİYEL BARA 30 CM</t>
  </si>
  <si>
    <t>Q8 GALVANİZ TEL</t>
  </si>
  <si>
    <t>60 CM ALÜMİNYUM YAKALAMA UCU</t>
  </si>
  <si>
    <t xml:space="preserve">KABLO KANALLARI
</t>
  </si>
  <si>
    <t>BORULAR</t>
  </si>
  <si>
    <t>Q20 HF KANGAL BORU</t>
  </si>
  <si>
    <t>DATA SİSTEMİ</t>
  </si>
  <si>
    <t>MERKEZİ EKİPMANLAR</t>
  </si>
  <si>
    <t>42U KABİNET</t>
  </si>
  <si>
    <t>POE ACCES POİNT</t>
  </si>
  <si>
    <t>1M TEKLİ DATA PRİZİ</t>
  </si>
  <si>
    <t>CAT6 LSZH</t>
  </si>
  <si>
    <t>TV SİSTEMİ</t>
  </si>
  <si>
    <t>ALÜMİNYUM ANTEN (ASKI DAHİL)</t>
  </si>
  <si>
    <t>KARASAL ANTEN (ASKI DAHİL)</t>
  </si>
  <si>
    <t>1M RTV SAT PRİZ</t>
  </si>
  <si>
    <t>RG6-U6 75 OHM CU</t>
  </si>
  <si>
    <t>CCTV SİSTEMİ</t>
  </si>
  <si>
    <t>5 MP DOME KAMERA</t>
  </si>
  <si>
    <t>YANGIN ALGILAMA SİSTEMİ</t>
  </si>
  <si>
    <t>YANGIN PANELİ</t>
  </si>
  <si>
    <t>ADRESLENEBİLİR OPTİK DUMAN DEDEKTÖRÜ</t>
  </si>
  <si>
    <t>ADRESLENEBİLİR ISI DEDEKTÖRÜ</t>
  </si>
  <si>
    <t>ADRESLENEBİLİR KOMBİNE DEDEKTÖRÜ</t>
  </si>
  <si>
    <t>DEDEKTÖR TABANI</t>
  </si>
  <si>
    <t>LED İNTİKATÖR</t>
  </si>
  <si>
    <t>ADRESLENEBİLİR SİRENLİ OPTİK DUMAN DEDEKTÖRÜ</t>
  </si>
  <si>
    <t>ADRESLENEBİLİR FLAŞÖRLÜ SİREN</t>
  </si>
  <si>
    <t>ADRESLENEBİLİR YANGIN BUTONU</t>
  </si>
  <si>
    <t>ADRESLENEBİLİR MODÜL 1 ÇIKIŞ</t>
  </si>
  <si>
    <t>2x2x0,8 JE-H(St)H FE180/E90</t>
  </si>
  <si>
    <t>2x1,5 LIHCH FE180/E90</t>
  </si>
  <si>
    <t>SESLENDİRME SİSTEMİ</t>
  </si>
  <si>
    <t>6W SIVA ÜSTÜ HOPARLÖR</t>
  </si>
  <si>
    <t>6W SIVA ALTI HOPARLÖR</t>
  </si>
  <si>
    <t>GMRO_F</t>
  </si>
  <si>
    <t>RO_ZP_F</t>
  </si>
  <si>
    <t>RT_A1</t>
  </si>
  <si>
    <t>RT_A2</t>
  </si>
  <si>
    <t>RT_A3</t>
  </si>
  <si>
    <t>RT_A4</t>
  </si>
  <si>
    <t>4x2,5 N2XH FE180/E90</t>
  </si>
  <si>
    <t>5x10 N2XH FE180/E90</t>
  </si>
  <si>
    <t>10,1 W DUVAR ARMATÜR</t>
  </si>
  <si>
    <t>8M DÖŞEME ALTI PRİZ KUTUSU</t>
  </si>
  <si>
    <t>8M DÖŞEME ALTI PRİZ KASASI</t>
  </si>
  <si>
    <t>Ø20 RİJİT BORU</t>
  </si>
  <si>
    <t>240x200 BEYAZ ELEKTRİKLİ PERDE (ASKI VE KUMANDA DAHİL)</t>
  </si>
  <si>
    <t>3400 LÜMEN PROJEKSİYON CİHAZI (ASKI VE KUMANDA DAHİL)</t>
  </si>
  <si>
    <t>10 M HDIM KABLOSU</t>
  </si>
  <si>
    <t>CO ALGILAMA PANELİ</t>
  </si>
  <si>
    <t>CO DEDEKTÖRÜ</t>
  </si>
  <si>
    <t>CO ALARM SİRENİ</t>
  </si>
  <si>
    <t>IŞIKLI GAZ UYARI PANELİ</t>
  </si>
  <si>
    <t>3x1,5 LIHCH FE180/E90</t>
  </si>
  <si>
    <t>G BLOK ELEKTRİK KEŞİF</t>
  </si>
  <si>
    <t>F BLOK ELEKTRİK KEŞİF</t>
  </si>
  <si>
    <t>MUSLUKLAR</t>
  </si>
  <si>
    <t>TEMİZLEME KAPAĞI</t>
  </si>
  <si>
    <t>DİFÜZÖRLER</t>
  </si>
  <si>
    <t>PANJURLAR</t>
  </si>
  <si>
    <t xml:space="preserve">PANJURLAR </t>
  </si>
  <si>
    <t>11 W SIVA ALTI LED SPOT</t>
  </si>
  <si>
    <t>10 W SIVA ALTI LED SPOT</t>
  </si>
  <si>
    <t>10 W SIVA ALTI LED SPOT KİTLİ</t>
  </si>
  <si>
    <t>16 W SIVA ÜSTÜ SENSÖRLÜ LED ARMATÜR</t>
  </si>
  <si>
    <t>16 W SIVA ÜSTÜ SENSÖRLÜ LED ARMATÜR KİTLİ</t>
  </si>
  <si>
    <t>28 W ETANJ LED ARMATÜR KİTLİ</t>
  </si>
  <si>
    <t>15 W SIVA ALTI LED SPOT</t>
  </si>
  <si>
    <t>15 W SIVA ALTI LED SPOT KİTLİ</t>
  </si>
  <si>
    <t>2M MODÜLER KASA-KASKAT-ÇERÇEVE</t>
  </si>
  <si>
    <t>3M MODÜLER KASA-KASKAT-ÇERÇEVE</t>
  </si>
  <si>
    <t>4M MODÜLER KASA-KASKAT-ÇERÇEVE</t>
  </si>
  <si>
    <t>2M KAPAKLI TOPRAKLI PRİZ</t>
  </si>
  <si>
    <t>20W SIVA ÜSTÜI HOPARLÖR</t>
  </si>
  <si>
    <t>VOLUME KONTROL</t>
  </si>
  <si>
    <t xml:space="preserve">OTOMASYON
</t>
  </si>
  <si>
    <t>2M 2 GANG OTOMASYON ANAHTARI</t>
  </si>
  <si>
    <t>OTOMASYON HAREKET SENSÖRÜ</t>
  </si>
  <si>
    <t>2x1,5 LIHCH</t>
  </si>
  <si>
    <t>DUVAR TİPİ MİKROFON KONSOLU</t>
  </si>
  <si>
    <t>6W NEME DAYANIKLI SIVA ALTI HOPARLÖR</t>
  </si>
  <si>
    <t>MİKROFON KONSOLU</t>
  </si>
  <si>
    <t>EVRENSEL DUVAR PANELİ</t>
  </si>
  <si>
    <t>DND MUR İÇ ÜNİTE</t>
  </si>
  <si>
    <t>DND MUR DIŞ ÜNİTE</t>
  </si>
  <si>
    <t>2M HDIM PRİZİ</t>
  </si>
  <si>
    <t>2M 1 GANG OTOMASYON ANAHTARI</t>
  </si>
  <si>
    <t>RT_A5</t>
  </si>
  <si>
    <t>RT_A6</t>
  </si>
  <si>
    <t>RT_A7</t>
  </si>
  <si>
    <t>50 LiK KABLO KANALI H=40 MM SICAK DALDIRMA</t>
  </si>
  <si>
    <t>100 LÜK KABLO KANALI H=40 MM SICAK DALDIRMA</t>
  </si>
  <si>
    <t>200 LÜK KABLO KANALI H=40 MM SICAK DALDIRMA</t>
  </si>
  <si>
    <t>200 LÜK KABLO MERDİVENİ H=40 MM SICAK DALDIRMA</t>
  </si>
  <si>
    <t>5x95 N2XH</t>
  </si>
  <si>
    <t>1x240 NYAF</t>
  </si>
  <si>
    <t>OTOPARK IZGARA</t>
  </si>
  <si>
    <t>100 LÜK KABLO MERDİVENİ H=40 MM SICAK DALDIRMA</t>
  </si>
  <si>
    <t>400 LÜK KABLO MERDİVENİ H=40 MM SICAK DALDIRMA</t>
  </si>
  <si>
    <t>220 V KAPI ZİLİ</t>
  </si>
  <si>
    <t>2M 4 GANG OTOMASYON ANAHTARI</t>
  </si>
  <si>
    <t>300 LÜK KABLO KANALI H=40 MM SICAK DALDIRMA</t>
  </si>
  <si>
    <t>600 LÜK KABLO KANALI H=40 MM SICAK DALDIRMA</t>
  </si>
  <si>
    <t>300 LÜK KABLO MERDİVENİ H=40 MM SICAK DALDIRMA</t>
  </si>
  <si>
    <t>SIVA ALTI TEKLİ ANAHTAR</t>
  </si>
  <si>
    <t>SIVA ALTI KAPAKLI PRİZ</t>
  </si>
  <si>
    <t>RO_G</t>
  </si>
  <si>
    <t>EAE-SCHNEİDER VEYA MUADİLİ</t>
  </si>
  <si>
    <t>GÖLDAĞ VEYA MUADİLİ</t>
  </si>
  <si>
    <t>EAE VEYA MUADİLİ</t>
  </si>
  <si>
    <t>PANASONİC VEYA MUADİLİ</t>
  </si>
  <si>
    <t>BEMİS VEYA MUADİLİ</t>
  </si>
  <si>
    <t>DORA VEYA MUADİLİ</t>
  </si>
  <si>
    <t>ERSE VEYA MUADİLİ</t>
  </si>
  <si>
    <t>GERSAN VEYA MUADİLİ</t>
  </si>
  <si>
    <t>STS VEYA MUADİLİ</t>
  </si>
  <si>
    <t>CANLAR VEYA MUADİLİ</t>
  </si>
  <si>
    <t>HIKVISION VEYA MUADİLİ</t>
  </si>
  <si>
    <t>YOREL MÜHENDİSLİK</t>
  </si>
  <si>
    <t>TEKNİSAT VEYA MUADİLİ</t>
  </si>
  <si>
    <t>CODOGEN VEYA MUADİLİ</t>
  </si>
  <si>
    <t>EPSON VEYA MUADİLİ</t>
  </si>
  <si>
    <t>WELLBOX VEYA MUADİLİ</t>
  </si>
  <si>
    <t>NEXANS VEYA MUADİLİ</t>
  </si>
  <si>
    <t>TEKNOLİNE VEYA MUADİLİ</t>
  </si>
  <si>
    <t>PROTEC VEYA MUADİLİ</t>
  </si>
  <si>
    <t>UTC VEYA MUADİLİ</t>
  </si>
  <si>
    <t>METRONOM VEYA MUADİLİ</t>
  </si>
  <si>
    <t>ATEİS VEYA MUADİLİ</t>
  </si>
  <si>
    <t>MASDAF-ETNA VEYA MUADİLİ</t>
  </si>
  <si>
    <t>HAKAN VEYA MUADİLİ</t>
  </si>
  <si>
    <t>ODE VEYA MUADİLİ</t>
  </si>
  <si>
    <t>ECA VEYA MUADİLİ</t>
  </si>
  <si>
    <t>DUYAR VEYA MUADİLİ</t>
  </si>
  <si>
    <t>SUKAR VEYA MUADİLİ</t>
  </si>
  <si>
    <t>PİMTAŞ VEYA MUADİLİ</t>
  </si>
  <si>
    <t>SOLİMPEKS VEYA MUADİLİ</t>
  </si>
  <si>
    <t>WHS-KODSAN VEYA MUADİLİ</t>
  </si>
  <si>
    <t>VIESMANN VEYA MUADİLİ</t>
  </si>
  <si>
    <t>ÇAYIROVA VEYA MUADİLİ</t>
  </si>
  <si>
    <t>TRAKYA VEYA MUADİLİ</t>
  </si>
  <si>
    <t>MONEKS VEYA MUADİLİ</t>
  </si>
  <si>
    <t>TSE VEYA MUADİLİ</t>
  </si>
  <si>
    <t>EKİNCİOĞLU-BERKSAN VEYA MUADİLİ</t>
  </si>
  <si>
    <t>POLİSAN VEYA MUADİLİ</t>
  </si>
  <si>
    <t>KAYSE VEYA MUADİLİ</t>
  </si>
  <si>
    <t>MAVİGARD VEYA MUADİLİ</t>
  </si>
  <si>
    <t>SAMSUNG VEYA MUADİLİ</t>
  </si>
  <si>
    <t>KARSAÇ VEYA MUADİLİ</t>
  </si>
  <si>
    <t>AFS VEYA MUADİLİ</t>
  </si>
  <si>
    <t>ELEKTROTEKNİK VEYA MUADİLİ</t>
  </si>
  <si>
    <t>VENCO VEYA MUADİLİ</t>
  </si>
  <si>
    <t>2'' GALVANİZ ÇELİK BORU</t>
  </si>
  <si>
    <t>METRE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</si>
</sst>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₺&quot;* #,##0.00_-;\-&quot;₺&quot;* #,##0.00_-;_-&quot;₺&quot;* &quot;-&quot;??_-;_-@_-"/>
    <numFmt numFmtId="164" formatCode="_-[$€-2]\ * #,##0.00_-;\-[$€-2]\ * #,##0.00_-;_-[$€-2]\ * &quot;-&quot;??_-;_-@_-"/>
    <numFmt numFmtId="165" formatCode="_-[$€-2]\ * #,##0_-;\-[$€-2]\ * #,##0_-;_-[$€-2]\ * &quot;-&quot;??_-;_-@_-"/>
    <numFmt numFmtId="166" formatCode="[$€-2]\ #,##0.00"/>
    <numFmt numFmtId="167" formatCode="#,##0.00;\(#,##0.00\);\-\-"/>
    <numFmt numFmtId="168" formatCode="_-* #,##0.00\ &quot;₺&quot;_-;\-* #,##0.00\ &quot;₺&quot;_-;_-* &quot;-&quot;??\ &quot;₺&quot;_-;_-@_-"/>
  </numFmts>
  <fonts count="2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u/>
      <sz val="1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u/>
      <sz val="11"/>
      <color theme="1"/>
      <name val="Calibri"/>
      <family val="2"/>
      <charset val="162"/>
      <scheme val="minor"/>
    </font>
    <font>
      <i/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8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1"/>
      <color rgb="FF000000"/>
      <name val="Calibri"/>
      <charset val="162"/>
    </font>
    <font>
      <sz val="10"/>
      <color rgb="FF000000"/>
      <name val="Arial"/>
      <charset val="162"/>
    </font>
    <font>
      <sz val="10"/>
      <color rgb="FF000000"/>
      <name val="Arial Tur"/>
      <charset val="162"/>
    </font>
    <font>
      <sz val="8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color rgb="FF00000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1"/>
      <color rgb="FFFF0000"/>
      <name val="Calibri"/>
      <charset val="162"/>
    </font>
    <font>
      <b/>
      <sz val="15"/>
      <color rgb="FF000000"/>
      <name val="Calibri"/>
      <charset val="162"/>
    </font>
    <font>
      <b/>
      <sz val="11"/>
      <color rgb="FF000000"/>
      <name val="Calibri"/>
      <charset val="162"/>
    </font>
    <font>
      <b/>
      <sz val="10"/>
      <color rgb="FF000000"/>
      <name val="Arial"/>
      <charset val="162"/>
    </font>
    <font>
      <b/>
      <sz val="12"/>
      <color rgb="FF000000"/>
      <name val="Arial"/>
      <charset val="162"/>
    </font>
    <font>
      <sz val="12"/>
      <color rgb="FF000000"/>
      <name val="Arial"/>
      <charset val="162"/>
    </font>
    <font>
      <sz val="12"/>
      <color rgb="FF000000"/>
      <name val="Arial"/>
      <family val="2"/>
      <charset val="162"/>
    </font>
    <font>
      <sz val="10"/>
      <name val="Arial Tur"/>
      <charset val="16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9D9D9"/>
        <bgColor rgb="FFFFFFFF"/>
      </patternFill>
    </fill>
    <fill>
      <patternFill patternType="solid">
        <fgColor rgb="FF5C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FFFFFF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5">
    <xf numFmtId="0" fontId="0" fillId="0" borderId="0"/>
    <xf numFmtId="0" fontId="14" fillId="0" borderId="0"/>
    <xf numFmtId="0" fontId="13" fillId="0" borderId="0"/>
    <xf numFmtId="0" fontId="1" fillId="0" borderId="0"/>
    <xf numFmtId="0" fontId="16" fillId="0" borderId="0"/>
    <xf numFmtId="0" fontId="1" fillId="0" borderId="0"/>
    <xf numFmtId="0" fontId="17" fillId="0" borderId="0"/>
    <xf numFmtId="0" fontId="18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6" fillId="0" borderId="0"/>
    <xf numFmtId="168" fontId="27" fillId="0" borderId="0" applyFont="0" applyFill="0" applyBorder="0" applyAlignment="0" applyProtection="0"/>
    <xf numFmtId="0" fontId="16" fillId="0" borderId="0"/>
    <xf numFmtId="0" fontId="1" fillId="0" borderId="0"/>
    <xf numFmtId="9" fontId="27" fillId="0" borderId="0" applyFont="0" applyFill="0" applyBorder="0" applyAlignment="0" applyProtection="0"/>
    <xf numFmtId="44" fontId="16" fillId="0" borderId="0" applyFont="0" applyFill="0" applyBorder="0" applyAlignment="0" applyProtection="0"/>
  </cellStyleXfs>
  <cellXfs count="7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166" fontId="12" fillId="0" borderId="20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9" fontId="19" fillId="3" borderId="21" xfId="8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wrapText="1"/>
    </xf>
    <xf numFmtId="0" fontId="21" fillId="5" borderId="23" xfId="0" applyFont="1" applyFill="1" applyBorder="1" applyAlignment="1">
      <alignment horizontal="center" wrapText="1"/>
    </xf>
    <xf numFmtId="0" fontId="22" fillId="5" borderId="24" xfId="0" applyFont="1" applyFill="1" applyBorder="1" applyAlignment="1">
      <alignment horizontal="center" vertical="center" wrapText="1"/>
    </xf>
    <xf numFmtId="166" fontId="22" fillId="5" borderId="25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1" fontId="23" fillId="6" borderId="26" xfId="2" applyNumberFormat="1" applyFont="1" applyFill="1" applyBorder="1" applyAlignment="1">
      <alignment horizontal="center" vertical="center"/>
    </xf>
    <xf numFmtId="167" fontId="24" fillId="6" borderId="27" xfId="2" applyNumberFormat="1" applyFont="1" applyFill="1" applyBorder="1" applyAlignment="1">
      <alignment horizontal="left" vertical="center" wrapText="1"/>
    </xf>
    <xf numFmtId="167" fontId="23" fillId="6" borderId="28" xfId="2" applyNumberFormat="1" applyFont="1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/>
    </xf>
    <xf numFmtId="166" fontId="0" fillId="6" borderId="26" xfId="0" applyNumberFormat="1" applyFill="1" applyBorder="1" applyAlignment="1">
      <alignment horizontal="center" vertical="center"/>
    </xf>
    <xf numFmtId="1" fontId="13" fillId="7" borderId="29" xfId="2" applyNumberFormat="1" applyFill="1" applyBorder="1" applyAlignment="1">
      <alignment horizontal="center" vertical="center"/>
    </xf>
    <xf numFmtId="167" fontId="25" fillId="7" borderId="20" xfId="2" applyNumberFormat="1" applyFont="1" applyFill="1" applyBorder="1" applyAlignment="1">
      <alignment horizontal="left" vertical="center" wrapText="1"/>
    </xf>
    <xf numFmtId="167" fontId="13" fillId="7" borderId="20" xfId="2" applyNumberFormat="1" applyFill="1" applyBorder="1" applyAlignment="1">
      <alignment horizontal="center" vertical="center" wrapText="1"/>
    </xf>
    <xf numFmtId="3" fontId="26" fillId="8" borderId="20" xfId="2" applyNumberFormat="1" applyFont="1" applyFill="1" applyBorder="1" applyAlignment="1">
      <alignment horizontal="center" vertical="center" wrapText="1"/>
    </xf>
    <xf numFmtId="167" fontId="26" fillId="7" borderId="20" xfId="2" applyNumberFormat="1" applyFont="1" applyFill="1" applyBorder="1" applyAlignment="1">
      <alignment horizontal="left" vertical="center" wrapText="1"/>
    </xf>
    <xf numFmtId="167" fontId="25" fillId="9" borderId="20" xfId="2" applyNumberFormat="1" applyFont="1" applyFill="1" applyBorder="1" applyAlignment="1">
      <alignment horizontal="left" vertical="center" wrapText="1"/>
    </xf>
    <xf numFmtId="1" fontId="0" fillId="0" borderId="0" xfId="0" applyNumberFormat="1"/>
    <xf numFmtId="0" fontId="0" fillId="0" borderId="0" xfId="0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7" fontId="17" fillId="7" borderId="20" xfId="2" applyNumberFormat="1" applyFont="1" applyFill="1" applyBorder="1" applyAlignment="1">
      <alignment horizontal="center" vertical="center" wrapText="1"/>
    </xf>
    <xf numFmtId="4" fontId="8" fillId="0" borderId="11" xfId="0" applyNumberFormat="1" applyFont="1" applyBorder="1" applyAlignment="1">
      <alignment vertical="center" wrapText="1"/>
    </xf>
    <xf numFmtId="4" fontId="8" fillId="0" borderId="1" xfId="0" applyNumberFormat="1" applyFont="1" applyBorder="1" applyAlignment="1">
      <alignment vertical="center" wrapText="1"/>
    </xf>
    <xf numFmtId="4" fontId="8" fillId="0" borderId="2" xfId="0" applyNumberFormat="1" applyFont="1" applyBorder="1" applyAlignment="1">
      <alignment vertical="center" wrapText="1"/>
    </xf>
    <xf numFmtId="4" fontId="9" fillId="0" borderId="9" xfId="0" applyNumberFormat="1" applyFont="1" applyBorder="1" applyAlignment="1">
      <alignment vertical="center" wrapText="1"/>
    </xf>
    <xf numFmtId="4" fontId="9" fillId="0" borderId="12" xfId="0" applyNumberFormat="1" applyFont="1" applyBorder="1" applyAlignment="1">
      <alignment vertical="center" wrapText="1"/>
    </xf>
    <xf numFmtId="4" fontId="9" fillId="0" borderId="6" xfId="0" applyNumberFormat="1" applyFont="1" applyBorder="1" applyAlignment="1">
      <alignment vertical="center" wrapText="1"/>
    </xf>
    <xf numFmtId="4" fontId="9" fillId="0" borderId="7" xfId="0" applyNumberFormat="1" applyFont="1" applyBorder="1" applyAlignment="1">
      <alignment vertical="center" wrapText="1"/>
    </xf>
    <xf numFmtId="4" fontId="6" fillId="0" borderId="10" xfId="0" applyNumberFormat="1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</cellXfs>
  <cellStyles count="15">
    <cellStyle name="Hyperlink" xfId="7" xr:uid="{4D5BE3F9-5148-42ED-9EA6-21352FD46C1A}"/>
    <cellStyle name="Normal" xfId="0" builtinId="0"/>
    <cellStyle name="Normal 10" xfId="1" xr:uid="{00000000-0005-0000-0000-000001000000}"/>
    <cellStyle name="Normal 2 10 2 2" xfId="4" xr:uid="{C8620766-88A9-4E3C-A50A-520982FB3AC0}"/>
    <cellStyle name="Normal 2 13 2 3 4 2" xfId="12" xr:uid="{A36A9A24-EB22-400B-92A2-2EFE089552C7}"/>
    <cellStyle name="Normal 2 2 2 2" xfId="9" xr:uid="{BA89B114-86CE-4FDA-A3BE-5F2D6CD88DF2}"/>
    <cellStyle name="Normal 210" xfId="11" xr:uid="{3B5EAA9D-90C0-4EEC-B87D-2800BC57A339}"/>
    <cellStyle name="Normal 4 2" xfId="2" xr:uid="{00000000-0005-0000-0000-000002000000}"/>
    <cellStyle name="Normal 4 2 2" xfId="6" xr:uid="{2E06D7C1-10CA-4EBA-B472-6BB5B4E6F18D}"/>
    <cellStyle name="Normal 4 3 13" xfId="3" xr:uid="{00000000-0005-0000-0000-000003000000}"/>
    <cellStyle name="Normal 9 2" xfId="5" xr:uid="{6FE9D2D3-6470-4BFC-9952-3F1C4CF49CE0}"/>
    <cellStyle name="ParaBirimi 2" xfId="14" xr:uid="{981FD64F-74B2-446B-A9B4-DF89A0B8F3CA}"/>
    <cellStyle name="ParaBirimi 4" xfId="10" xr:uid="{DC3D3132-9AB9-4418-BBE3-3D2342E5FBC6}"/>
    <cellStyle name="Yüzde" xfId="8" builtinId="5"/>
    <cellStyle name="Yüzde 2 2 2 2" xfId="13" xr:uid="{353417F2-39DB-411D-AE7B-A0FB8A9834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A5" sqref="A5"/>
    </sheetView>
  </sheetViews>
  <sheetFormatPr defaultColWidth="9.140625" defaultRowHeight="15" x14ac:dyDescent="0.25"/>
  <cols>
    <col min="1" max="1" width="53.28515625" style="2" customWidth="1"/>
    <col min="2" max="2" width="19" style="2" customWidth="1"/>
    <col min="3" max="3" width="17.28515625" style="2" customWidth="1"/>
    <col min="4" max="4" width="18.28515625" style="2" customWidth="1"/>
    <col min="5" max="5" width="18.7109375" style="2" customWidth="1"/>
    <col min="6" max="6" width="16.85546875" style="2" customWidth="1"/>
    <col min="7" max="7" width="17.42578125" style="2" customWidth="1"/>
    <col min="8" max="8" width="18.7109375" style="2" customWidth="1"/>
    <col min="9" max="10" width="17.5703125" style="2" bestFit="1" customWidth="1"/>
    <col min="11" max="11" width="14.28515625" style="2" bestFit="1" customWidth="1"/>
    <col min="12" max="12" width="16" style="2" customWidth="1"/>
    <col min="13" max="16384" width="9.140625" style="2"/>
  </cols>
  <sheetData>
    <row r="1" spans="1:8" ht="21.75" thickBot="1" x14ac:dyDescent="0.3">
      <c r="A1" s="69" t="s">
        <v>40</v>
      </c>
      <c r="B1" s="70"/>
      <c r="C1" s="70"/>
      <c r="D1" s="70"/>
      <c r="E1" s="70"/>
      <c r="F1" s="70"/>
      <c r="G1" s="70"/>
      <c r="H1" s="71"/>
    </row>
    <row r="2" spans="1:8" x14ac:dyDescent="0.25">
      <c r="A2" s="26"/>
      <c r="B2" s="72" t="s">
        <v>32</v>
      </c>
      <c r="C2" s="73"/>
      <c r="D2" s="73" t="s">
        <v>33</v>
      </c>
      <c r="E2" s="73"/>
      <c r="F2" s="73" t="s">
        <v>34</v>
      </c>
      <c r="G2" s="74"/>
      <c r="H2" s="23" t="s">
        <v>39</v>
      </c>
    </row>
    <row r="3" spans="1:8" x14ac:dyDescent="0.25">
      <c r="A3" s="24"/>
      <c r="B3" s="25" t="s">
        <v>37</v>
      </c>
      <c r="C3" s="21" t="s">
        <v>38</v>
      </c>
      <c r="D3" s="21" t="s">
        <v>37</v>
      </c>
      <c r="E3" s="21" t="s">
        <v>38</v>
      </c>
      <c r="F3" s="21" t="s">
        <v>37</v>
      </c>
      <c r="G3" s="22" t="s">
        <v>38</v>
      </c>
      <c r="H3" s="24"/>
    </row>
    <row r="4" spans="1:8" ht="15.75" x14ac:dyDescent="0.25">
      <c r="A4" s="27" t="s">
        <v>178</v>
      </c>
      <c r="B4" s="57">
        <f>'mekanik G BLOK'!H3</f>
        <v>0</v>
      </c>
      <c r="C4" s="57">
        <f>'mekanik G BLOK'!I3</f>
        <v>0</v>
      </c>
      <c r="D4" s="58">
        <f>'mekanik F BLOK'!H3</f>
        <v>0</v>
      </c>
      <c r="E4" s="58">
        <f>'mekanik F BLOK'!I3</f>
        <v>0</v>
      </c>
      <c r="F4" s="58">
        <f>B4+D4</f>
        <v>0</v>
      </c>
      <c r="G4" s="59">
        <f>E4+C4</f>
        <v>0</v>
      </c>
      <c r="H4" s="60">
        <f>SUM(F4:G4)</f>
        <v>0</v>
      </c>
    </row>
    <row r="5" spans="1:8" ht="15.75" x14ac:dyDescent="0.25">
      <c r="A5" s="27" t="s">
        <v>177</v>
      </c>
      <c r="B5" s="57">
        <f>'elektrik G BLOK'!H3</f>
        <v>0</v>
      </c>
      <c r="C5" s="57">
        <f>'elektrik G BLOK'!I3</f>
        <v>0</v>
      </c>
      <c r="D5" s="58">
        <f>'elektrik F BLOK'!H3</f>
        <v>0</v>
      </c>
      <c r="E5" s="58">
        <f>'elektrik F BLOK'!I3</f>
        <v>0</v>
      </c>
      <c r="F5" s="58">
        <f t="shared" ref="F5" si="0">B5+D5</f>
        <v>0</v>
      </c>
      <c r="G5" s="59">
        <f t="shared" ref="G5" si="1">E5+C5</f>
        <v>0</v>
      </c>
      <c r="H5" s="60">
        <f t="shared" ref="H5" si="2">SUM(F5:G5)</f>
        <v>0</v>
      </c>
    </row>
    <row r="6" spans="1:8" ht="19.5" thickBot="1" x14ac:dyDescent="0.3">
      <c r="A6" s="28"/>
      <c r="B6" s="61"/>
      <c r="C6" s="62"/>
      <c r="D6" s="62"/>
      <c r="E6" s="62"/>
      <c r="F6" s="62">
        <f>SUM(F4:F5)</f>
        <v>0</v>
      </c>
      <c r="G6" s="63">
        <f>SUM(G4:G5)</f>
        <v>0</v>
      </c>
      <c r="H6" s="64">
        <f>SUM(H4:H5)</f>
        <v>0</v>
      </c>
    </row>
  </sheetData>
  <mergeCells count="4">
    <mergeCell ref="A1:H1"/>
    <mergeCell ref="B2:C2"/>
    <mergeCell ref="D2:E2"/>
    <mergeCell ref="F2:G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4"/>
  <sheetViews>
    <sheetView zoomScaleNormal="100" workbookViewId="0">
      <selection activeCell="L14" sqref="L14"/>
    </sheetView>
  </sheetViews>
  <sheetFormatPr defaultColWidth="9.140625" defaultRowHeight="12.75" x14ac:dyDescent="0.25"/>
  <cols>
    <col min="1" max="1" width="6.7109375" style="3" bestFit="1" customWidth="1"/>
    <col min="2" max="2" width="52.7109375" style="3" customWidth="1"/>
    <col min="3" max="3" width="36.85546875" style="4" customWidth="1"/>
    <col min="4" max="4" width="5.7109375" style="4" bestFit="1" customWidth="1"/>
    <col min="5" max="5" width="7" style="4" bestFit="1" customWidth="1"/>
    <col min="6" max="6" width="10.5703125" style="3" customWidth="1"/>
    <col min="7" max="7" width="11.5703125" style="3" customWidth="1"/>
    <col min="8" max="8" width="13" style="3" customWidth="1"/>
    <col min="9" max="9" width="14" style="3" customWidth="1"/>
    <col min="10" max="10" width="12.7109375" style="3" customWidth="1"/>
    <col min="11" max="16384" width="9.140625" style="3"/>
  </cols>
  <sheetData>
    <row r="1" spans="1:10" ht="24" thickBot="1" x14ac:dyDescent="0.3">
      <c r="B1" s="65" t="s">
        <v>29</v>
      </c>
      <c r="C1" s="65"/>
      <c r="D1" s="65"/>
      <c r="E1" s="65"/>
      <c r="F1" s="65"/>
      <c r="G1" s="65"/>
      <c r="H1" s="65"/>
      <c r="I1" s="65"/>
      <c r="J1" s="65"/>
    </row>
    <row r="2" spans="1:10" ht="27" thickTop="1" thickBot="1" x14ac:dyDescent="0.3">
      <c r="A2" s="16" t="s">
        <v>35</v>
      </c>
      <c r="B2" s="17" t="s">
        <v>36</v>
      </c>
      <c r="C2" s="14" t="s">
        <v>41</v>
      </c>
      <c r="D2" s="17" t="s">
        <v>0</v>
      </c>
      <c r="E2" s="18" t="s">
        <v>1</v>
      </c>
      <c r="F2" s="18" t="s">
        <v>6</v>
      </c>
      <c r="G2" s="18" t="s">
        <v>3</v>
      </c>
      <c r="H2" s="18" t="s">
        <v>7</v>
      </c>
      <c r="I2" s="18" t="s">
        <v>8</v>
      </c>
      <c r="J2" s="19" t="s">
        <v>9</v>
      </c>
    </row>
    <row r="3" spans="1:10" customFormat="1" ht="33.200000000000003" customHeight="1" thickBot="1" x14ac:dyDescent="0.35">
      <c r="A3" s="36"/>
      <c r="B3" s="37"/>
      <c r="C3" s="38"/>
      <c r="D3" s="38"/>
      <c r="E3" s="38"/>
      <c r="F3" s="39"/>
      <c r="G3" s="39"/>
      <c r="H3" s="39">
        <f>H4+H110+H154+H173</f>
        <v>0</v>
      </c>
      <c r="I3" s="39">
        <f>I4+I110+I154+I173</f>
        <v>0</v>
      </c>
      <c r="J3" s="39">
        <f>J4+J110+J154+J173</f>
        <v>0</v>
      </c>
    </row>
    <row r="4" spans="1:10" ht="24" thickTop="1" x14ac:dyDescent="0.25">
      <c r="A4" s="30">
        <v>1</v>
      </c>
      <c r="B4" s="66" t="s">
        <v>31</v>
      </c>
      <c r="C4" s="67"/>
      <c r="D4" s="67"/>
      <c r="E4" s="67"/>
      <c r="F4" s="67"/>
      <c r="G4" s="68"/>
      <c r="H4" s="20">
        <f>SUM(H5:H109)</f>
        <v>0</v>
      </c>
      <c r="I4" s="20">
        <f>SUM(I5:I109)</f>
        <v>0</v>
      </c>
      <c r="J4" s="20">
        <f>SUM(J5:J109)</f>
        <v>0</v>
      </c>
    </row>
    <row r="5" spans="1:10" ht="19.149999999999999" customHeight="1" x14ac:dyDescent="0.25">
      <c r="A5" s="1"/>
      <c r="B5" s="31" t="s">
        <v>81</v>
      </c>
      <c r="C5" s="6"/>
      <c r="D5" s="1"/>
      <c r="E5" s="13"/>
      <c r="F5" s="7"/>
      <c r="G5" s="7"/>
      <c r="H5" s="10"/>
      <c r="I5" s="10"/>
      <c r="J5" s="10"/>
    </row>
    <row r="6" spans="1:10" ht="21" customHeight="1" x14ac:dyDescent="0.25">
      <c r="A6" s="6"/>
      <c r="B6" s="8" t="s">
        <v>166</v>
      </c>
      <c r="C6" s="1" t="s">
        <v>332</v>
      </c>
      <c r="D6" s="1" t="s">
        <v>2</v>
      </c>
      <c r="E6" s="13">
        <v>1</v>
      </c>
      <c r="F6" s="29"/>
      <c r="G6" s="29"/>
      <c r="H6" s="10"/>
      <c r="I6" s="10"/>
      <c r="J6" s="9"/>
    </row>
    <row r="7" spans="1:10" ht="21" customHeight="1" x14ac:dyDescent="0.25">
      <c r="A7" s="1"/>
      <c r="B7" s="31" t="s">
        <v>59</v>
      </c>
      <c r="C7" s="6"/>
      <c r="D7" s="1"/>
      <c r="E7" s="13"/>
      <c r="F7" s="7"/>
      <c r="G7" s="7"/>
      <c r="H7" s="10"/>
      <c r="I7" s="10"/>
      <c r="J7" s="10"/>
    </row>
    <row r="8" spans="1:10" ht="16.899999999999999" customHeight="1" x14ac:dyDescent="0.25">
      <c r="A8" s="6"/>
      <c r="B8" s="8" t="s">
        <v>10</v>
      </c>
      <c r="C8" s="1" t="s">
        <v>333</v>
      </c>
      <c r="D8" s="1" t="s">
        <v>4</v>
      </c>
      <c r="E8" s="13">
        <v>313</v>
      </c>
      <c r="F8" s="29"/>
      <c r="G8" s="29"/>
      <c r="H8" s="10"/>
      <c r="I8" s="10"/>
      <c r="J8" s="9"/>
    </row>
    <row r="9" spans="1:10" ht="16.899999999999999" customHeight="1" x14ac:dyDescent="0.25">
      <c r="A9" s="6"/>
      <c r="B9" s="8" t="s">
        <v>11</v>
      </c>
      <c r="C9" s="1" t="s">
        <v>333</v>
      </c>
      <c r="D9" s="1" t="s">
        <v>4</v>
      </c>
      <c r="E9" s="13">
        <v>380</v>
      </c>
      <c r="F9" s="29"/>
      <c r="G9" s="29"/>
      <c r="H9" s="10"/>
      <c r="I9" s="10"/>
      <c r="J9" s="9"/>
    </row>
    <row r="10" spans="1:10" ht="16.899999999999999" customHeight="1" x14ac:dyDescent="0.25">
      <c r="A10" s="6"/>
      <c r="B10" s="8" t="s">
        <v>12</v>
      </c>
      <c r="C10" s="1" t="s">
        <v>333</v>
      </c>
      <c r="D10" s="1" t="s">
        <v>4</v>
      </c>
      <c r="E10" s="13">
        <v>150</v>
      </c>
      <c r="F10" s="29"/>
      <c r="G10" s="29"/>
      <c r="H10" s="10"/>
      <c r="I10" s="10"/>
      <c r="J10" s="9"/>
    </row>
    <row r="11" spans="1:10" ht="16.899999999999999" customHeight="1" x14ac:dyDescent="0.25">
      <c r="A11" s="6"/>
      <c r="B11" s="8" t="s">
        <v>13</v>
      </c>
      <c r="C11" s="1" t="s">
        <v>333</v>
      </c>
      <c r="D11" s="1" t="s">
        <v>4</v>
      </c>
      <c r="E11" s="13">
        <v>110</v>
      </c>
      <c r="F11" s="29"/>
      <c r="G11" s="29"/>
      <c r="H11" s="10"/>
      <c r="I11" s="10"/>
      <c r="J11" s="9"/>
    </row>
    <row r="12" spans="1:10" ht="16.899999999999999" customHeight="1" x14ac:dyDescent="0.25">
      <c r="A12" s="6"/>
      <c r="B12" s="8" t="s">
        <v>14</v>
      </c>
      <c r="C12" s="1" t="s">
        <v>333</v>
      </c>
      <c r="D12" s="1" t="s">
        <v>4</v>
      </c>
      <c r="E12" s="13">
        <v>16</v>
      </c>
      <c r="F12" s="29"/>
      <c r="G12" s="29"/>
      <c r="H12" s="10"/>
      <c r="I12" s="10"/>
      <c r="J12" s="9"/>
    </row>
    <row r="13" spans="1:10" ht="16.899999999999999" customHeight="1" x14ac:dyDescent="0.25">
      <c r="A13" s="6"/>
      <c r="B13" s="8" t="s">
        <v>15</v>
      </c>
      <c r="C13" s="1" t="s">
        <v>333</v>
      </c>
      <c r="D13" s="1" t="s">
        <v>4</v>
      </c>
      <c r="E13" s="13">
        <v>33</v>
      </c>
      <c r="F13" s="29"/>
      <c r="G13" s="29"/>
      <c r="H13" s="10"/>
      <c r="I13" s="10"/>
      <c r="J13" s="9"/>
    </row>
    <row r="14" spans="1:10" ht="16.899999999999999" customHeight="1" x14ac:dyDescent="0.25">
      <c r="A14" s="6"/>
      <c r="B14" s="8" t="s">
        <v>47</v>
      </c>
      <c r="C14" s="1" t="s">
        <v>333</v>
      </c>
      <c r="D14" s="1"/>
      <c r="E14" s="34">
        <v>0.5</v>
      </c>
      <c r="F14" s="7"/>
      <c r="G14" s="7"/>
      <c r="H14" s="10"/>
      <c r="I14" s="10"/>
      <c r="J14" s="9"/>
    </row>
    <row r="15" spans="1:10" ht="21" customHeight="1" x14ac:dyDescent="0.25">
      <c r="A15" s="1"/>
      <c r="B15" s="31" t="s">
        <v>170</v>
      </c>
      <c r="C15" s="1"/>
      <c r="D15" s="1"/>
      <c r="E15" s="13"/>
      <c r="F15" s="7"/>
      <c r="G15" s="7"/>
      <c r="H15" s="10"/>
      <c r="I15" s="10"/>
      <c r="J15" s="10"/>
    </row>
    <row r="16" spans="1:10" ht="16.899999999999999" customHeight="1" x14ac:dyDescent="0.25">
      <c r="A16" s="6"/>
      <c r="B16" s="8" t="s">
        <v>16</v>
      </c>
      <c r="C16" s="1" t="s">
        <v>334</v>
      </c>
      <c r="D16" s="1" t="s">
        <v>4</v>
      </c>
      <c r="E16" s="13">
        <v>313</v>
      </c>
      <c r="F16" s="29"/>
      <c r="G16" s="29"/>
      <c r="H16" s="10"/>
      <c r="I16" s="10"/>
      <c r="J16" s="9"/>
    </row>
    <row r="17" spans="1:10" ht="16.899999999999999" customHeight="1" x14ac:dyDescent="0.25">
      <c r="A17" s="6"/>
      <c r="B17" s="8" t="s">
        <v>11</v>
      </c>
      <c r="C17" s="1" t="s">
        <v>334</v>
      </c>
      <c r="D17" s="1" t="s">
        <v>4</v>
      </c>
      <c r="E17" s="13">
        <v>380</v>
      </c>
      <c r="F17" s="29"/>
      <c r="G17" s="29"/>
      <c r="H17" s="10"/>
      <c r="I17" s="10"/>
      <c r="J17" s="9"/>
    </row>
    <row r="18" spans="1:10" ht="16.899999999999999" customHeight="1" x14ac:dyDescent="0.25">
      <c r="A18" s="6"/>
      <c r="B18" s="8" t="s">
        <v>17</v>
      </c>
      <c r="C18" s="1" t="s">
        <v>334</v>
      </c>
      <c r="D18" s="1" t="s">
        <v>4</v>
      </c>
      <c r="E18" s="13">
        <v>150</v>
      </c>
      <c r="F18" s="29"/>
      <c r="G18" s="29"/>
      <c r="H18" s="10"/>
      <c r="I18" s="10"/>
      <c r="J18" s="9"/>
    </row>
    <row r="19" spans="1:10" ht="16.899999999999999" customHeight="1" x14ac:dyDescent="0.25">
      <c r="A19" s="6"/>
      <c r="B19" s="8" t="s">
        <v>18</v>
      </c>
      <c r="C19" s="1" t="s">
        <v>334</v>
      </c>
      <c r="D19" s="1" t="s">
        <v>4</v>
      </c>
      <c r="E19" s="13">
        <v>110</v>
      </c>
      <c r="F19" s="29"/>
      <c r="G19" s="29"/>
      <c r="H19" s="10"/>
      <c r="I19" s="10"/>
      <c r="J19" s="9"/>
    </row>
    <row r="20" spans="1:10" ht="16.899999999999999" customHeight="1" x14ac:dyDescent="0.25">
      <c r="A20" s="6"/>
      <c r="B20" s="8" t="s">
        <v>14</v>
      </c>
      <c r="C20" s="1" t="s">
        <v>334</v>
      </c>
      <c r="D20" s="1" t="s">
        <v>4</v>
      </c>
      <c r="E20" s="13">
        <v>16</v>
      </c>
      <c r="F20" s="29"/>
      <c r="G20" s="29"/>
      <c r="H20" s="10"/>
      <c r="I20" s="10"/>
      <c r="J20" s="9"/>
    </row>
    <row r="21" spans="1:10" ht="16.899999999999999" customHeight="1" x14ac:dyDescent="0.25">
      <c r="A21" s="6"/>
      <c r="B21" s="8" t="s">
        <v>15</v>
      </c>
      <c r="C21" s="1" t="s">
        <v>334</v>
      </c>
      <c r="D21" s="1" t="s">
        <v>4</v>
      </c>
      <c r="E21" s="13">
        <v>33</v>
      </c>
      <c r="F21" s="29"/>
      <c r="G21" s="29"/>
      <c r="H21" s="10"/>
      <c r="I21" s="10"/>
      <c r="J21" s="9"/>
    </row>
    <row r="22" spans="1:10" ht="21" customHeight="1" x14ac:dyDescent="0.25">
      <c r="A22" s="1"/>
      <c r="B22" s="31" t="s">
        <v>46</v>
      </c>
      <c r="C22" s="6"/>
      <c r="D22" s="1"/>
      <c r="E22" s="13"/>
      <c r="F22" s="7"/>
      <c r="G22" s="7"/>
      <c r="H22" s="10"/>
      <c r="I22" s="10"/>
      <c r="J22" s="10"/>
    </row>
    <row r="23" spans="1:10" ht="16.899999999999999" customHeight="1" x14ac:dyDescent="0.25">
      <c r="A23" s="6"/>
      <c r="B23" s="33" t="s">
        <v>51</v>
      </c>
      <c r="C23" s="1"/>
      <c r="D23" s="1" t="s">
        <v>2</v>
      </c>
      <c r="E23" s="13">
        <v>27</v>
      </c>
      <c r="F23" s="29"/>
      <c r="G23" s="29"/>
      <c r="H23" s="10"/>
      <c r="I23" s="10"/>
      <c r="J23" s="9"/>
    </row>
    <row r="24" spans="1:10" ht="16.899999999999999" customHeight="1" x14ac:dyDescent="0.25">
      <c r="A24" s="6"/>
      <c r="B24" s="33" t="s">
        <v>50</v>
      </c>
      <c r="C24" s="1"/>
      <c r="D24" s="1" t="s">
        <v>2</v>
      </c>
      <c r="E24" s="13">
        <v>27</v>
      </c>
      <c r="F24" s="29"/>
      <c r="G24" s="29"/>
      <c r="H24" s="10"/>
      <c r="I24" s="10"/>
      <c r="J24" s="9"/>
    </row>
    <row r="25" spans="1:10" ht="16.899999999999999" customHeight="1" x14ac:dyDescent="0.25">
      <c r="A25" s="6"/>
      <c r="B25" s="33" t="s">
        <v>52</v>
      </c>
      <c r="C25" s="1"/>
      <c r="D25" s="1" t="s">
        <v>2</v>
      </c>
      <c r="E25" s="13">
        <v>49</v>
      </c>
      <c r="F25" s="29"/>
      <c r="G25" s="29"/>
      <c r="H25" s="10"/>
      <c r="I25" s="10"/>
      <c r="J25" s="9"/>
    </row>
    <row r="26" spans="1:10" ht="16.899999999999999" customHeight="1" x14ac:dyDescent="0.25">
      <c r="A26" s="6"/>
      <c r="B26" s="33" t="s">
        <v>53</v>
      </c>
      <c r="C26" s="1"/>
      <c r="D26" s="1" t="s">
        <v>2</v>
      </c>
      <c r="E26" s="13">
        <v>22</v>
      </c>
      <c r="F26" s="29"/>
      <c r="G26" s="29"/>
      <c r="H26" s="10"/>
      <c r="I26" s="10"/>
      <c r="J26" s="9"/>
    </row>
    <row r="27" spans="1:10" ht="16.899999999999999" customHeight="1" x14ac:dyDescent="0.25">
      <c r="A27" s="6"/>
      <c r="B27" s="33" t="s">
        <v>54</v>
      </c>
      <c r="C27" s="1"/>
      <c r="D27" s="1" t="s">
        <v>2</v>
      </c>
      <c r="E27" s="13">
        <v>27</v>
      </c>
      <c r="F27" s="29"/>
      <c r="G27" s="29"/>
      <c r="H27" s="10"/>
      <c r="I27" s="10"/>
      <c r="J27" s="9"/>
    </row>
    <row r="28" spans="1:10" ht="16.899999999999999" customHeight="1" x14ac:dyDescent="0.25">
      <c r="A28" s="6"/>
      <c r="B28" s="33" t="s">
        <v>55</v>
      </c>
      <c r="C28" s="1"/>
      <c r="D28" s="1" t="s">
        <v>2</v>
      </c>
      <c r="E28" s="13">
        <v>27</v>
      </c>
      <c r="F28" s="29"/>
      <c r="G28" s="29"/>
      <c r="H28" s="10"/>
      <c r="I28" s="10"/>
      <c r="J28" s="9"/>
    </row>
    <row r="29" spans="1:10" ht="16.899999999999999" customHeight="1" x14ac:dyDescent="0.25">
      <c r="A29" s="6"/>
      <c r="B29" s="33" t="s">
        <v>56</v>
      </c>
      <c r="C29" s="1"/>
      <c r="D29" s="1" t="s">
        <v>2</v>
      </c>
      <c r="E29" s="13">
        <v>27</v>
      </c>
      <c r="F29" s="29"/>
      <c r="G29" s="29"/>
      <c r="H29" s="10"/>
      <c r="I29" s="10"/>
      <c r="J29" s="9"/>
    </row>
    <row r="30" spans="1:10" ht="16.899999999999999" customHeight="1" x14ac:dyDescent="0.25">
      <c r="A30" s="6"/>
      <c r="B30" s="33" t="s">
        <v>156</v>
      </c>
      <c r="C30" s="1"/>
      <c r="D30" s="1" t="s">
        <v>2</v>
      </c>
      <c r="E30" s="13">
        <v>22</v>
      </c>
      <c r="F30" s="29"/>
      <c r="G30" s="29"/>
      <c r="H30" s="10"/>
      <c r="I30" s="10"/>
      <c r="J30" s="9"/>
    </row>
    <row r="31" spans="1:10" ht="21" customHeight="1" x14ac:dyDescent="0.25">
      <c r="A31" s="1"/>
      <c r="B31" s="31" t="s">
        <v>259</v>
      </c>
      <c r="C31" s="6"/>
      <c r="D31" s="1"/>
      <c r="E31" s="13"/>
      <c r="F31" s="7"/>
      <c r="G31" s="7"/>
      <c r="H31" s="10"/>
      <c r="I31" s="10"/>
      <c r="J31" s="10"/>
    </row>
    <row r="32" spans="1:10" ht="16.899999999999999" customHeight="1" x14ac:dyDescent="0.25">
      <c r="A32" s="6"/>
      <c r="B32" s="8" t="s">
        <v>48</v>
      </c>
      <c r="C32" s="1" t="s">
        <v>335</v>
      </c>
      <c r="D32" s="1" t="s">
        <v>2</v>
      </c>
      <c r="E32" s="13">
        <v>27</v>
      </c>
      <c r="F32" s="29"/>
      <c r="G32" s="29"/>
      <c r="H32" s="10"/>
      <c r="I32" s="10"/>
      <c r="J32" s="9"/>
    </row>
    <row r="33" spans="1:10" ht="16.899999999999999" customHeight="1" x14ac:dyDescent="0.25">
      <c r="A33" s="6"/>
      <c r="B33" s="8" t="s">
        <v>49</v>
      </c>
      <c r="C33" s="1" t="s">
        <v>335</v>
      </c>
      <c r="D33" s="1" t="s">
        <v>2</v>
      </c>
      <c r="E33" s="13">
        <v>22</v>
      </c>
      <c r="F33" s="29"/>
      <c r="G33" s="29"/>
      <c r="H33" s="10"/>
      <c r="I33" s="10"/>
      <c r="J33" s="9"/>
    </row>
    <row r="34" spans="1:10" ht="21" customHeight="1" x14ac:dyDescent="0.25">
      <c r="A34" s="1"/>
      <c r="B34" s="31" t="s">
        <v>60</v>
      </c>
      <c r="C34" s="6"/>
      <c r="D34" s="1"/>
      <c r="E34" s="13"/>
      <c r="F34" s="7"/>
      <c r="G34" s="7"/>
      <c r="H34" s="10"/>
      <c r="I34" s="10"/>
      <c r="J34" s="10"/>
    </row>
    <row r="35" spans="1:10" ht="16.899999999999999" customHeight="1" x14ac:dyDescent="0.25">
      <c r="A35" s="6"/>
      <c r="B35" s="8" t="s">
        <v>26</v>
      </c>
      <c r="C35" s="1" t="s">
        <v>336</v>
      </c>
      <c r="D35" s="1" t="s">
        <v>2</v>
      </c>
      <c r="E35" s="13">
        <v>142</v>
      </c>
      <c r="F35" s="29"/>
      <c r="G35" s="29"/>
      <c r="H35" s="10"/>
      <c r="I35" s="10"/>
      <c r="J35" s="9"/>
    </row>
    <row r="36" spans="1:10" ht="21" customHeight="1" x14ac:dyDescent="0.25">
      <c r="A36" s="1"/>
      <c r="B36" s="31" t="s">
        <v>124</v>
      </c>
      <c r="C36" s="6"/>
      <c r="D36" s="1"/>
      <c r="E36" s="13"/>
      <c r="F36" s="7"/>
      <c r="G36" s="7"/>
      <c r="H36" s="10"/>
      <c r="I36" s="10"/>
      <c r="J36" s="10"/>
    </row>
    <row r="37" spans="1:10" ht="16.899999999999999" customHeight="1" x14ac:dyDescent="0.25">
      <c r="A37" s="6"/>
      <c r="B37" s="8" t="s">
        <v>16</v>
      </c>
      <c r="C37" s="1" t="s">
        <v>336</v>
      </c>
      <c r="D37" s="1" t="s">
        <v>2</v>
      </c>
      <c r="E37" s="13">
        <v>108</v>
      </c>
      <c r="F37" s="29"/>
      <c r="G37" s="29"/>
      <c r="H37" s="10"/>
      <c r="I37" s="10"/>
      <c r="J37" s="9"/>
    </row>
    <row r="38" spans="1:10" ht="16.899999999999999" customHeight="1" x14ac:dyDescent="0.25">
      <c r="A38" s="6"/>
      <c r="B38" s="8" t="s">
        <v>11</v>
      </c>
      <c r="C38" s="1" t="s">
        <v>336</v>
      </c>
      <c r="D38" s="1" t="s">
        <v>2</v>
      </c>
      <c r="E38" s="13">
        <v>54</v>
      </c>
      <c r="F38" s="29"/>
      <c r="G38" s="29"/>
      <c r="H38" s="10"/>
      <c r="I38" s="10"/>
      <c r="J38" s="9"/>
    </row>
    <row r="39" spans="1:10" ht="16.899999999999999" customHeight="1" x14ac:dyDescent="0.25">
      <c r="A39" s="6"/>
      <c r="B39" s="8" t="s">
        <v>17</v>
      </c>
      <c r="C39" s="1" t="s">
        <v>336</v>
      </c>
      <c r="D39" s="1" t="s">
        <v>2</v>
      </c>
      <c r="E39" s="13">
        <v>27</v>
      </c>
      <c r="F39" s="29"/>
      <c r="G39" s="29"/>
      <c r="H39" s="10"/>
      <c r="I39" s="10"/>
      <c r="J39" s="9"/>
    </row>
    <row r="40" spans="1:10" ht="16.899999999999999" customHeight="1" x14ac:dyDescent="0.25">
      <c r="A40" s="6"/>
      <c r="B40" s="8" t="s">
        <v>18</v>
      </c>
      <c r="C40" s="1" t="s">
        <v>336</v>
      </c>
      <c r="D40" s="1" t="s">
        <v>2</v>
      </c>
      <c r="E40" s="13">
        <v>3</v>
      </c>
      <c r="F40" s="29"/>
      <c r="G40" s="29"/>
      <c r="H40" s="10"/>
      <c r="I40" s="10"/>
      <c r="J40" s="9"/>
    </row>
    <row r="41" spans="1:10" ht="16.899999999999999" customHeight="1" x14ac:dyDescent="0.25">
      <c r="A41" s="6"/>
      <c r="B41" s="8" t="s">
        <v>14</v>
      </c>
      <c r="C41" s="1" t="s">
        <v>336</v>
      </c>
      <c r="D41" s="1" t="s">
        <v>2</v>
      </c>
      <c r="E41" s="13">
        <v>4</v>
      </c>
      <c r="F41" s="29"/>
      <c r="G41" s="29"/>
      <c r="H41" s="10"/>
      <c r="I41" s="10"/>
      <c r="J41" s="9"/>
    </row>
    <row r="42" spans="1:10" ht="16.899999999999999" customHeight="1" x14ac:dyDescent="0.25">
      <c r="A42" s="6"/>
      <c r="B42" s="8" t="s">
        <v>15</v>
      </c>
      <c r="C42" s="1" t="s">
        <v>336</v>
      </c>
      <c r="D42" s="1" t="s">
        <v>2</v>
      </c>
      <c r="E42" s="13">
        <v>2</v>
      </c>
      <c r="F42" s="29"/>
      <c r="G42" s="29"/>
      <c r="H42" s="10"/>
      <c r="I42" s="10"/>
      <c r="J42" s="9"/>
    </row>
    <row r="43" spans="1:10" ht="21" customHeight="1" x14ac:dyDescent="0.25">
      <c r="A43" s="1"/>
      <c r="B43" s="31" t="s">
        <v>5</v>
      </c>
      <c r="C43" s="6"/>
      <c r="D43" s="1"/>
      <c r="E43" s="13"/>
      <c r="F43" s="7"/>
      <c r="G43" s="7"/>
      <c r="H43" s="10"/>
      <c r="I43" s="10"/>
      <c r="J43" s="10"/>
    </row>
    <row r="44" spans="1:10" ht="16.899999999999999" customHeight="1" x14ac:dyDescent="0.25">
      <c r="A44" s="6"/>
      <c r="B44" s="8" t="s">
        <v>14</v>
      </c>
      <c r="C44" s="1" t="s">
        <v>333</v>
      </c>
      <c r="D44" s="1" t="s">
        <v>4</v>
      </c>
      <c r="E44" s="13">
        <v>100</v>
      </c>
      <c r="F44" s="29"/>
      <c r="G44" s="29"/>
      <c r="H44" s="10"/>
      <c r="I44" s="10"/>
      <c r="J44" s="9"/>
    </row>
    <row r="45" spans="1:10" ht="16.899999999999999" customHeight="1" x14ac:dyDescent="0.25">
      <c r="A45" s="6"/>
      <c r="B45" s="8" t="s">
        <v>20</v>
      </c>
      <c r="C45" s="1" t="s">
        <v>333</v>
      </c>
      <c r="D45" s="1" t="s">
        <v>4</v>
      </c>
      <c r="E45" s="13">
        <v>6</v>
      </c>
      <c r="F45" s="29"/>
      <c r="G45" s="29"/>
      <c r="H45" s="10"/>
      <c r="I45" s="10"/>
      <c r="J45" s="9"/>
    </row>
    <row r="46" spans="1:10" ht="16.899999999999999" customHeight="1" x14ac:dyDescent="0.25">
      <c r="A46" s="6"/>
      <c r="B46" s="8" t="s">
        <v>19</v>
      </c>
      <c r="C46" s="1" t="s">
        <v>333</v>
      </c>
      <c r="D46" s="1" t="s">
        <v>4</v>
      </c>
      <c r="E46" s="13">
        <v>150</v>
      </c>
      <c r="F46" s="29"/>
      <c r="G46" s="29"/>
      <c r="H46" s="10"/>
      <c r="I46" s="10"/>
      <c r="J46" s="9"/>
    </row>
    <row r="47" spans="1:10" ht="16.899999999999999" customHeight="1" x14ac:dyDescent="0.25">
      <c r="A47" s="6"/>
      <c r="B47" s="8" t="s">
        <v>47</v>
      </c>
      <c r="C47" s="1" t="s">
        <v>333</v>
      </c>
      <c r="D47" s="1"/>
      <c r="E47" s="34">
        <v>1</v>
      </c>
      <c r="F47" s="7"/>
      <c r="G47" s="7"/>
      <c r="H47" s="10"/>
      <c r="I47" s="10"/>
      <c r="J47" s="9"/>
    </row>
    <row r="48" spans="1:10" ht="21" customHeight="1" x14ac:dyDescent="0.25">
      <c r="A48" s="1"/>
      <c r="B48" s="31" t="s">
        <v>260</v>
      </c>
      <c r="C48" s="6"/>
      <c r="D48" s="1"/>
      <c r="E48" s="13"/>
      <c r="F48" s="7"/>
      <c r="G48" s="7"/>
      <c r="H48" s="10"/>
      <c r="I48" s="10"/>
      <c r="J48" s="10"/>
    </row>
    <row r="49" spans="1:10" ht="16.899999999999999" customHeight="1" x14ac:dyDescent="0.25">
      <c r="A49" s="6"/>
      <c r="B49" s="8" t="s">
        <v>19</v>
      </c>
      <c r="C49" s="1" t="s">
        <v>333</v>
      </c>
      <c r="D49" s="1" t="s">
        <v>2</v>
      </c>
      <c r="E49" s="13">
        <v>7</v>
      </c>
      <c r="F49" s="29"/>
      <c r="G49" s="29"/>
      <c r="H49" s="10"/>
      <c r="I49" s="10"/>
      <c r="J49" s="9"/>
    </row>
    <row r="50" spans="1:10" ht="21" customHeight="1" x14ac:dyDescent="0.25">
      <c r="A50" s="1"/>
      <c r="B50" s="31" t="s">
        <v>68</v>
      </c>
      <c r="C50" s="6"/>
      <c r="D50" s="1"/>
      <c r="E50" s="13"/>
      <c r="F50" s="7"/>
      <c r="G50" s="7"/>
      <c r="H50" s="10"/>
      <c r="I50" s="10"/>
      <c r="J50" s="10"/>
    </row>
    <row r="51" spans="1:10" ht="16.899999999999999" customHeight="1" x14ac:dyDescent="0.25">
      <c r="A51" s="6"/>
      <c r="B51" s="8" t="s">
        <v>19</v>
      </c>
      <c r="C51" s="1" t="s">
        <v>333</v>
      </c>
      <c r="D51" s="1" t="s">
        <v>2</v>
      </c>
      <c r="E51" s="13">
        <v>7</v>
      </c>
      <c r="F51" s="29"/>
      <c r="G51" s="29"/>
      <c r="H51" s="10"/>
      <c r="I51" s="10"/>
      <c r="J51" s="9"/>
    </row>
    <row r="52" spans="1:10" ht="21" customHeight="1" x14ac:dyDescent="0.25">
      <c r="A52" s="1"/>
      <c r="B52" s="31" t="s">
        <v>69</v>
      </c>
      <c r="C52" s="6"/>
      <c r="D52" s="1"/>
      <c r="E52" s="13"/>
      <c r="F52" s="7"/>
      <c r="G52" s="7"/>
      <c r="H52" s="10"/>
      <c r="I52" s="10"/>
      <c r="J52" s="10"/>
    </row>
    <row r="53" spans="1:10" ht="16.899999999999999" customHeight="1" x14ac:dyDescent="0.25">
      <c r="A53" s="6"/>
      <c r="B53" s="8" t="s">
        <v>171</v>
      </c>
      <c r="C53" s="1" t="s">
        <v>337</v>
      </c>
      <c r="D53" s="1" t="s">
        <v>2</v>
      </c>
      <c r="E53" s="13">
        <v>27</v>
      </c>
      <c r="F53" s="29"/>
      <c r="G53" s="29"/>
      <c r="H53" s="10"/>
      <c r="I53" s="10"/>
      <c r="J53" s="9"/>
    </row>
    <row r="54" spans="1:10" ht="16.899999999999999" customHeight="1" x14ac:dyDescent="0.25">
      <c r="A54" s="6"/>
      <c r="B54" s="8" t="s">
        <v>172</v>
      </c>
      <c r="C54" s="1" t="s">
        <v>337</v>
      </c>
      <c r="D54" s="1" t="s">
        <v>2</v>
      </c>
      <c r="E54" s="13">
        <v>19</v>
      </c>
      <c r="F54" s="29"/>
      <c r="G54" s="29"/>
      <c r="H54" s="10"/>
      <c r="I54" s="10"/>
      <c r="J54" s="9"/>
    </row>
    <row r="55" spans="1:10" ht="16.899999999999999" customHeight="1" x14ac:dyDescent="0.25">
      <c r="A55" s="6"/>
      <c r="B55" s="8" t="s">
        <v>70</v>
      </c>
      <c r="C55" s="1" t="s">
        <v>337</v>
      </c>
      <c r="D55" s="1" t="s">
        <v>2</v>
      </c>
      <c r="E55" s="13">
        <v>22</v>
      </c>
      <c r="F55" s="29"/>
      <c r="G55" s="29"/>
      <c r="H55" s="10"/>
      <c r="I55" s="10"/>
      <c r="J55" s="9"/>
    </row>
    <row r="56" spans="1:10" ht="21" customHeight="1" x14ac:dyDescent="0.25">
      <c r="A56" s="1"/>
      <c r="B56" s="31" t="s">
        <v>58</v>
      </c>
      <c r="C56" s="6"/>
      <c r="D56" s="1"/>
      <c r="E56" s="13"/>
      <c r="F56" s="7"/>
      <c r="G56" s="7"/>
      <c r="H56" s="10"/>
      <c r="I56" s="10"/>
      <c r="J56" s="10"/>
    </row>
    <row r="57" spans="1:10" ht="16.899999999999999" customHeight="1" x14ac:dyDescent="0.25">
      <c r="A57" s="6"/>
      <c r="B57" s="8" t="s">
        <v>19</v>
      </c>
      <c r="C57" s="1" t="s">
        <v>333</v>
      </c>
      <c r="D57" s="1" t="s">
        <v>4</v>
      </c>
      <c r="E57" s="13">
        <v>79</v>
      </c>
      <c r="F57" s="29"/>
      <c r="G57" s="29"/>
      <c r="H57" s="10"/>
      <c r="I57" s="10"/>
      <c r="J57" s="9"/>
    </row>
    <row r="58" spans="1:10" ht="16.899999999999999" customHeight="1" x14ac:dyDescent="0.25">
      <c r="A58" s="6"/>
      <c r="B58" s="8" t="s">
        <v>47</v>
      </c>
      <c r="C58" s="1" t="s">
        <v>333</v>
      </c>
      <c r="D58" s="1"/>
      <c r="E58" s="34">
        <v>0.3</v>
      </c>
      <c r="F58" s="7"/>
      <c r="G58" s="7"/>
      <c r="H58" s="10"/>
      <c r="I58" s="10"/>
      <c r="J58" s="9"/>
    </row>
    <row r="59" spans="1:10" ht="21" customHeight="1" x14ac:dyDescent="0.25">
      <c r="A59" s="1"/>
      <c r="B59" s="31" t="s">
        <v>69</v>
      </c>
      <c r="C59" s="6"/>
      <c r="D59" s="1"/>
      <c r="E59" s="13"/>
      <c r="F59" s="7"/>
      <c r="G59" s="7"/>
      <c r="H59" s="10"/>
      <c r="I59" s="10"/>
      <c r="J59" s="10"/>
    </row>
    <row r="60" spans="1:10" ht="16.899999999999999" customHeight="1" x14ac:dyDescent="0.25">
      <c r="A60" s="6"/>
      <c r="B60" s="8" t="s">
        <v>173</v>
      </c>
      <c r="C60" s="1" t="s">
        <v>337</v>
      </c>
      <c r="D60" s="1" t="s">
        <v>2</v>
      </c>
      <c r="E60" s="13">
        <v>10</v>
      </c>
      <c r="F60" s="29"/>
      <c r="G60" s="29"/>
      <c r="H60" s="10"/>
      <c r="I60" s="10"/>
      <c r="J60" s="9"/>
    </row>
    <row r="61" spans="1:10" ht="21" customHeight="1" x14ac:dyDescent="0.25">
      <c r="A61" s="1"/>
      <c r="B61" s="31" t="s">
        <v>123</v>
      </c>
      <c r="C61" s="6"/>
      <c r="D61" s="1"/>
      <c r="E61" s="13"/>
      <c r="F61" s="7"/>
      <c r="G61" s="7"/>
      <c r="H61" s="10"/>
      <c r="I61" s="10"/>
      <c r="J61" s="10"/>
    </row>
    <row r="62" spans="1:10" ht="16.899999999999999" customHeight="1" x14ac:dyDescent="0.25">
      <c r="A62" s="6"/>
      <c r="B62" s="8" t="s">
        <v>17</v>
      </c>
      <c r="C62" s="1" t="s">
        <v>338</v>
      </c>
      <c r="D62" s="1" t="s">
        <v>4</v>
      </c>
      <c r="E62" s="13">
        <v>220</v>
      </c>
      <c r="F62" s="29"/>
      <c r="G62" s="29"/>
      <c r="H62" s="10"/>
      <c r="I62" s="10"/>
      <c r="J62" s="9"/>
    </row>
    <row r="63" spans="1:10" ht="16.899999999999999" customHeight="1" x14ac:dyDescent="0.25">
      <c r="A63" s="6"/>
      <c r="B63" s="8" t="s">
        <v>47</v>
      </c>
      <c r="C63" s="1" t="s">
        <v>338</v>
      </c>
      <c r="D63" s="1"/>
      <c r="E63" s="34">
        <v>0.3</v>
      </c>
      <c r="F63" s="7"/>
      <c r="G63" s="7"/>
      <c r="H63" s="10"/>
      <c r="I63" s="10"/>
      <c r="J63" s="9"/>
    </row>
    <row r="64" spans="1:10" ht="21" customHeight="1" x14ac:dyDescent="0.25">
      <c r="A64" s="1"/>
      <c r="B64" s="31" t="s">
        <v>71</v>
      </c>
      <c r="C64" s="6"/>
      <c r="D64" s="1"/>
      <c r="E64" s="13"/>
      <c r="F64" s="7"/>
      <c r="G64" s="7"/>
      <c r="H64" s="10"/>
      <c r="I64" s="10"/>
      <c r="J64" s="10"/>
    </row>
    <row r="65" spans="1:10" ht="16.899999999999999" customHeight="1" x14ac:dyDescent="0.25">
      <c r="A65" s="6"/>
      <c r="B65" s="8" t="s">
        <v>127</v>
      </c>
      <c r="C65" s="1" t="s">
        <v>339</v>
      </c>
      <c r="D65" s="1" t="s">
        <v>42</v>
      </c>
      <c r="E65" s="13">
        <v>1</v>
      </c>
      <c r="F65" s="29"/>
      <c r="G65" s="29"/>
      <c r="H65" s="10"/>
      <c r="I65" s="10"/>
      <c r="J65" s="9"/>
    </row>
    <row r="66" spans="1:10" ht="21" customHeight="1" x14ac:dyDescent="0.25">
      <c r="A66" s="1"/>
      <c r="B66" s="31" t="s">
        <v>80</v>
      </c>
      <c r="C66" s="6"/>
      <c r="D66" s="1"/>
      <c r="E66" s="13"/>
      <c r="F66" s="7"/>
      <c r="G66" s="7"/>
      <c r="H66" s="10"/>
      <c r="I66" s="10"/>
      <c r="J66" s="10"/>
    </row>
    <row r="67" spans="1:10" ht="16.899999999999999" customHeight="1" x14ac:dyDescent="0.25">
      <c r="A67" s="6"/>
      <c r="B67" s="8" t="s">
        <v>72</v>
      </c>
      <c r="C67" s="1" t="s">
        <v>332</v>
      </c>
      <c r="D67" s="1" t="s">
        <v>2</v>
      </c>
      <c r="E67" s="13">
        <v>1</v>
      </c>
      <c r="F67" s="29"/>
      <c r="G67" s="29"/>
      <c r="H67" s="10"/>
      <c r="I67" s="10"/>
      <c r="J67" s="9"/>
    </row>
    <row r="68" spans="1:10" ht="16.899999999999999" customHeight="1" x14ac:dyDescent="0.25">
      <c r="A68" s="6"/>
      <c r="B68" s="8" t="s">
        <v>73</v>
      </c>
      <c r="C68" s="1" t="s">
        <v>332</v>
      </c>
      <c r="D68" s="1" t="s">
        <v>2</v>
      </c>
      <c r="E68" s="13">
        <v>1</v>
      </c>
      <c r="F68" s="29"/>
      <c r="G68" s="29"/>
      <c r="H68" s="10"/>
      <c r="I68" s="10"/>
      <c r="J68" s="9"/>
    </row>
    <row r="69" spans="1:10" ht="21" customHeight="1" x14ac:dyDescent="0.25">
      <c r="A69" s="1"/>
      <c r="B69" s="31" t="s">
        <v>74</v>
      </c>
      <c r="C69" s="6"/>
      <c r="D69" s="1"/>
      <c r="E69" s="13"/>
      <c r="F69" s="7"/>
      <c r="G69" s="7"/>
      <c r="H69" s="10"/>
      <c r="I69" s="10"/>
      <c r="J69" s="10"/>
    </row>
    <row r="70" spans="1:10" ht="16.899999999999999" customHeight="1" x14ac:dyDescent="0.25">
      <c r="A70" s="6"/>
      <c r="B70" s="8" t="s">
        <v>75</v>
      </c>
      <c r="C70" s="1" t="s">
        <v>340</v>
      </c>
      <c r="D70" s="1" t="s">
        <v>2</v>
      </c>
      <c r="E70" s="13">
        <v>1</v>
      </c>
      <c r="F70" s="29"/>
      <c r="G70" s="29"/>
      <c r="H70" s="10"/>
      <c r="I70" s="10"/>
      <c r="J70" s="9"/>
    </row>
    <row r="71" spans="1:10" ht="16.899999999999999" customHeight="1" x14ac:dyDescent="0.25">
      <c r="A71" s="6"/>
      <c r="B71" s="8" t="s">
        <v>76</v>
      </c>
      <c r="C71" s="1" t="s">
        <v>340</v>
      </c>
      <c r="D71" s="1" t="s">
        <v>2</v>
      </c>
      <c r="E71" s="13">
        <v>1</v>
      </c>
      <c r="F71" s="29"/>
      <c r="G71" s="29"/>
      <c r="H71" s="10"/>
      <c r="I71" s="10"/>
      <c r="J71" s="9"/>
    </row>
    <row r="72" spans="1:10" ht="21" customHeight="1" x14ac:dyDescent="0.25">
      <c r="A72" s="1"/>
      <c r="B72" s="31" t="s">
        <v>86</v>
      </c>
      <c r="C72" s="6"/>
      <c r="D72" s="1"/>
      <c r="E72" s="13"/>
      <c r="F72" s="7"/>
      <c r="G72" s="7"/>
      <c r="H72" s="10"/>
      <c r="I72" s="10"/>
      <c r="J72" s="10"/>
    </row>
    <row r="73" spans="1:10" ht="16.899999999999999" customHeight="1" x14ac:dyDescent="0.25">
      <c r="A73" s="6"/>
      <c r="B73" s="8" t="s">
        <v>88</v>
      </c>
      <c r="C73" s="1" t="s">
        <v>332</v>
      </c>
      <c r="D73" s="1" t="s">
        <v>2</v>
      </c>
      <c r="E73" s="13">
        <v>1</v>
      </c>
      <c r="F73" s="29"/>
      <c r="G73" s="29"/>
      <c r="H73" s="10"/>
      <c r="I73" s="10"/>
      <c r="J73" s="9"/>
    </row>
    <row r="74" spans="1:10" ht="16.899999999999999" customHeight="1" x14ac:dyDescent="0.25">
      <c r="A74" s="6"/>
      <c r="B74" s="8" t="s">
        <v>89</v>
      </c>
      <c r="C74" s="1" t="s">
        <v>332</v>
      </c>
      <c r="D74" s="1" t="s">
        <v>2</v>
      </c>
      <c r="E74" s="13">
        <v>2</v>
      </c>
      <c r="F74" s="29"/>
      <c r="G74" s="29"/>
      <c r="H74" s="10"/>
      <c r="I74" s="10"/>
      <c r="J74" s="9"/>
    </row>
    <row r="75" spans="1:10" ht="21" customHeight="1" x14ac:dyDescent="0.25">
      <c r="A75" s="1"/>
      <c r="B75" s="31" t="s">
        <v>78</v>
      </c>
      <c r="C75" s="6"/>
      <c r="D75" s="1"/>
      <c r="E75" s="13"/>
      <c r="F75" s="7"/>
      <c r="G75" s="7"/>
      <c r="H75" s="7"/>
      <c r="I75" s="7"/>
      <c r="J75" s="7"/>
    </row>
    <row r="76" spans="1:10" ht="16.899999999999999" customHeight="1" x14ac:dyDescent="0.25">
      <c r="A76" s="6"/>
      <c r="B76" s="8" t="s">
        <v>79</v>
      </c>
      <c r="C76" s="1" t="s">
        <v>341</v>
      </c>
      <c r="D76" s="1" t="s">
        <v>2</v>
      </c>
      <c r="E76" s="13">
        <v>1</v>
      </c>
      <c r="F76" s="29"/>
      <c r="G76" s="29"/>
      <c r="H76" s="10"/>
      <c r="I76" s="10"/>
      <c r="J76" s="9"/>
    </row>
    <row r="77" spans="1:10" ht="21" customHeight="1" x14ac:dyDescent="0.25">
      <c r="A77" s="1"/>
      <c r="B77" s="31" t="s">
        <v>59</v>
      </c>
      <c r="C77" s="6"/>
      <c r="D77" s="1"/>
      <c r="E77" s="13"/>
      <c r="F77" s="7"/>
      <c r="G77" s="7"/>
      <c r="H77" s="10"/>
      <c r="I77" s="10"/>
      <c r="J77" s="10"/>
    </row>
    <row r="78" spans="1:10" ht="16.899999999999999" customHeight="1" x14ac:dyDescent="0.25">
      <c r="A78" s="6"/>
      <c r="B78" s="8" t="s">
        <v>12</v>
      </c>
      <c r="C78" s="1" t="s">
        <v>333</v>
      </c>
      <c r="D78" s="1" t="s">
        <v>4</v>
      </c>
      <c r="E78" s="13">
        <v>30</v>
      </c>
      <c r="F78" s="29"/>
      <c r="G78" s="29"/>
      <c r="H78" s="10"/>
      <c r="I78" s="10"/>
      <c r="J78" s="9"/>
    </row>
    <row r="79" spans="1:10" ht="16.899999999999999" customHeight="1" x14ac:dyDescent="0.25">
      <c r="A79" s="6"/>
      <c r="B79" s="8" t="s">
        <v>13</v>
      </c>
      <c r="C79" s="1" t="s">
        <v>333</v>
      </c>
      <c r="D79" s="1" t="s">
        <v>4</v>
      </c>
      <c r="E79" s="13">
        <v>15</v>
      </c>
      <c r="F79" s="29"/>
      <c r="G79" s="29"/>
      <c r="H79" s="10"/>
      <c r="I79" s="10"/>
      <c r="J79" s="9"/>
    </row>
    <row r="80" spans="1:10" ht="16.899999999999999" customHeight="1" x14ac:dyDescent="0.25">
      <c r="A80" s="6"/>
      <c r="B80" s="8" t="s">
        <v>47</v>
      </c>
      <c r="C80" s="1" t="s">
        <v>333</v>
      </c>
      <c r="D80" s="1"/>
      <c r="E80" s="34">
        <v>0.5</v>
      </c>
      <c r="F80" s="7"/>
      <c r="G80" s="7"/>
      <c r="H80" s="10"/>
      <c r="I80" s="10"/>
      <c r="J80" s="9"/>
    </row>
    <row r="81" spans="1:10" ht="21" customHeight="1" x14ac:dyDescent="0.25">
      <c r="A81" s="1"/>
      <c r="B81" s="31" t="s">
        <v>125</v>
      </c>
      <c r="C81" s="6"/>
      <c r="D81" s="1"/>
      <c r="E81" s="13"/>
      <c r="F81" s="7"/>
      <c r="G81" s="7"/>
      <c r="H81" s="10"/>
      <c r="I81" s="10"/>
      <c r="J81" s="10"/>
    </row>
    <row r="82" spans="1:10" ht="16.899999999999999" customHeight="1" x14ac:dyDescent="0.25">
      <c r="A82" s="6"/>
      <c r="B82" s="8" t="s">
        <v>12</v>
      </c>
      <c r="C82" s="1" t="s">
        <v>342</v>
      </c>
      <c r="D82" s="1" t="s">
        <v>4</v>
      </c>
      <c r="E82" s="13">
        <v>70</v>
      </c>
      <c r="F82" s="29"/>
      <c r="G82" s="29"/>
      <c r="H82" s="10"/>
      <c r="I82" s="10"/>
      <c r="J82" s="9"/>
    </row>
    <row r="83" spans="1:10" ht="16.899999999999999" customHeight="1" x14ac:dyDescent="0.25">
      <c r="A83" s="6"/>
      <c r="B83" s="8" t="s">
        <v>47</v>
      </c>
      <c r="C83" s="1" t="s">
        <v>343</v>
      </c>
      <c r="D83" s="1"/>
      <c r="E83" s="34">
        <v>0.5</v>
      </c>
      <c r="F83" s="7"/>
      <c r="G83" s="7"/>
      <c r="H83" s="10"/>
      <c r="I83" s="10"/>
      <c r="J83" s="9"/>
    </row>
    <row r="84" spans="1:10" ht="21" customHeight="1" x14ac:dyDescent="0.25">
      <c r="A84" s="1"/>
      <c r="B84" s="31" t="s">
        <v>126</v>
      </c>
      <c r="C84" s="6"/>
      <c r="D84" s="1"/>
      <c r="E84" s="13"/>
      <c r="F84" s="7"/>
      <c r="G84" s="7"/>
      <c r="H84" s="10"/>
      <c r="I84" s="10"/>
      <c r="J84" s="10"/>
    </row>
    <row r="85" spans="1:10" ht="16.899999999999999" customHeight="1" x14ac:dyDescent="0.25">
      <c r="A85" s="6"/>
      <c r="B85" s="8" t="s">
        <v>17</v>
      </c>
      <c r="C85" s="1" t="s">
        <v>334</v>
      </c>
      <c r="D85" s="1" t="s">
        <v>4</v>
      </c>
      <c r="E85" s="13">
        <v>100</v>
      </c>
      <c r="F85" s="29"/>
      <c r="G85" s="29"/>
      <c r="H85" s="10"/>
      <c r="I85" s="10"/>
      <c r="J85" s="9"/>
    </row>
    <row r="86" spans="1:10" ht="16.899999999999999" customHeight="1" x14ac:dyDescent="0.25">
      <c r="A86" s="6"/>
      <c r="B86" s="8" t="s">
        <v>18</v>
      </c>
      <c r="C86" s="1" t="s">
        <v>334</v>
      </c>
      <c r="D86" s="1" t="s">
        <v>4</v>
      </c>
      <c r="E86" s="13">
        <v>15</v>
      </c>
      <c r="F86" s="29"/>
      <c r="G86" s="29"/>
      <c r="H86" s="10"/>
      <c r="I86" s="10"/>
      <c r="J86" s="9"/>
    </row>
    <row r="87" spans="1:10" ht="21" customHeight="1" x14ac:dyDescent="0.25">
      <c r="A87" s="1"/>
      <c r="B87" s="31" t="s">
        <v>61</v>
      </c>
      <c r="C87" s="6"/>
      <c r="D87" s="1"/>
      <c r="E87" s="13"/>
      <c r="F87" s="7"/>
      <c r="G87" s="7"/>
      <c r="H87" s="10"/>
      <c r="I87" s="10"/>
      <c r="J87" s="10"/>
    </row>
    <row r="88" spans="1:10" ht="16.899999999999999" customHeight="1" x14ac:dyDescent="0.25">
      <c r="A88" s="6"/>
      <c r="B88" s="8" t="s">
        <v>16</v>
      </c>
      <c r="C88" s="1" t="s">
        <v>336</v>
      </c>
      <c r="D88" s="1" t="s">
        <v>2</v>
      </c>
      <c r="E88" s="13">
        <v>15</v>
      </c>
      <c r="F88" s="29"/>
      <c r="G88" s="29"/>
      <c r="H88" s="10"/>
      <c r="I88" s="10"/>
      <c r="J88" s="9"/>
    </row>
    <row r="89" spans="1:10" ht="16.899999999999999" customHeight="1" x14ac:dyDescent="0.25">
      <c r="A89" s="6"/>
      <c r="B89" s="8" t="s">
        <v>17</v>
      </c>
      <c r="C89" s="1" t="s">
        <v>336</v>
      </c>
      <c r="D89" s="1" t="s">
        <v>2</v>
      </c>
      <c r="E89" s="13">
        <v>14</v>
      </c>
      <c r="F89" s="29"/>
      <c r="G89" s="29"/>
      <c r="H89" s="10"/>
      <c r="I89" s="10"/>
      <c r="J89" s="9"/>
    </row>
    <row r="90" spans="1:10" ht="16.899999999999999" customHeight="1" x14ac:dyDescent="0.25">
      <c r="A90" s="6"/>
      <c r="B90" s="8" t="s">
        <v>18</v>
      </c>
      <c r="C90" s="1" t="s">
        <v>336</v>
      </c>
      <c r="D90" s="1" t="s">
        <v>2</v>
      </c>
      <c r="E90" s="13">
        <v>3</v>
      </c>
      <c r="F90" s="29"/>
      <c r="G90" s="29"/>
      <c r="H90" s="10"/>
      <c r="I90" s="10"/>
      <c r="J90" s="9"/>
    </row>
    <row r="91" spans="1:10" ht="21" customHeight="1" x14ac:dyDescent="0.25">
      <c r="A91" s="1"/>
      <c r="B91" s="31" t="s">
        <v>62</v>
      </c>
      <c r="C91" s="6"/>
      <c r="D91" s="1"/>
      <c r="E91" s="13"/>
      <c r="F91" s="7"/>
      <c r="G91" s="7"/>
      <c r="H91" s="10"/>
      <c r="I91" s="10"/>
      <c r="J91" s="10"/>
    </row>
    <row r="92" spans="1:10" ht="16.899999999999999" customHeight="1" x14ac:dyDescent="0.25">
      <c r="A92" s="6"/>
      <c r="B92" s="8" t="s">
        <v>13</v>
      </c>
      <c r="C92" s="1" t="s">
        <v>336</v>
      </c>
      <c r="D92" s="1" t="s">
        <v>2</v>
      </c>
      <c r="E92" s="13">
        <v>1</v>
      </c>
      <c r="F92" s="29"/>
      <c r="G92" s="29"/>
      <c r="H92" s="10"/>
      <c r="I92" s="10"/>
      <c r="J92" s="9"/>
    </row>
    <row r="93" spans="1:10" ht="21" customHeight="1" x14ac:dyDescent="0.25">
      <c r="A93" s="1"/>
      <c r="B93" s="31" t="s">
        <v>63</v>
      </c>
      <c r="C93" s="6"/>
      <c r="D93" s="1"/>
      <c r="E93" s="13"/>
      <c r="F93" s="7"/>
      <c r="G93" s="7"/>
      <c r="H93" s="10"/>
      <c r="I93" s="10"/>
      <c r="J93" s="10"/>
    </row>
    <row r="94" spans="1:10" ht="16.899999999999999" customHeight="1" x14ac:dyDescent="0.25">
      <c r="A94" s="6"/>
      <c r="B94" s="8" t="s">
        <v>17</v>
      </c>
      <c r="C94" s="1" t="s">
        <v>336</v>
      </c>
      <c r="D94" s="1" t="s">
        <v>2</v>
      </c>
      <c r="E94" s="13">
        <v>4</v>
      </c>
      <c r="F94" s="29"/>
      <c r="G94" s="29"/>
      <c r="H94" s="10"/>
      <c r="I94" s="10"/>
      <c r="J94" s="9"/>
    </row>
    <row r="95" spans="1:10" ht="16.899999999999999" customHeight="1" x14ac:dyDescent="0.25">
      <c r="A95" s="6"/>
      <c r="B95" s="8" t="s">
        <v>13</v>
      </c>
      <c r="C95" s="1" t="s">
        <v>336</v>
      </c>
      <c r="D95" s="1" t="s">
        <v>2</v>
      </c>
      <c r="E95" s="13">
        <v>1</v>
      </c>
      <c r="F95" s="29"/>
      <c r="G95" s="29"/>
      <c r="H95" s="10"/>
      <c r="I95" s="10"/>
      <c r="J95" s="9"/>
    </row>
    <row r="96" spans="1:10" ht="21" customHeight="1" x14ac:dyDescent="0.25">
      <c r="A96" s="1"/>
      <c r="B96" s="31" t="s">
        <v>64</v>
      </c>
      <c r="C96" s="6"/>
      <c r="D96" s="1"/>
      <c r="E96" s="13"/>
      <c r="F96" s="7"/>
      <c r="G96" s="7"/>
      <c r="H96" s="10"/>
      <c r="I96" s="10"/>
      <c r="J96" s="10"/>
    </row>
    <row r="97" spans="1:10" ht="16.899999999999999" customHeight="1" x14ac:dyDescent="0.25">
      <c r="A97" s="6"/>
      <c r="B97" s="8" t="s">
        <v>10</v>
      </c>
      <c r="C97" s="1" t="s">
        <v>344</v>
      </c>
      <c r="D97" s="1" t="s">
        <v>2</v>
      </c>
      <c r="E97" s="13">
        <v>3</v>
      </c>
      <c r="F97" s="29"/>
      <c r="G97" s="29"/>
      <c r="H97" s="10"/>
      <c r="I97" s="10"/>
      <c r="J97" s="9"/>
    </row>
    <row r="98" spans="1:10" ht="21" customHeight="1" x14ac:dyDescent="0.25">
      <c r="A98" s="1"/>
      <c r="B98" s="31" t="s">
        <v>65</v>
      </c>
      <c r="C98" s="6"/>
      <c r="D98" s="1"/>
      <c r="E98" s="13"/>
      <c r="F98" s="7"/>
      <c r="G98" s="7"/>
      <c r="H98" s="10"/>
      <c r="I98" s="10"/>
      <c r="J98" s="10"/>
    </row>
    <row r="99" spans="1:10" ht="16.899999999999999" customHeight="1" x14ac:dyDescent="0.25">
      <c r="A99" s="6"/>
      <c r="B99" s="8" t="s">
        <v>10</v>
      </c>
      <c r="C99" s="1" t="s">
        <v>344</v>
      </c>
      <c r="D99" s="1" t="s">
        <v>2</v>
      </c>
      <c r="E99" s="13">
        <v>5</v>
      </c>
      <c r="F99" s="29"/>
      <c r="G99" s="29"/>
      <c r="H99" s="10"/>
      <c r="I99" s="10"/>
      <c r="J99" s="9"/>
    </row>
    <row r="100" spans="1:10" ht="21" customHeight="1" x14ac:dyDescent="0.25">
      <c r="A100" s="1"/>
      <c r="B100" s="31" t="s">
        <v>129</v>
      </c>
      <c r="C100" s="6"/>
      <c r="D100" s="1"/>
      <c r="E100" s="13"/>
      <c r="F100" s="7"/>
      <c r="G100" s="7"/>
      <c r="H100" s="7"/>
      <c r="I100" s="7"/>
      <c r="J100" s="7"/>
    </row>
    <row r="101" spans="1:10" ht="16.899999999999999" customHeight="1" x14ac:dyDescent="0.25">
      <c r="A101" s="6"/>
      <c r="B101" s="8" t="s">
        <v>10</v>
      </c>
      <c r="C101" s="1" t="s">
        <v>336</v>
      </c>
      <c r="D101" s="1" t="s">
        <v>2</v>
      </c>
      <c r="E101" s="13">
        <v>1</v>
      </c>
      <c r="F101" s="29"/>
      <c r="G101" s="29"/>
      <c r="H101" s="10"/>
      <c r="I101" s="10"/>
      <c r="J101" s="9"/>
    </row>
    <row r="102" spans="1:10" ht="21" customHeight="1" x14ac:dyDescent="0.25">
      <c r="A102" s="1"/>
      <c r="B102" s="31" t="s">
        <v>66</v>
      </c>
      <c r="C102" s="6"/>
      <c r="D102" s="1"/>
      <c r="E102" s="13"/>
      <c r="F102" s="7"/>
      <c r="G102" s="7"/>
      <c r="H102" s="10"/>
      <c r="I102" s="10"/>
      <c r="J102" s="10"/>
    </row>
    <row r="103" spans="1:10" ht="16.899999999999999" customHeight="1" x14ac:dyDescent="0.25">
      <c r="A103" s="6"/>
      <c r="B103" s="8" t="s">
        <v>10</v>
      </c>
      <c r="C103" s="1" t="s">
        <v>336</v>
      </c>
      <c r="D103" s="1" t="s">
        <v>2</v>
      </c>
      <c r="E103" s="13">
        <v>1</v>
      </c>
      <c r="F103" s="29"/>
      <c r="G103" s="29"/>
      <c r="H103" s="10"/>
      <c r="I103" s="10"/>
      <c r="J103" s="9"/>
    </row>
    <row r="104" spans="1:10" ht="21" customHeight="1" x14ac:dyDescent="0.25">
      <c r="A104" s="1"/>
      <c r="B104" s="31" t="s">
        <v>67</v>
      </c>
      <c r="C104" s="6"/>
      <c r="D104" s="1"/>
      <c r="E104" s="13"/>
      <c r="F104" s="7"/>
      <c r="G104" s="7"/>
      <c r="H104" s="10"/>
      <c r="I104" s="10"/>
      <c r="J104" s="10"/>
    </row>
    <row r="105" spans="1:10" ht="16.899999999999999" customHeight="1" x14ac:dyDescent="0.25">
      <c r="A105" s="6"/>
      <c r="B105" s="8" t="s">
        <v>12</v>
      </c>
      <c r="C105" s="1" t="s">
        <v>336</v>
      </c>
      <c r="D105" s="1" t="s">
        <v>2</v>
      </c>
      <c r="E105" s="13">
        <v>1</v>
      </c>
      <c r="F105" s="29"/>
      <c r="G105" s="29"/>
      <c r="H105" s="10"/>
      <c r="I105" s="10"/>
      <c r="J105" s="9"/>
    </row>
    <row r="106" spans="1:10" ht="21" customHeight="1" x14ac:dyDescent="0.25">
      <c r="A106" s="1"/>
      <c r="B106" s="31" t="s">
        <v>82</v>
      </c>
      <c r="C106" s="6"/>
      <c r="D106" s="1"/>
      <c r="E106" s="13"/>
      <c r="F106" s="7"/>
      <c r="G106" s="7"/>
      <c r="H106" s="7"/>
      <c r="I106" s="7"/>
      <c r="J106" s="7"/>
    </row>
    <row r="107" spans="1:10" ht="16.899999999999999" customHeight="1" x14ac:dyDescent="0.25">
      <c r="A107" s="6"/>
      <c r="B107" s="8" t="s">
        <v>83</v>
      </c>
      <c r="C107" s="1" t="s">
        <v>345</v>
      </c>
      <c r="D107" s="1" t="s">
        <v>23</v>
      </c>
      <c r="E107" s="13">
        <v>1000</v>
      </c>
      <c r="F107" s="29"/>
      <c r="G107" s="29"/>
      <c r="H107" s="10"/>
      <c r="I107" s="10"/>
      <c r="J107" s="9"/>
    </row>
    <row r="108" spans="1:10" ht="21" customHeight="1" x14ac:dyDescent="0.25">
      <c r="A108" s="1"/>
      <c r="B108" s="31" t="s">
        <v>84</v>
      </c>
      <c r="C108" s="1"/>
      <c r="D108" s="1"/>
      <c r="E108" s="13"/>
      <c r="F108" s="7"/>
      <c r="G108" s="7"/>
      <c r="H108" s="7"/>
      <c r="I108" s="7"/>
      <c r="J108" s="7"/>
    </row>
    <row r="109" spans="1:10" ht="16.899999999999999" customHeight="1" x14ac:dyDescent="0.25">
      <c r="A109" s="6"/>
      <c r="B109" s="8" t="s">
        <v>85</v>
      </c>
      <c r="C109" s="1" t="s">
        <v>321</v>
      </c>
      <c r="D109" s="1" t="s">
        <v>42</v>
      </c>
      <c r="E109" s="13">
        <v>1</v>
      </c>
      <c r="F109" s="29"/>
      <c r="G109" s="29"/>
      <c r="H109" s="10"/>
      <c r="I109" s="10"/>
      <c r="J109" s="9"/>
    </row>
    <row r="110" spans="1:10" ht="23.25" x14ac:dyDescent="0.25">
      <c r="A110" s="30">
        <v>2</v>
      </c>
      <c r="B110" s="66" t="s">
        <v>43</v>
      </c>
      <c r="C110" s="67"/>
      <c r="D110" s="67"/>
      <c r="E110" s="67"/>
      <c r="F110" s="67"/>
      <c r="G110" s="68"/>
      <c r="H110" s="20">
        <f t="shared" ref="H110:I110" si="0">SUM(H111:H153)</f>
        <v>0</v>
      </c>
      <c r="I110" s="20">
        <f t="shared" si="0"/>
        <v>0</v>
      </c>
      <c r="J110" s="20">
        <f>SUM(J111:J153)</f>
        <v>0</v>
      </c>
    </row>
    <row r="111" spans="1:10" ht="21" customHeight="1" x14ac:dyDescent="0.25">
      <c r="A111" s="1"/>
      <c r="B111" s="31" t="s">
        <v>95</v>
      </c>
      <c r="C111" s="6"/>
      <c r="D111" s="1"/>
      <c r="E111" s="13"/>
      <c r="F111" s="7"/>
      <c r="G111" s="7"/>
      <c r="H111" s="10"/>
      <c r="I111" s="10"/>
      <c r="J111" s="10"/>
    </row>
    <row r="112" spans="1:10" ht="16.899999999999999" customHeight="1" x14ac:dyDescent="0.25">
      <c r="A112" s="6"/>
      <c r="B112" s="8" t="s">
        <v>167</v>
      </c>
      <c r="C112" s="1" t="s">
        <v>332</v>
      </c>
      <c r="D112" s="1" t="s">
        <v>2</v>
      </c>
      <c r="E112" s="13">
        <v>1</v>
      </c>
      <c r="F112" s="29"/>
      <c r="G112" s="29"/>
      <c r="H112" s="10"/>
      <c r="I112" s="10"/>
      <c r="J112" s="9"/>
    </row>
    <row r="113" spans="1:10" ht="21" customHeight="1" x14ac:dyDescent="0.25">
      <c r="A113" s="1"/>
      <c r="B113" s="31" t="s">
        <v>97</v>
      </c>
      <c r="C113" s="6"/>
      <c r="D113" s="1"/>
      <c r="E113" s="13"/>
      <c r="F113" s="7"/>
      <c r="G113" s="7"/>
      <c r="H113" s="10"/>
      <c r="I113" s="10"/>
      <c r="J113" s="10"/>
    </row>
    <row r="114" spans="1:10" ht="16.899999999999999" customHeight="1" x14ac:dyDescent="0.25">
      <c r="A114" s="6"/>
      <c r="B114" s="8" t="s">
        <v>14</v>
      </c>
      <c r="C114" s="1" t="s">
        <v>342</v>
      </c>
      <c r="D114" s="1" t="s">
        <v>4</v>
      </c>
      <c r="E114" s="13">
        <v>96</v>
      </c>
      <c r="F114" s="29"/>
      <c r="G114" s="29"/>
      <c r="H114" s="10"/>
      <c r="I114" s="10"/>
      <c r="J114" s="9"/>
    </row>
    <row r="115" spans="1:10" ht="16.899999999999999" customHeight="1" x14ac:dyDescent="0.25">
      <c r="A115" s="6"/>
      <c r="B115" s="8" t="s">
        <v>21</v>
      </c>
      <c r="C115" s="1" t="s">
        <v>342</v>
      </c>
      <c r="D115" s="1" t="s">
        <v>4</v>
      </c>
      <c r="E115" s="13">
        <v>18</v>
      </c>
      <c r="F115" s="29"/>
      <c r="G115" s="29"/>
      <c r="H115" s="10"/>
      <c r="I115" s="10"/>
      <c r="J115" s="9"/>
    </row>
    <row r="116" spans="1:10" ht="16.899999999999999" customHeight="1" x14ac:dyDescent="0.25">
      <c r="A116" s="6"/>
      <c r="B116" s="8" t="s">
        <v>47</v>
      </c>
      <c r="C116" s="1" t="s">
        <v>343</v>
      </c>
      <c r="D116" s="1"/>
      <c r="E116" s="34">
        <v>0.5</v>
      </c>
      <c r="F116" s="7"/>
      <c r="G116" s="7"/>
      <c r="H116" s="10"/>
      <c r="I116" s="10"/>
      <c r="J116" s="9"/>
    </row>
    <row r="117" spans="1:10" ht="21" customHeight="1" x14ac:dyDescent="0.25">
      <c r="A117" s="1"/>
      <c r="B117" s="5" t="s">
        <v>93</v>
      </c>
      <c r="C117" s="6"/>
      <c r="D117" s="1"/>
      <c r="E117" s="13"/>
      <c r="F117" s="7"/>
      <c r="G117" s="7"/>
      <c r="H117" s="10"/>
      <c r="I117" s="10"/>
      <c r="J117" s="10"/>
    </row>
    <row r="118" spans="1:10" ht="16.899999999999999" customHeight="1" x14ac:dyDescent="0.25">
      <c r="A118" s="6"/>
      <c r="B118" s="8" t="s">
        <v>94</v>
      </c>
      <c r="C118" s="1" t="s">
        <v>346</v>
      </c>
      <c r="D118" s="1" t="s">
        <v>2</v>
      </c>
      <c r="E118" s="13">
        <v>9</v>
      </c>
      <c r="F118" s="29"/>
      <c r="G118" s="29"/>
      <c r="H118" s="10"/>
      <c r="I118" s="10"/>
      <c r="J118" s="9"/>
    </row>
    <row r="119" spans="1:10" ht="21" customHeight="1" x14ac:dyDescent="0.25">
      <c r="A119" s="1"/>
      <c r="B119" s="31" t="s">
        <v>90</v>
      </c>
      <c r="C119" s="6"/>
      <c r="D119" s="1"/>
      <c r="E119" s="13"/>
      <c r="F119" s="7"/>
      <c r="G119" s="7"/>
      <c r="H119" s="10"/>
      <c r="I119" s="10"/>
      <c r="J119" s="10"/>
    </row>
    <row r="120" spans="1:10" ht="16.899999999999999" customHeight="1" x14ac:dyDescent="0.25">
      <c r="A120" s="6"/>
      <c r="B120" s="8" t="s">
        <v>25</v>
      </c>
      <c r="C120" s="1" t="s">
        <v>342</v>
      </c>
      <c r="D120" s="1" t="s">
        <v>4</v>
      </c>
      <c r="E120" s="13">
        <v>600</v>
      </c>
      <c r="F120" s="29"/>
      <c r="G120" s="29"/>
      <c r="H120" s="10"/>
      <c r="I120" s="10"/>
      <c r="J120" s="9"/>
    </row>
    <row r="121" spans="1:10" ht="16.899999999999999" customHeight="1" x14ac:dyDescent="0.25">
      <c r="A121" s="6"/>
      <c r="B121" s="8" t="s">
        <v>12</v>
      </c>
      <c r="C121" s="1" t="s">
        <v>342</v>
      </c>
      <c r="D121" s="1" t="s">
        <v>4</v>
      </c>
      <c r="E121" s="13">
        <v>130</v>
      </c>
      <c r="F121" s="29"/>
      <c r="G121" s="29"/>
      <c r="H121" s="10"/>
      <c r="I121" s="10"/>
      <c r="J121" s="9"/>
    </row>
    <row r="122" spans="1:10" ht="16.899999999999999" customHeight="1" x14ac:dyDescent="0.25">
      <c r="A122" s="6"/>
      <c r="B122" s="8" t="s">
        <v>13</v>
      </c>
      <c r="C122" s="1" t="s">
        <v>342</v>
      </c>
      <c r="D122" s="1" t="s">
        <v>4</v>
      </c>
      <c r="E122" s="13">
        <v>78</v>
      </c>
      <c r="F122" s="29"/>
      <c r="G122" s="29"/>
      <c r="H122" s="10"/>
      <c r="I122" s="10"/>
      <c r="J122" s="9"/>
    </row>
    <row r="123" spans="1:10" ht="16.899999999999999" customHeight="1" x14ac:dyDescent="0.25">
      <c r="A123" s="6"/>
      <c r="B123" s="8" t="s">
        <v>14</v>
      </c>
      <c r="C123" s="1" t="s">
        <v>342</v>
      </c>
      <c r="D123" s="1" t="s">
        <v>4</v>
      </c>
      <c r="E123" s="13">
        <v>60</v>
      </c>
      <c r="F123" s="29"/>
      <c r="G123" s="29"/>
      <c r="H123" s="10"/>
      <c r="I123" s="10"/>
      <c r="J123" s="9"/>
    </row>
    <row r="124" spans="1:10" ht="16.899999999999999" customHeight="1" x14ac:dyDescent="0.25">
      <c r="A124" s="6"/>
      <c r="B124" s="8" t="s">
        <v>22</v>
      </c>
      <c r="C124" s="1" t="s">
        <v>342</v>
      </c>
      <c r="D124" s="1" t="s">
        <v>4</v>
      </c>
      <c r="E124" s="13">
        <v>40</v>
      </c>
      <c r="F124" s="29"/>
      <c r="G124" s="29"/>
      <c r="H124" s="10"/>
      <c r="I124" s="10"/>
      <c r="J124" s="9"/>
    </row>
    <row r="125" spans="1:10" ht="16.899999999999999" customHeight="1" x14ac:dyDescent="0.25">
      <c r="A125" s="6"/>
      <c r="B125" s="8" t="s">
        <v>21</v>
      </c>
      <c r="C125" s="1" t="s">
        <v>342</v>
      </c>
      <c r="D125" s="1" t="s">
        <v>4</v>
      </c>
      <c r="E125" s="13">
        <v>18</v>
      </c>
      <c r="F125" s="29"/>
      <c r="G125" s="29"/>
      <c r="H125" s="10"/>
      <c r="I125" s="10"/>
      <c r="J125" s="9"/>
    </row>
    <row r="126" spans="1:10" ht="16.899999999999999" customHeight="1" x14ac:dyDescent="0.25">
      <c r="A126" s="6"/>
      <c r="B126" s="8" t="s">
        <v>57</v>
      </c>
      <c r="C126" s="1" t="s">
        <v>342</v>
      </c>
      <c r="D126" s="1" t="s">
        <v>4</v>
      </c>
      <c r="E126" s="13">
        <v>15</v>
      </c>
      <c r="F126" s="29"/>
      <c r="G126" s="29"/>
      <c r="H126" s="10"/>
      <c r="I126" s="10"/>
      <c r="J126" s="9"/>
    </row>
    <row r="127" spans="1:10" ht="16.899999999999999" customHeight="1" x14ac:dyDescent="0.25">
      <c r="A127" s="6"/>
      <c r="B127" s="8" t="s">
        <v>47</v>
      </c>
      <c r="C127" s="1" t="s">
        <v>343</v>
      </c>
      <c r="D127" s="1"/>
      <c r="E127" s="34">
        <v>0.5</v>
      </c>
      <c r="F127" s="7"/>
      <c r="G127" s="7"/>
      <c r="H127" s="10"/>
      <c r="I127" s="10"/>
      <c r="J127" s="9"/>
    </row>
    <row r="128" spans="1:10" ht="21" customHeight="1" x14ac:dyDescent="0.25">
      <c r="A128" s="1"/>
      <c r="B128" s="5" t="s">
        <v>91</v>
      </c>
      <c r="C128" s="6"/>
      <c r="D128" s="1"/>
      <c r="E128" s="13"/>
      <c r="F128" s="7"/>
      <c r="G128" s="7"/>
      <c r="H128" s="10"/>
      <c r="I128" s="10"/>
      <c r="J128" s="10"/>
    </row>
    <row r="129" spans="1:10" ht="16.899999999999999" customHeight="1" x14ac:dyDescent="0.25">
      <c r="A129" s="6"/>
      <c r="B129" s="8" t="s">
        <v>159</v>
      </c>
      <c r="C129" s="1" t="s">
        <v>347</v>
      </c>
      <c r="D129" s="1" t="s">
        <v>4</v>
      </c>
      <c r="E129" s="13">
        <v>868</v>
      </c>
      <c r="F129" s="29"/>
      <c r="G129" s="29"/>
      <c r="H129" s="10"/>
      <c r="I129" s="10"/>
      <c r="J129" s="9"/>
    </row>
    <row r="130" spans="1:10" ht="16.899999999999999" customHeight="1" x14ac:dyDescent="0.25">
      <c r="A130" s="6"/>
      <c r="B130" s="8" t="s">
        <v>160</v>
      </c>
      <c r="C130" s="1" t="s">
        <v>347</v>
      </c>
      <c r="D130" s="1" t="s">
        <v>4</v>
      </c>
      <c r="E130" s="13">
        <v>73</v>
      </c>
      <c r="F130" s="29"/>
      <c r="G130" s="29"/>
      <c r="H130" s="10"/>
      <c r="I130" s="10"/>
      <c r="J130" s="9"/>
    </row>
    <row r="131" spans="1:10" ht="21" customHeight="1" x14ac:dyDescent="0.25">
      <c r="A131" s="1"/>
      <c r="B131" s="5" t="s">
        <v>92</v>
      </c>
      <c r="C131" s="6"/>
      <c r="D131" s="1"/>
      <c r="E131" s="13"/>
      <c r="F131" s="7"/>
      <c r="G131" s="7"/>
      <c r="H131" s="10"/>
      <c r="I131" s="10"/>
      <c r="J131" s="10"/>
    </row>
    <row r="132" spans="1:10" ht="16.899999999999999" customHeight="1" x14ac:dyDescent="0.25">
      <c r="A132" s="6"/>
      <c r="B132" s="8" t="s">
        <v>159</v>
      </c>
      <c r="C132" s="1" t="s">
        <v>347</v>
      </c>
      <c r="D132" s="1" t="s">
        <v>4</v>
      </c>
      <c r="E132" s="13">
        <v>868</v>
      </c>
      <c r="F132" s="29"/>
      <c r="G132" s="29"/>
      <c r="H132" s="10"/>
      <c r="I132" s="10"/>
      <c r="J132" s="9"/>
    </row>
    <row r="133" spans="1:10" ht="16.899999999999999" customHeight="1" x14ac:dyDescent="0.25">
      <c r="A133" s="6"/>
      <c r="B133" s="8" t="s">
        <v>160</v>
      </c>
      <c r="C133" s="1" t="s">
        <v>347</v>
      </c>
      <c r="D133" s="1" t="s">
        <v>4</v>
      </c>
      <c r="E133" s="13">
        <v>73</v>
      </c>
      <c r="F133" s="29"/>
      <c r="G133" s="29"/>
      <c r="H133" s="10"/>
      <c r="I133" s="10"/>
      <c r="J133" s="9"/>
    </row>
    <row r="134" spans="1:10" ht="21" customHeight="1" x14ac:dyDescent="0.25">
      <c r="A134" s="1"/>
      <c r="B134" s="31" t="s">
        <v>98</v>
      </c>
      <c r="C134" s="6"/>
      <c r="D134" s="1"/>
      <c r="E134" s="13"/>
      <c r="F134" s="7"/>
      <c r="G134" s="7"/>
      <c r="H134" s="10"/>
      <c r="I134" s="10"/>
      <c r="J134" s="10"/>
    </row>
    <row r="135" spans="1:10" ht="16.899999999999999" customHeight="1" x14ac:dyDescent="0.25">
      <c r="A135" s="6"/>
      <c r="B135" s="8" t="s">
        <v>99</v>
      </c>
      <c r="C135" s="1" t="s">
        <v>336</v>
      </c>
      <c r="D135" s="1" t="s">
        <v>2</v>
      </c>
      <c r="E135" s="13">
        <v>56</v>
      </c>
      <c r="F135" s="29"/>
      <c r="G135" s="29"/>
      <c r="H135" s="10"/>
      <c r="I135" s="10"/>
      <c r="J135" s="9"/>
    </row>
    <row r="136" spans="1:10" ht="16.899999999999999" customHeight="1" x14ac:dyDescent="0.25">
      <c r="A136" s="6"/>
      <c r="B136" s="8" t="s">
        <v>109</v>
      </c>
      <c r="C136" s="1" t="s">
        <v>336</v>
      </c>
      <c r="D136" s="1" t="s">
        <v>2</v>
      </c>
      <c r="E136" s="13">
        <v>88</v>
      </c>
      <c r="F136" s="29"/>
      <c r="G136" s="29"/>
      <c r="H136" s="10"/>
      <c r="I136" s="10"/>
      <c r="J136" s="9"/>
    </row>
    <row r="137" spans="1:10" ht="16.899999999999999" customHeight="1" x14ac:dyDescent="0.25">
      <c r="A137" s="6"/>
      <c r="B137" s="8" t="s">
        <v>101</v>
      </c>
      <c r="C137" s="1" t="s">
        <v>348</v>
      </c>
      <c r="D137" s="1" t="s">
        <v>2</v>
      </c>
      <c r="E137" s="13">
        <v>56</v>
      </c>
      <c r="F137" s="29"/>
      <c r="G137" s="29"/>
      <c r="H137" s="10"/>
      <c r="I137" s="10"/>
      <c r="J137" s="9"/>
    </row>
    <row r="138" spans="1:10" ht="21" customHeight="1" x14ac:dyDescent="0.25">
      <c r="A138" s="1"/>
      <c r="B138" s="5" t="s">
        <v>102</v>
      </c>
      <c r="C138" s="6"/>
      <c r="D138" s="1"/>
      <c r="E138" s="13"/>
      <c r="F138" s="7"/>
      <c r="G138" s="7"/>
      <c r="H138" s="10"/>
      <c r="I138" s="10"/>
      <c r="J138" s="10"/>
    </row>
    <row r="139" spans="1:10" ht="16.899999999999999" customHeight="1" x14ac:dyDescent="0.25">
      <c r="A139" s="6"/>
      <c r="B139" s="8" t="s">
        <v>22</v>
      </c>
      <c r="C139" s="1" t="s">
        <v>336</v>
      </c>
      <c r="D139" s="1" t="s">
        <v>2</v>
      </c>
      <c r="E139" s="13">
        <v>1</v>
      </c>
      <c r="F139" s="29"/>
      <c r="G139" s="29"/>
      <c r="H139" s="10"/>
      <c r="I139" s="10"/>
      <c r="J139" s="9"/>
    </row>
    <row r="140" spans="1:10" ht="16.899999999999999" customHeight="1" x14ac:dyDescent="0.25">
      <c r="A140" s="6"/>
      <c r="B140" s="8" t="s">
        <v>21</v>
      </c>
      <c r="C140" s="1" t="s">
        <v>336</v>
      </c>
      <c r="D140" s="1" t="s">
        <v>2</v>
      </c>
      <c r="E140" s="13">
        <v>4</v>
      </c>
      <c r="F140" s="29"/>
      <c r="G140" s="29"/>
      <c r="H140" s="10"/>
      <c r="I140" s="10"/>
      <c r="J140" s="9"/>
    </row>
    <row r="141" spans="1:10" ht="21" customHeight="1" x14ac:dyDescent="0.25">
      <c r="A141" s="1"/>
      <c r="B141" s="5" t="s">
        <v>106</v>
      </c>
      <c r="C141" s="6"/>
      <c r="D141" s="1"/>
      <c r="E141" s="13"/>
      <c r="F141" s="7"/>
      <c r="G141" s="7"/>
      <c r="H141" s="10"/>
      <c r="I141" s="10"/>
      <c r="J141" s="10"/>
    </row>
    <row r="142" spans="1:10" ht="16.899999999999999" customHeight="1" x14ac:dyDescent="0.25">
      <c r="A142" s="6"/>
      <c r="B142" s="8" t="s">
        <v>22</v>
      </c>
      <c r="C142" s="1" t="s">
        <v>336</v>
      </c>
      <c r="D142" s="1" t="s">
        <v>2</v>
      </c>
      <c r="E142" s="13">
        <v>1</v>
      </c>
      <c r="F142" s="29"/>
      <c r="G142" s="29"/>
      <c r="H142" s="10"/>
      <c r="I142" s="10"/>
      <c r="J142" s="9"/>
    </row>
    <row r="143" spans="1:10" ht="16.899999999999999" customHeight="1" x14ac:dyDescent="0.25">
      <c r="A143" s="6"/>
      <c r="B143" s="8" t="s">
        <v>21</v>
      </c>
      <c r="C143" s="1" t="s">
        <v>336</v>
      </c>
      <c r="D143" s="1" t="s">
        <v>2</v>
      </c>
      <c r="E143" s="13">
        <v>4</v>
      </c>
      <c r="F143" s="29"/>
      <c r="G143" s="29"/>
      <c r="H143" s="10"/>
      <c r="I143" s="10"/>
      <c r="J143" s="9"/>
    </row>
    <row r="144" spans="1:10" ht="21" customHeight="1" x14ac:dyDescent="0.25">
      <c r="A144" s="1"/>
      <c r="B144" s="5" t="s">
        <v>103</v>
      </c>
      <c r="C144" s="1"/>
      <c r="D144" s="1"/>
      <c r="E144" s="13"/>
      <c r="F144" s="7"/>
      <c r="G144" s="7"/>
      <c r="H144" s="10"/>
      <c r="I144" s="10"/>
      <c r="J144" s="10"/>
    </row>
    <row r="145" spans="1:10" ht="16.899999999999999" customHeight="1" x14ac:dyDescent="0.25">
      <c r="A145" s="6"/>
      <c r="B145" s="8" t="s">
        <v>25</v>
      </c>
      <c r="C145" s="1" t="s">
        <v>336</v>
      </c>
      <c r="D145" s="1" t="s">
        <v>2</v>
      </c>
      <c r="E145" s="13">
        <v>5</v>
      </c>
      <c r="F145" s="29"/>
      <c r="G145" s="29"/>
      <c r="H145" s="10"/>
      <c r="I145" s="10"/>
      <c r="J145" s="9"/>
    </row>
    <row r="146" spans="1:10" ht="21" customHeight="1" x14ac:dyDescent="0.25">
      <c r="A146" s="1"/>
      <c r="B146" s="31" t="s">
        <v>61</v>
      </c>
      <c r="C146" s="1"/>
      <c r="D146" s="1"/>
      <c r="E146" s="13"/>
      <c r="F146" s="7"/>
      <c r="G146" s="7"/>
      <c r="H146" s="10"/>
      <c r="I146" s="10"/>
      <c r="J146" s="10"/>
    </row>
    <row r="147" spans="1:10" ht="16.899999999999999" customHeight="1" x14ac:dyDescent="0.25">
      <c r="A147" s="6"/>
      <c r="B147" s="8" t="s">
        <v>16</v>
      </c>
      <c r="C147" s="1" t="s">
        <v>336</v>
      </c>
      <c r="D147" s="1" t="s">
        <v>2</v>
      </c>
      <c r="E147" s="13">
        <v>5</v>
      </c>
      <c r="F147" s="29"/>
      <c r="G147" s="29"/>
      <c r="H147" s="10"/>
      <c r="I147" s="10"/>
      <c r="J147" s="9"/>
    </row>
    <row r="148" spans="1:10" ht="21" customHeight="1" x14ac:dyDescent="0.25">
      <c r="A148" s="1"/>
      <c r="B148" s="31" t="s">
        <v>65</v>
      </c>
      <c r="C148" s="1"/>
      <c r="D148" s="1"/>
      <c r="E148" s="13"/>
      <c r="F148" s="7"/>
      <c r="G148" s="7"/>
      <c r="H148" s="7"/>
      <c r="I148" s="7"/>
      <c r="J148" s="7"/>
    </row>
    <row r="149" spans="1:10" ht="16.899999999999999" customHeight="1" x14ac:dyDescent="0.25">
      <c r="A149" s="6"/>
      <c r="B149" s="8" t="s">
        <v>10</v>
      </c>
      <c r="C149" s="1" t="s">
        <v>344</v>
      </c>
      <c r="D149" s="1" t="s">
        <v>2</v>
      </c>
      <c r="E149" s="13">
        <v>5</v>
      </c>
      <c r="F149" s="29"/>
      <c r="G149" s="29"/>
      <c r="H149" s="10"/>
      <c r="I149" s="10"/>
      <c r="J149" s="9"/>
    </row>
    <row r="150" spans="1:10" ht="21" customHeight="1" x14ac:dyDescent="0.25">
      <c r="A150" s="1"/>
      <c r="B150" s="31" t="s">
        <v>82</v>
      </c>
      <c r="C150" s="1"/>
      <c r="D150" s="1"/>
      <c r="E150" s="13"/>
      <c r="F150" s="7"/>
      <c r="G150" s="7"/>
      <c r="H150" s="7"/>
      <c r="I150" s="7"/>
      <c r="J150" s="7"/>
    </row>
    <row r="151" spans="1:10" ht="16.899999999999999" customHeight="1" x14ac:dyDescent="0.25">
      <c r="A151" s="6"/>
      <c r="B151" s="8" t="s">
        <v>83</v>
      </c>
      <c r="C151" s="1" t="s">
        <v>345</v>
      </c>
      <c r="D151" s="1" t="s">
        <v>23</v>
      </c>
      <c r="E151" s="13">
        <v>1000</v>
      </c>
      <c r="F151" s="29"/>
      <c r="G151" s="29"/>
      <c r="H151" s="10"/>
      <c r="I151" s="10"/>
      <c r="J151" s="9"/>
    </row>
    <row r="152" spans="1:10" ht="21" customHeight="1" x14ac:dyDescent="0.25">
      <c r="A152" s="1"/>
      <c r="B152" s="31" t="s">
        <v>84</v>
      </c>
      <c r="C152" s="1"/>
      <c r="D152" s="1"/>
      <c r="E152" s="13"/>
      <c r="F152" s="7"/>
      <c r="G152" s="7"/>
      <c r="H152" s="7"/>
      <c r="I152" s="7"/>
      <c r="J152" s="7"/>
    </row>
    <row r="153" spans="1:10" ht="16.899999999999999" customHeight="1" x14ac:dyDescent="0.25">
      <c r="A153" s="6"/>
      <c r="B153" s="8" t="s">
        <v>85</v>
      </c>
      <c r="C153" s="1" t="s">
        <v>321</v>
      </c>
      <c r="D153" s="1" t="s">
        <v>42</v>
      </c>
      <c r="E153" s="13">
        <v>1</v>
      </c>
      <c r="F153" s="29"/>
      <c r="G153" s="29"/>
      <c r="H153" s="10"/>
      <c r="I153" s="10"/>
      <c r="J153" s="9"/>
    </row>
    <row r="154" spans="1:10" ht="23.25" x14ac:dyDescent="0.25">
      <c r="A154" s="30">
        <v>3</v>
      </c>
      <c r="B154" s="66" t="s">
        <v>44</v>
      </c>
      <c r="C154" s="67"/>
      <c r="D154" s="67"/>
      <c r="E154" s="67"/>
      <c r="F154" s="67"/>
      <c r="G154" s="68"/>
      <c r="H154" s="20">
        <f>SUM(H155:H172)</f>
        <v>0</v>
      </c>
      <c r="I154" s="20">
        <f t="shared" ref="I154" si="1">SUM(I155:I172)</f>
        <v>0</v>
      </c>
      <c r="J154" s="20">
        <f>SUM(J155:J172)</f>
        <v>0</v>
      </c>
    </row>
    <row r="155" spans="1:10" ht="21" customHeight="1" x14ac:dyDescent="0.25">
      <c r="A155" s="1"/>
      <c r="B155" s="31" t="s">
        <v>110</v>
      </c>
      <c r="C155" s="6"/>
      <c r="D155" s="1"/>
      <c r="E155" s="13"/>
      <c r="F155" s="7"/>
      <c r="G155" s="7"/>
      <c r="H155" s="10"/>
      <c r="I155" s="10"/>
      <c r="J155" s="10"/>
    </row>
    <row r="156" spans="1:10" ht="16.899999999999999" customHeight="1" x14ac:dyDescent="0.25">
      <c r="A156" s="6"/>
      <c r="B156" s="8" t="s">
        <v>111</v>
      </c>
      <c r="C156" s="1" t="s">
        <v>350</v>
      </c>
      <c r="D156" s="1" t="s">
        <v>42</v>
      </c>
      <c r="E156" s="13">
        <v>1</v>
      </c>
      <c r="F156" s="29"/>
      <c r="G156" s="29"/>
      <c r="H156" s="10"/>
      <c r="I156" s="10"/>
      <c r="J156" s="9"/>
    </row>
    <row r="157" spans="1:10" ht="16.899999999999999" customHeight="1" x14ac:dyDescent="0.25">
      <c r="A157" s="6"/>
      <c r="B157" s="8" t="s">
        <v>112</v>
      </c>
      <c r="C157" s="1" t="s">
        <v>350</v>
      </c>
      <c r="D157" s="1" t="s">
        <v>42</v>
      </c>
      <c r="E157" s="13">
        <v>1</v>
      </c>
      <c r="F157" s="29"/>
      <c r="G157" s="29"/>
      <c r="H157" s="10"/>
      <c r="I157" s="10"/>
      <c r="J157" s="9"/>
    </row>
    <row r="158" spans="1:10" ht="21" customHeight="1" x14ac:dyDescent="0.25">
      <c r="A158" s="1"/>
      <c r="B158" s="31" t="s">
        <v>113</v>
      </c>
      <c r="C158" s="6"/>
      <c r="D158" s="1"/>
      <c r="E158" s="13"/>
      <c r="F158" s="7"/>
      <c r="G158" s="7"/>
      <c r="H158" s="10"/>
      <c r="I158" s="10"/>
      <c r="J158" s="10"/>
    </row>
    <row r="159" spans="1:10" ht="16.899999999999999" customHeight="1" x14ac:dyDescent="0.25">
      <c r="A159" s="6"/>
      <c r="B159" s="8" t="s">
        <v>114</v>
      </c>
      <c r="C159" s="1" t="s">
        <v>351</v>
      </c>
      <c r="D159" s="1" t="s">
        <v>23</v>
      </c>
      <c r="E159" s="13">
        <v>600</v>
      </c>
      <c r="F159" s="29"/>
      <c r="G159" s="29"/>
      <c r="H159" s="10"/>
      <c r="I159" s="10"/>
      <c r="J159" s="9"/>
    </row>
    <row r="160" spans="1:10" ht="16.899999999999999" customHeight="1" x14ac:dyDescent="0.25">
      <c r="A160" s="6"/>
      <c r="B160" s="8" t="s">
        <v>47</v>
      </c>
      <c r="C160" s="1" t="s">
        <v>351</v>
      </c>
      <c r="D160" s="1"/>
      <c r="E160" s="34">
        <v>0.5</v>
      </c>
      <c r="F160" s="13"/>
      <c r="G160" s="7"/>
      <c r="H160" s="10"/>
      <c r="I160" s="10"/>
      <c r="J160" s="9"/>
    </row>
    <row r="161" spans="1:10" ht="21" customHeight="1" x14ac:dyDescent="0.25">
      <c r="A161" s="1"/>
      <c r="B161" s="31" t="s">
        <v>115</v>
      </c>
      <c r="C161" s="6"/>
      <c r="D161" s="1"/>
      <c r="E161" s="13"/>
      <c r="F161" s="7"/>
      <c r="G161" s="7"/>
      <c r="H161" s="10"/>
      <c r="I161" s="10"/>
      <c r="J161" s="10"/>
    </row>
    <row r="162" spans="1:10" ht="16.899999999999999" customHeight="1" x14ac:dyDescent="0.25">
      <c r="A162" s="6"/>
      <c r="B162" s="8" t="s">
        <v>116</v>
      </c>
      <c r="C162" s="1" t="s">
        <v>334</v>
      </c>
      <c r="D162" s="1" t="s">
        <v>24</v>
      </c>
      <c r="E162" s="13">
        <v>100</v>
      </c>
      <c r="F162" s="29"/>
      <c r="G162" s="29"/>
      <c r="H162" s="10"/>
      <c r="I162" s="10"/>
      <c r="J162" s="9"/>
    </row>
    <row r="163" spans="1:10" ht="21" customHeight="1" x14ac:dyDescent="0.25">
      <c r="A163" s="1"/>
      <c r="B163" s="31" t="s">
        <v>117</v>
      </c>
      <c r="C163" s="11"/>
      <c r="D163" s="13"/>
      <c r="E163" s="13"/>
      <c r="F163" s="7"/>
      <c r="G163" s="7"/>
      <c r="H163" s="10"/>
      <c r="I163" s="10"/>
      <c r="J163" s="10"/>
    </row>
    <row r="164" spans="1:10" ht="16.899999999999999" customHeight="1" x14ac:dyDescent="0.25">
      <c r="A164" s="6"/>
      <c r="B164" s="32" t="s">
        <v>118</v>
      </c>
      <c r="C164" s="13" t="s">
        <v>352</v>
      </c>
      <c r="D164" s="13" t="s">
        <v>4</v>
      </c>
      <c r="E164" s="13">
        <v>176</v>
      </c>
      <c r="F164" s="29"/>
      <c r="G164" s="29"/>
      <c r="H164" s="10"/>
      <c r="I164" s="10"/>
      <c r="J164" s="9"/>
    </row>
    <row r="165" spans="1:10" ht="21" customHeight="1" x14ac:dyDescent="0.25">
      <c r="A165" s="1"/>
      <c r="B165" s="31" t="s">
        <v>119</v>
      </c>
      <c r="C165" s="6"/>
      <c r="D165" s="1"/>
      <c r="E165" s="13"/>
      <c r="F165" s="7"/>
      <c r="G165" s="7"/>
      <c r="H165" s="10"/>
      <c r="I165" s="10"/>
      <c r="J165" s="10"/>
    </row>
    <row r="166" spans="1:10" ht="16.899999999999999" customHeight="1" x14ac:dyDescent="0.25">
      <c r="A166" s="6"/>
      <c r="B166" s="8" t="s">
        <v>121</v>
      </c>
      <c r="C166" s="1" t="s">
        <v>353</v>
      </c>
      <c r="D166" s="1" t="s">
        <v>2</v>
      </c>
      <c r="E166" s="13">
        <v>44</v>
      </c>
      <c r="F166" s="29"/>
      <c r="G166" s="29"/>
      <c r="H166" s="10"/>
      <c r="I166" s="10"/>
      <c r="J166" s="9"/>
    </row>
    <row r="167" spans="1:10" ht="16.899999999999999" customHeight="1" x14ac:dyDescent="0.25">
      <c r="A167" s="6"/>
      <c r="B167" s="8" t="s">
        <v>122</v>
      </c>
      <c r="C167" s="1" t="s">
        <v>353</v>
      </c>
      <c r="D167" s="1" t="s">
        <v>2</v>
      </c>
      <c r="E167" s="13">
        <v>22</v>
      </c>
      <c r="F167" s="29"/>
      <c r="G167" s="29"/>
      <c r="H167" s="10"/>
      <c r="I167" s="10"/>
      <c r="J167" s="9"/>
    </row>
    <row r="168" spans="1:10" ht="16.899999999999999" customHeight="1" x14ac:dyDescent="0.25">
      <c r="A168" s="6"/>
      <c r="B168" s="8" t="s">
        <v>120</v>
      </c>
      <c r="C168" s="1" t="s">
        <v>353</v>
      </c>
      <c r="D168" s="1" t="s">
        <v>2</v>
      </c>
      <c r="E168" s="13">
        <v>22</v>
      </c>
      <c r="F168" s="29"/>
      <c r="G168" s="29"/>
      <c r="H168" s="10"/>
      <c r="I168" s="10"/>
      <c r="J168" s="9"/>
    </row>
    <row r="169" spans="1:10" ht="21" customHeight="1" x14ac:dyDescent="0.25">
      <c r="A169" s="1"/>
      <c r="B169" s="31" t="s">
        <v>82</v>
      </c>
      <c r="C169" s="6"/>
      <c r="D169" s="1"/>
      <c r="E169" s="13"/>
      <c r="F169" s="7"/>
      <c r="G169" s="7"/>
      <c r="H169" s="7"/>
      <c r="I169" s="7"/>
      <c r="J169" s="7"/>
    </row>
    <row r="170" spans="1:10" ht="16.899999999999999" customHeight="1" x14ac:dyDescent="0.25">
      <c r="A170" s="6"/>
      <c r="B170" s="8" t="s">
        <v>83</v>
      </c>
      <c r="C170" s="1" t="s">
        <v>345</v>
      </c>
      <c r="D170" s="1" t="s">
        <v>23</v>
      </c>
      <c r="E170" s="13">
        <v>1000</v>
      </c>
      <c r="F170" s="29"/>
      <c r="G170" s="29"/>
      <c r="H170" s="10"/>
      <c r="I170" s="10"/>
      <c r="J170" s="9"/>
    </row>
    <row r="171" spans="1:10" ht="21" customHeight="1" x14ac:dyDescent="0.25">
      <c r="A171" s="1"/>
      <c r="B171" s="31" t="s">
        <v>84</v>
      </c>
      <c r="C171" s="1"/>
      <c r="D171" s="1"/>
      <c r="E171" s="13"/>
      <c r="F171" s="7"/>
      <c r="G171" s="7"/>
      <c r="H171" s="7"/>
      <c r="I171" s="7"/>
      <c r="J171" s="7"/>
    </row>
    <row r="172" spans="1:10" ht="16.899999999999999" customHeight="1" x14ac:dyDescent="0.25">
      <c r="A172" s="6"/>
      <c r="B172" s="8" t="s">
        <v>85</v>
      </c>
      <c r="C172" s="1" t="s">
        <v>321</v>
      </c>
      <c r="D172" s="1" t="s">
        <v>42</v>
      </c>
      <c r="E172" s="13">
        <v>1</v>
      </c>
      <c r="F172" s="29"/>
      <c r="G172" s="29"/>
      <c r="H172" s="10"/>
      <c r="I172" s="10"/>
      <c r="J172" s="9"/>
    </row>
    <row r="173" spans="1:10" ht="23.25" x14ac:dyDescent="0.25">
      <c r="A173" s="30">
        <v>4</v>
      </c>
      <c r="B173" s="66" t="s">
        <v>45</v>
      </c>
      <c r="C173" s="67"/>
      <c r="D173" s="67"/>
      <c r="E173" s="67"/>
      <c r="F173" s="67"/>
      <c r="G173" s="68"/>
      <c r="H173" s="20">
        <f>SUM(H174:H202)</f>
        <v>0</v>
      </c>
      <c r="I173" s="20">
        <f t="shared" ref="I173" si="2">SUM(I174:I202)</f>
        <v>0</v>
      </c>
      <c r="J173" s="20">
        <f>SUM(J174:J202)</f>
        <v>0</v>
      </c>
    </row>
    <row r="174" spans="1:10" ht="21" customHeight="1" x14ac:dyDescent="0.25">
      <c r="A174" s="1"/>
      <c r="B174" s="31" t="s">
        <v>132</v>
      </c>
      <c r="C174" s="6"/>
      <c r="D174" s="1"/>
      <c r="E174" s="13"/>
      <c r="F174" s="7"/>
      <c r="G174" s="7"/>
      <c r="H174" s="7"/>
      <c r="I174" s="7"/>
      <c r="J174" s="7"/>
    </row>
    <row r="175" spans="1:10" ht="16.899999999999999" customHeight="1" x14ac:dyDescent="0.25">
      <c r="A175" s="6"/>
      <c r="B175" s="8" t="s">
        <v>176</v>
      </c>
      <c r="C175" s="1" t="s">
        <v>354</v>
      </c>
      <c r="D175" s="1" t="s">
        <v>2</v>
      </c>
      <c r="E175" s="13">
        <v>22</v>
      </c>
      <c r="F175" s="29"/>
      <c r="G175" s="29"/>
      <c r="H175" s="10"/>
      <c r="I175" s="10"/>
      <c r="J175" s="9"/>
    </row>
    <row r="176" spans="1:10" ht="21" customHeight="1" x14ac:dyDescent="0.25">
      <c r="A176" s="1"/>
      <c r="B176" s="31" t="s">
        <v>139</v>
      </c>
      <c r="C176" s="6"/>
      <c r="D176" s="1"/>
      <c r="E176" s="13"/>
      <c r="F176" s="7"/>
      <c r="G176" s="7"/>
      <c r="H176" s="7"/>
      <c r="I176" s="7"/>
      <c r="J176" s="7"/>
    </row>
    <row r="177" spans="1:10" ht="16.899999999999999" customHeight="1" x14ac:dyDescent="0.25">
      <c r="A177" s="6"/>
      <c r="B177" s="8" t="s">
        <v>145</v>
      </c>
      <c r="C177" s="1" t="s">
        <v>351</v>
      </c>
      <c r="D177" s="1" t="s">
        <v>4</v>
      </c>
      <c r="E177" s="13">
        <v>100</v>
      </c>
      <c r="F177" s="29"/>
      <c r="G177" s="29"/>
      <c r="H177" s="10"/>
      <c r="I177" s="10"/>
      <c r="J177" s="9"/>
    </row>
    <row r="178" spans="1:10" ht="16.899999999999999" customHeight="1" x14ac:dyDescent="0.25">
      <c r="A178" s="6"/>
      <c r="B178" s="8" t="s">
        <v>146</v>
      </c>
      <c r="C178" s="1" t="s">
        <v>351</v>
      </c>
      <c r="D178" s="1" t="s">
        <v>4</v>
      </c>
      <c r="E178" s="13">
        <v>60</v>
      </c>
      <c r="F178" s="29"/>
      <c r="G178" s="29"/>
      <c r="H178" s="10"/>
      <c r="I178" s="10"/>
      <c r="J178" s="9"/>
    </row>
    <row r="179" spans="1:10" ht="16.899999999999999" customHeight="1" x14ac:dyDescent="0.25">
      <c r="A179" s="6"/>
      <c r="B179" s="8" t="s">
        <v>147</v>
      </c>
      <c r="C179" s="1" t="s">
        <v>351</v>
      </c>
      <c r="D179" s="1" t="s">
        <v>4</v>
      </c>
      <c r="E179" s="13">
        <v>170</v>
      </c>
      <c r="F179" s="29"/>
      <c r="G179" s="29"/>
      <c r="H179" s="10"/>
      <c r="I179" s="10"/>
      <c r="J179" s="9"/>
    </row>
    <row r="180" spans="1:10" ht="16.899999999999999" customHeight="1" x14ac:dyDescent="0.25">
      <c r="A180" s="6"/>
      <c r="B180" s="8" t="s">
        <v>150</v>
      </c>
      <c r="C180" s="1" t="s">
        <v>351</v>
      </c>
      <c r="D180" s="1" t="s">
        <v>4</v>
      </c>
      <c r="E180" s="13">
        <v>20</v>
      </c>
      <c r="F180" s="29"/>
      <c r="G180" s="29"/>
      <c r="H180" s="10"/>
      <c r="I180" s="10"/>
      <c r="J180" s="9"/>
    </row>
    <row r="181" spans="1:10" ht="16.899999999999999" customHeight="1" x14ac:dyDescent="0.25">
      <c r="A181" s="6"/>
      <c r="B181" s="8" t="s">
        <v>151</v>
      </c>
      <c r="C181" s="1" t="s">
        <v>351</v>
      </c>
      <c r="D181" s="1" t="s">
        <v>4</v>
      </c>
      <c r="E181" s="13">
        <v>70</v>
      </c>
      <c r="F181" s="29"/>
      <c r="G181" s="29"/>
      <c r="H181" s="10"/>
      <c r="I181" s="10"/>
      <c r="J181" s="9"/>
    </row>
    <row r="182" spans="1:10" ht="16.899999999999999" customHeight="1" x14ac:dyDescent="0.25">
      <c r="A182" s="6"/>
      <c r="B182" s="8" t="s">
        <v>153</v>
      </c>
      <c r="C182" s="1" t="s">
        <v>351</v>
      </c>
      <c r="D182" s="1" t="s">
        <v>4</v>
      </c>
      <c r="E182" s="13">
        <v>10</v>
      </c>
      <c r="F182" s="29"/>
      <c r="G182" s="29"/>
      <c r="H182" s="10"/>
      <c r="I182" s="10"/>
      <c r="J182" s="9"/>
    </row>
    <row r="183" spans="1:10" ht="16.899999999999999" customHeight="1" x14ac:dyDescent="0.25">
      <c r="A183" s="6"/>
      <c r="B183" s="8" t="s">
        <v>154</v>
      </c>
      <c r="C183" s="1" t="s">
        <v>351</v>
      </c>
      <c r="D183" s="1" t="s">
        <v>4</v>
      </c>
      <c r="E183" s="13">
        <v>10</v>
      </c>
      <c r="F183" s="29"/>
      <c r="G183" s="29"/>
      <c r="H183" s="10"/>
      <c r="I183" s="10"/>
      <c r="J183" s="9"/>
    </row>
    <row r="184" spans="1:10" ht="16.899999999999999" customHeight="1" x14ac:dyDescent="0.25">
      <c r="A184" s="6"/>
      <c r="B184" s="8" t="s">
        <v>47</v>
      </c>
      <c r="C184" s="1" t="s">
        <v>351</v>
      </c>
      <c r="D184" s="1"/>
      <c r="E184" s="34">
        <v>0.5</v>
      </c>
      <c r="F184" s="13"/>
      <c r="G184" s="7"/>
      <c r="H184" s="10"/>
      <c r="I184" s="10"/>
      <c r="J184" s="9"/>
    </row>
    <row r="185" spans="1:10" ht="21" customHeight="1" x14ac:dyDescent="0.25">
      <c r="A185" s="1"/>
      <c r="B185" s="31" t="s">
        <v>134</v>
      </c>
      <c r="C185" s="6"/>
      <c r="D185" s="1"/>
      <c r="E185" s="13"/>
      <c r="F185" s="7"/>
      <c r="G185" s="7"/>
      <c r="H185" s="7"/>
      <c r="I185" s="7"/>
      <c r="J185" s="7"/>
    </row>
    <row r="186" spans="1:10" ht="16.899999999999999" customHeight="1" x14ac:dyDescent="0.25">
      <c r="A186" s="6"/>
      <c r="B186" s="8" t="s">
        <v>135</v>
      </c>
      <c r="C186" s="1" t="s">
        <v>352</v>
      </c>
      <c r="D186" s="1" t="s">
        <v>2</v>
      </c>
      <c r="E186" s="13">
        <v>22</v>
      </c>
      <c r="F186" s="29"/>
      <c r="G186" s="29"/>
      <c r="H186" s="10"/>
      <c r="I186" s="10"/>
      <c r="J186" s="9"/>
    </row>
    <row r="187" spans="1:10" ht="16.899999999999999" customHeight="1" x14ac:dyDescent="0.25">
      <c r="A187" s="6"/>
      <c r="B187" s="8" t="s">
        <v>118</v>
      </c>
      <c r="C187" s="1" t="s">
        <v>352</v>
      </c>
      <c r="D187" s="1" t="s">
        <v>2</v>
      </c>
      <c r="E187" s="13">
        <v>22</v>
      </c>
      <c r="F187" s="29"/>
      <c r="G187" s="29"/>
      <c r="H187" s="10"/>
      <c r="I187" s="10"/>
      <c r="J187" s="9"/>
    </row>
    <row r="188" spans="1:10" ht="21" customHeight="1" x14ac:dyDescent="0.25">
      <c r="A188" s="1"/>
      <c r="B188" s="31" t="s">
        <v>113</v>
      </c>
      <c r="C188" s="6"/>
      <c r="D188" s="1"/>
      <c r="E188" s="13"/>
      <c r="F188" s="7"/>
      <c r="G188" s="7"/>
      <c r="H188" s="7"/>
      <c r="I188" s="7"/>
      <c r="J188" s="7"/>
    </row>
    <row r="189" spans="1:10" ht="16.899999999999999" customHeight="1" x14ac:dyDescent="0.25">
      <c r="A189" s="6"/>
      <c r="B189" s="8" t="s">
        <v>114</v>
      </c>
      <c r="C189" s="1" t="s">
        <v>351</v>
      </c>
      <c r="D189" s="1" t="s">
        <v>23</v>
      </c>
      <c r="E189" s="13">
        <v>350</v>
      </c>
      <c r="F189" s="29"/>
      <c r="G189" s="29"/>
      <c r="H189" s="10"/>
      <c r="I189" s="10"/>
      <c r="J189" s="9"/>
    </row>
    <row r="190" spans="1:10" ht="16.899999999999999" customHeight="1" x14ac:dyDescent="0.25">
      <c r="A190" s="6"/>
      <c r="B190" s="8" t="s">
        <v>47</v>
      </c>
      <c r="C190" s="1" t="s">
        <v>351</v>
      </c>
      <c r="D190" s="1"/>
      <c r="E190" s="34">
        <v>0.5</v>
      </c>
      <c r="F190" s="13"/>
      <c r="G190" s="7"/>
      <c r="H190" s="10"/>
      <c r="I190" s="10"/>
      <c r="J190" s="9"/>
    </row>
    <row r="191" spans="1:10" ht="21" customHeight="1" x14ac:dyDescent="0.25">
      <c r="A191" s="1"/>
      <c r="B191" s="31" t="s">
        <v>136</v>
      </c>
      <c r="C191" s="6"/>
      <c r="D191" s="1"/>
      <c r="E191" s="13"/>
      <c r="F191" s="7"/>
      <c r="G191" s="7"/>
      <c r="H191" s="7"/>
      <c r="I191" s="7"/>
      <c r="J191" s="7"/>
    </row>
    <row r="192" spans="1:10" ht="16.899999999999999" customHeight="1" x14ac:dyDescent="0.25">
      <c r="A192" s="6"/>
      <c r="B192" s="8" t="s">
        <v>135</v>
      </c>
      <c r="C192" s="1" t="s">
        <v>352</v>
      </c>
      <c r="D192" s="1" t="s">
        <v>4</v>
      </c>
      <c r="E192" s="13">
        <v>30</v>
      </c>
      <c r="F192" s="29"/>
      <c r="G192" s="29"/>
      <c r="H192" s="10"/>
      <c r="I192" s="10"/>
      <c r="J192" s="9"/>
    </row>
    <row r="193" spans="1:10" ht="16.899999999999999" customHeight="1" x14ac:dyDescent="0.25">
      <c r="A193" s="6"/>
      <c r="B193" s="8" t="s">
        <v>118</v>
      </c>
      <c r="C193" s="1" t="s">
        <v>352</v>
      </c>
      <c r="D193" s="1" t="s">
        <v>4</v>
      </c>
      <c r="E193" s="13">
        <v>30</v>
      </c>
      <c r="F193" s="29"/>
      <c r="G193" s="29"/>
      <c r="H193" s="10"/>
      <c r="I193" s="10"/>
      <c r="J193" s="9"/>
    </row>
    <row r="194" spans="1:10" ht="21" customHeight="1" x14ac:dyDescent="0.25">
      <c r="A194" s="1"/>
      <c r="B194" s="31" t="s">
        <v>261</v>
      </c>
      <c r="C194" s="6"/>
      <c r="D194" s="1"/>
      <c r="E194" s="13"/>
      <c r="F194" s="7"/>
      <c r="G194" s="7"/>
      <c r="H194" s="7"/>
      <c r="I194" s="7"/>
      <c r="J194" s="7"/>
    </row>
    <row r="195" spans="1:10" ht="16.899999999999999" customHeight="1" x14ac:dyDescent="0.25">
      <c r="A195" s="6"/>
      <c r="B195" s="8" t="s">
        <v>137</v>
      </c>
      <c r="C195" s="1" t="s">
        <v>353</v>
      </c>
      <c r="D195" s="1" t="s">
        <v>2</v>
      </c>
      <c r="E195" s="13">
        <v>22</v>
      </c>
      <c r="F195" s="29"/>
      <c r="G195" s="29"/>
      <c r="H195" s="10"/>
      <c r="I195" s="10"/>
      <c r="J195" s="9"/>
    </row>
    <row r="196" spans="1:10" ht="21" customHeight="1" x14ac:dyDescent="0.25">
      <c r="A196" s="1"/>
      <c r="B196" s="31" t="s">
        <v>262</v>
      </c>
      <c r="C196" s="6"/>
      <c r="D196" s="1"/>
      <c r="E196" s="13"/>
      <c r="F196" s="7"/>
      <c r="G196" s="7"/>
      <c r="H196" s="7"/>
      <c r="I196" s="7"/>
      <c r="J196" s="7"/>
    </row>
    <row r="197" spans="1:10" ht="16.899999999999999" customHeight="1" x14ac:dyDescent="0.25">
      <c r="A197" s="6"/>
      <c r="B197" s="8" t="s">
        <v>141</v>
      </c>
      <c r="C197" s="1" t="s">
        <v>353</v>
      </c>
      <c r="D197" s="1" t="s">
        <v>2</v>
      </c>
      <c r="E197" s="13">
        <v>1</v>
      </c>
      <c r="F197" s="29"/>
      <c r="G197" s="29"/>
      <c r="H197" s="10"/>
      <c r="I197" s="10"/>
      <c r="J197" s="9"/>
    </row>
    <row r="198" spans="1:10" ht="16.899999999999999" customHeight="1" x14ac:dyDescent="0.25">
      <c r="A198" s="6"/>
      <c r="B198" s="8" t="s">
        <v>143</v>
      </c>
      <c r="C198" s="1" t="s">
        <v>353</v>
      </c>
      <c r="D198" s="1" t="s">
        <v>2</v>
      </c>
      <c r="E198" s="13">
        <v>1</v>
      </c>
      <c r="F198" s="29"/>
      <c r="G198" s="29"/>
      <c r="H198" s="10"/>
      <c r="I198" s="10"/>
      <c r="J198" s="9"/>
    </row>
    <row r="199" spans="1:10" ht="21" customHeight="1" x14ac:dyDescent="0.25">
      <c r="A199" s="1"/>
      <c r="B199" s="31" t="s">
        <v>82</v>
      </c>
      <c r="C199" s="6"/>
      <c r="D199" s="1"/>
      <c r="E199" s="13"/>
      <c r="F199" s="7"/>
      <c r="G199" s="7"/>
      <c r="H199" s="7"/>
      <c r="I199" s="7"/>
      <c r="J199" s="7"/>
    </row>
    <row r="200" spans="1:10" ht="16.899999999999999" customHeight="1" x14ac:dyDescent="0.25">
      <c r="A200" s="6"/>
      <c r="B200" s="8" t="s">
        <v>83</v>
      </c>
      <c r="C200" s="1" t="s">
        <v>345</v>
      </c>
      <c r="D200" s="1" t="s">
        <v>23</v>
      </c>
      <c r="E200" s="13">
        <v>1000</v>
      </c>
      <c r="F200" s="29"/>
      <c r="G200" s="29"/>
      <c r="H200" s="10"/>
      <c r="I200" s="10"/>
      <c r="J200" s="9"/>
    </row>
    <row r="201" spans="1:10" ht="21" customHeight="1" x14ac:dyDescent="0.25">
      <c r="A201" s="1"/>
      <c r="B201" s="31" t="s">
        <v>84</v>
      </c>
      <c r="C201" s="6"/>
      <c r="D201" s="1"/>
      <c r="E201" s="13"/>
      <c r="F201" s="7"/>
      <c r="G201" s="7"/>
      <c r="H201" s="7"/>
      <c r="I201" s="7"/>
      <c r="J201" s="7"/>
    </row>
    <row r="202" spans="1:10" ht="16.899999999999999" customHeight="1" x14ac:dyDescent="0.25">
      <c r="A202" s="6"/>
      <c r="B202" s="8" t="s">
        <v>85</v>
      </c>
      <c r="C202" s="1" t="s">
        <v>321</v>
      </c>
      <c r="D202" s="1" t="s">
        <v>42</v>
      </c>
      <c r="E202" s="13">
        <v>1</v>
      </c>
      <c r="F202" s="29"/>
      <c r="G202" s="29"/>
      <c r="H202" s="10"/>
      <c r="I202" s="10"/>
      <c r="J202" s="9"/>
    </row>
    <row r="204" spans="1:10" ht="25.5" x14ac:dyDescent="0.25">
      <c r="B204" s="3" t="s">
        <v>355</v>
      </c>
      <c r="D204" s="4" t="s">
        <v>356</v>
      </c>
      <c r="E204" s="4">
        <v>500</v>
      </c>
    </row>
  </sheetData>
  <mergeCells count="5">
    <mergeCell ref="B1:J1"/>
    <mergeCell ref="B4:G4"/>
    <mergeCell ref="B110:G110"/>
    <mergeCell ref="B154:G154"/>
    <mergeCell ref="B173:G173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9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5"/>
  <sheetViews>
    <sheetView topLeftCell="A191" zoomScale="90" zoomScaleNormal="90" workbookViewId="0">
      <selection activeCell="F207" sqref="F207:J245"/>
    </sheetView>
  </sheetViews>
  <sheetFormatPr defaultColWidth="9.140625" defaultRowHeight="12.75" x14ac:dyDescent="0.25"/>
  <cols>
    <col min="1" max="1" width="6.140625" style="4" customWidth="1"/>
    <col min="2" max="2" width="53.7109375" style="3" customWidth="1"/>
    <col min="3" max="3" width="35" style="4" customWidth="1"/>
    <col min="4" max="4" width="7.28515625" style="4" customWidth="1"/>
    <col min="5" max="5" width="9.28515625" style="4" customWidth="1"/>
    <col min="6" max="6" width="12.85546875" style="12" customWidth="1"/>
    <col min="7" max="7" width="12.7109375" style="12" customWidth="1"/>
    <col min="8" max="8" width="14.5703125" style="3" customWidth="1"/>
    <col min="9" max="9" width="17.7109375" style="3" customWidth="1"/>
    <col min="10" max="10" width="16.85546875" style="3" customWidth="1"/>
    <col min="11" max="16384" width="9.140625" style="3"/>
  </cols>
  <sheetData>
    <row r="1" spans="1:10" ht="27.75" customHeight="1" x14ac:dyDescent="0.25">
      <c r="A1" s="1"/>
      <c r="B1" s="65" t="s">
        <v>30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thickBot="1" x14ac:dyDescent="0.3">
      <c r="A2" s="14" t="s">
        <v>35</v>
      </c>
      <c r="B2" s="14" t="s">
        <v>36</v>
      </c>
      <c r="C2" s="14" t="s">
        <v>41</v>
      </c>
      <c r="D2" s="14" t="s">
        <v>0</v>
      </c>
      <c r="E2" s="14" t="s">
        <v>1</v>
      </c>
      <c r="F2" s="15" t="s">
        <v>6</v>
      </c>
      <c r="G2" s="15" t="s">
        <v>3</v>
      </c>
      <c r="H2" s="14" t="s">
        <v>7</v>
      </c>
      <c r="I2" s="14" t="s">
        <v>8</v>
      </c>
      <c r="J2" s="14" t="s">
        <v>9</v>
      </c>
    </row>
    <row r="3" spans="1:10" customFormat="1" ht="33.200000000000003" customHeight="1" thickBot="1" x14ac:dyDescent="0.35">
      <c r="A3" s="36"/>
      <c r="B3" s="37"/>
      <c r="C3" s="38"/>
      <c r="D3" s="38"/>
      <c r="E3" s="38"/>
      <c r="F3" s="39"/>
      <c r="G3" s="39"/>
      <c r="H3" s="39">
        <f>H4+H122+H186+H205</f>
        <v>0</v>
      </c>
      <c r="I3" s="39">
        <f>I4+I122+I186+I205</f>
        <v>0</v>
      </c>
      <c r="J3" s="39">
        <f>J4+J122+J186+J205</f>
        <v>0</v>
      </c>
    </row>
    <row r="4" spans="1:10" ht="24" thickTop="1" x14ac:dyDescent="0.25">
      <c r="A4" s="30">
        <v>1</v>
      </c>
      <c r="B4" s="66" t="s">
        <v>31</v>
      </c>
      <c r="C4" s="67"/>
      <c r="D4" s="67"/>
      <c r="E4" s="67"/>
      <c r="F4" s="67"/>
      <c r="G4" s="68"/>
      <c r="H4" s="20">
        <f>SUM(H6:H121)</f>
        <v>0</v>
      </c>
      <c r="I4" s="20">
        <f>SUM(I6:I121)</f>
        <v>0</v>
      </c>
      <c r="J4" s="20">
        <f>SUM(J6:J121)</f>
        <v>0</v>
      </c>
    </row>
    <row r="5" spans="1:10" ht="21" customHeight="1" x14ac:dyDescent="0.25">
      <c r="A5" s="1"/>
      <c r="B5" s="31" t="s">
        <v>81</v>
      </c>
      <c r="C5" s="6"/>
      <c r="D5" s="1"/>
      <c r="E5" s="13"/>
      <c r="F5" s="7"/>
      <c r="G5" s="7"/>
      <c r="H5" s="10"/>
      <c r="I5" s="10"/>
      <c r="J5" s="10"/>
    </row>
    <row r="6" spans="1:10" ht="16.899999999999999" customHeight="1" x14ac:dyDescent="0.25">
      <c r="A6" s="6"/>
      <c r="B6" s="8" t="s">
        <v>165</v>
      </c>
      <c r="C6" s="1" t="s">
        <v>332</v>
      </c>
      <c r="D6" s="1" t="s">
        <v>2</v>
      </c>
      <c r="E6" s="13">
        <v>1</v>
      </c>
      <c r="F6" s="29"/>
      <c r="G6" s="29"/>
      <c r="H6" s="10"/>
      <c r="I6" s="10"/>
      <c r="J6" s="9"/>
    </row>
    <row r="7" spans="1:10" ht="21" customHeight="1" x14ac:dyDescent="0.25">
      <c r="A7" s="1"/>
      <c r="B7" s="31" t="s">
        <v>59</v>
      </c>
      <c r="C7" s="6"/>
      <c r="D7" s="1"/>
      <c r="E7" s="13"/>
      <c r="F7" s="7"/>
      <c r="G7" s="7"/>
      <c r="H7" s="10"/>
      <c r="I7" s="10"/>
      <c r="J7" s="10"/>
    </row>
    <row r="8" spans="1:10" ht="16.899999999999999" customHeight="1" x14ac:dyDescent="0.25">
      <c r="A8" s="6"/>
      <c r="B8" s="8" t="s">
        <v>10</v>
      </c>
      <c r="C8" s="1" t="s">
        <v>333</v>
      </c>
      <c r="D8" s="1" t="s">
        <v>4</v>
      </c>
      <c r="E8" s="13">
        <v>496</v>
      </c>
      <c r="F8" s="29"/>
      <c r="G8" s="29"/>
      <c r="H8" s="10"/>
      <c r="I8" s="10"/>
      <c r="J8" s="9"/>
    </row>
    <row r="9" spans="1:10" ht="16.899999999999999" customHeight="1" x14ac:dyDescent="0.25">
      <c r="A9" s="6"/>
      <c r="B9" s="8" t="s">
        <v>11</v>
      </c>
      <c r="C9" s="1" t="s">
        <v>333</v>
      </c>
      <c r="D9" s="1" t="s">
        <v>4</v>
      </c>
      <c r="E9" s="13">
        <v>374</v>
      </c>
      <c r="F9" s="29"/>
      <c r="G9" s="29"/>
      <c r="H9" s="10"/>
      <c r="I9" s="10"/>
      <c r="J9" s="9"/>
    </row>
    <row r="10" spans="1:10" ht="16.899999999999999" customHeight="1" x14ac:dyDescent="0.25">
      <c r="A10" s="6"/>
      <c r="B10" s="8" t="s">
        <v>12</v>
      </c>
      <c r="C10" s="1" t="s">
        <v>333</v>
      </c>
      <c r="D10" s="1" t="s">
        <v>4</v>
      </c>
      <c r="E10" s="13">
        <v>251</v>
      </c>
      <c r="F10" s="29"/>
      <c r="G10" s="29"/>
      <c r="H10" s="10"/>
      <c r="I10" s="10"/>
      <c r="J10" s="9"/>
    </row>
    <row r="11" spans="1:10" ht="16.899999999999999" customHeight="1" x14ac:dyDescent="0.25">
      <c r="A11" s="6"/>
      <c r="B11" s="8" t="s">
        <v>13</v>
      </c>
      <c r="C11" s="1" t="s">
        <v>333</v>
      </c>
      <c r="D11" s="1" t="s">
        <v>4</v>
      </c>
      <c r="E11" s="13">
        <v>162</v>
      </c>
      <c r="F11" s="29"/>
      <c r="G11" s="29"/>
      <c r="H11" s="10"/>
      <c r="I11" s="10"/>
      <c r="J11" s="9"/>
    </row>
    <row r="12" spans="1:10" ht="16.899999999999999" customHeight="1" x14ac:dyDescent="0.25">
      <c r="A12" s="6"/>
      <c r="B12" s="8" t="s">
        <v>14</v>
      </c>
      <c r="C12" s="1" t="s">
        <v>333</v>
      </c>
      <c r="D12" s="1" t="s">
        <v>4</v>
      </c>
      <c r="E12" s="13">
        <v>126</v>
      </c>
      <c r="F12" s="29"/>
      <c r="G12" s="29"/>
      <c r="H12" s="10"/>
      <c r="I12" s="10"/>
      <c r="J12" s="9"/>
    </row>
    <row r="13" spans="1:10" ht="16.899999999999999" customHeight="1" x14ac:dyDescent="0.25">
      <c r="A13" s="6"/>
      <c r="B13" s="8" t="s">
        <v>15</v>
      </c>
      <c r="C13" s="1" t="s">
        <v>333</v>
      </c>
      <c r="D13" s="1" t="s">
        <v>4</v>
      </c>
      <c r="E13" s="13">
        <v>56</v>
      </c>
      <c r="F13" s="29"/>
      <c r="G13" s="29"/>
      <c r="H13" s="10"/>
      <c r="I13" s="10"/>
      <c r="J13" s="9"/>
    </row>
    <row r="14" spans="1:10" ht="16.899999999999999" customHeight="1" x14ac:dyDescent="0.25">
      <c r="A14" s="6"/>
      <c r="B14" s="8" t="s">
        <v>20</v>
      </c>
      <c r="C14" s="1" t="s">
        <v>333</v>
      </c>
      <c r="D14" s="1" t="s">
        <v>4</v>
      </c>
      <c r="E14" s="13">
        <v>29</v>
      </c>
      <c r="F14" s="29"/>
      <c r="G14" s="29"/>
      <c r="H14" s="10"/>
      <c r="I14" s="10"/>
      <c r="J14" s="9"/>
    </row>
    <row r="15" spans="1:10" ht="16.899999999999999" customHeight="1" x14ac:dyDescent="0.25">
      <c r="A15" s="6"/>
      <c r="B15" s="8" t="s">
        <v>47</v>
      </c>
      <c r="C15" s="1" t="s">
        <v>333</v>
      </c>
      <c r="D15" s="1"/>
      <c r="E15" s="34">
        <v>0.5</v>
      </c>
      <c r="F15" s="7"/>
      <c r="G15" s="7"/>
      <c r="H15" s="10"/>
      <c r="I15" s="10"/>
      <c r="J15" s="9"/>
    </row>
    <row r="16" spans="1:10" ht="21" customHeight="1" x14ac:dyDescent="0.25">
      <c r="A16" s="1"/>
      <c r="B16" s="31" t="s">
        <v>170</v>
      </c>
      <c r="C16" s="6"/>
      <c r="D16" s="1"/>
      <c r="E16" s="13"/>
      <c r="F16" s="7"/>
      <c r="G16" s="7"/>
      <c r="H16" s="10"/>
      <c r="I16" s="10"/>
      <c r="J16" s="10"/>
    </row>
    <row r="17" spans="1:10" ht="16.899999999999999" customHeight="1" x14ac:dyDescent="0.25">
      <c r="A17" s="6"/>
      <c r="B17" s="8" t="s">
        <v>16</v>
      </c>
      <c r="C17" s="1" t="s">
        <v>334</v>
      </c>
      <c r="D17" s="1" t="s">
        <v>4</v>
      </c>
      <c r="E17" s="13">
        <v>496</v>
      </c>
      <c r="F17" s="29"/>
      <c r="G17" s="29"/>
      <c r="H17" s="10"/>
      <c r="I17" s="10"/>
      <c r="J17" s="9"/>
    </row>
    <row r="18" spans="1:10" ht="16.899999999999999" customHeight="1" x14ac:dyDescent="0.25">
      <c r="A18" s="6"/>
      <c r="B18" s="8" t="s">
        <v>11</v>
      </c>
      <c r="C18" s="1" t="s">
        <v>334</v>
      </c>
      <c r="D18" s="1" t="s">
        <v>4</v>
      </c>
      <c r="E18" s="13">
        <v>374</v>
      </c>
      <c r="F18" s="29"/>
      <c r="G18" s="29"/>
      <c r="H18" s="10"/>
      <c r="I18" s="10"/>
      <c r="J18" s="9"/>
    </row>
    <row r="19" spans="1:10" ht="16.899999999999999" customHeight="1" x14ac:dyDescent="0.25">
      <c r="A19" s="6"/>
      <c r="B19" s="8" t="s">
        <v>17</v>
      </c>
      <c r="C19" s="1" t="s">
        <v>334</v>
      </c>
      <c r="D19" s="1" t="s">
        <v>4</v>
      </c>
      <c r="E19" s="13">
        <v>251</v>
      </c>
      <c r="F19" s="29"/>
      <c r="G19" s="29"/>
      <c r="H19" s="10"/>
      <c r="I19" s="10"/>
      <c r="J19" s="9"/>
    </row>
    <row r="20" spans="1:10" ht="16.899999999999999" customHeight="1" x14ac:dyDescent="0.25">
      <c r="A20" s="6"/>
      <c r="B20" s="8" t="s">
        <v>18</v>
      </c>
      <c r="C20" s="1" t="s">
        <v>334</v>
      </c>
      <c r="D20" s="1" t="s">
        <v>4</v>
      </c>
      <c r="E20" s="13">
        <v>162</v>
      </c>
      <c r="F20" s="29"/>
      <c r="G20" s="29"/>
      <c r="H20" s="10"/>
      <c r="I20" s="10"/>
      <c r="J20" s="9"/>
    </row>
    <row r="21" spans="1:10" ht="16.899999999999999" customHeight="1" x14ac:dyDescent="0.25">
      <c r="A21" s="6"/>
      <c r="B21" s="8" t="s">
        <v>14</v>
      </c>
      <c r="C21" s="1" t="s">
        <v>334</v>
      </c>
      <c r="D21" s="1" t="s">
        <v>4</v>
      </c>
      <c r="E21" s="13">
        <v>126</v>
      </c>
      <c r="F21" s="29"/>
      <c r="G21" s="29"/>
      <c r="H21" s="10"/>
      <c r="I21" s="10"/>
      <c r="J21" s="9"/>
    </row>
    <row r="22" spans="1:10" ht="16.899999999999999" customHeight="1" x14ac:dyDescent="0.25">
      <c r="A22" s="6"/>
      <c r="B22" s="8" t="s">
        <v>15</v>
      </c>
      <c r="C22" s="1" t="s">
        <v>334</v>
      </c>
      <c r="D22" s="1" t="s">
        <v>4</v>
      </c>
      <c r="E22" s="13">
        <v>56</v>
      </c>
      <c r="F22" s="29"/>
      <c r="G22" s="29"/>
      <c r="H22" s="10"/>
      <c r="I22" s="10"/>
      <c r="J22" s="9"/>
    </row>
    <row r="23" spans="1:10" ht="16.899999999999999" customHeight="1" x14ac:dyDescent="0.25">
      <c r="A23" s="6"/>
      <c r="B23" s="8" t="s">
        <v>20</v>
      </c>
      <c r="C23" s="1" t="s">
        <v>334</v>
      </c>
      <c r="D23" s="1" t="s">
        <v>4</v>
      </c>
      <c r="E23" s="13">
        <v>29</v>
      </c>
      <c r="F23" s="29"/>
      <c r="G23" s="29"/>
      <c r="H23" s="10"/>
      <c r="I23" s="10"/>
      <c r="J23" s="9"/>
    </row>
    <row r="24" spans="1:10" ht="21" customHeight="1" x14ac:dyDescent="0.25">
      <c r="A24" s="1"/>
      <c r="B24" s="31" t="s">
        <v>46</v>
      </c>
      <c r="C24" s="6"/>
      <c r="D24" s="1"/>
      <c r="E24" s="13"/>
      <c r="F24" s="7"/>
      <c r="G24" s="7"/>
      <c r="H24" s="10"/>
      <c r="I24" s="10"/>
      <c r="J24" s="10"/>
    </row>
    <row r="25" spans="1:10" ht="16.899999999999999" customHeight="1" x14ac:dyDescent="0.25">
      <c r="A25" s="6"/>
      <c r="B25" s="33" t="s">
        <v>51</v>
      </c>
      <c r="C25" s="1"/>
      <c r="D25" s="1" t="s">
        <v>2</v>
      </c>
      <c r="E25" s="13">
        <v>43</v>
      </c>
      <c r="F25" s="29"/>
      <c r="G25" s="29"/>
      <c r="H25" s="10"/>
      <c r="I25" s="10"/>
      <c r="J25" s="9"/>
    </row>
    <row r="26" spans="1:10" ht="16.899999999999999" customHeight="1" x14ac:dyDescent="0.25">
      <c r="A26" s="6"/>
      <c r="B26" s="33" t="s">
        <v>158</v>
      </c>
      <c r="C26" s="1"/>
      <c r="D26" s="1" t="s">
        <v>2</v>
      </c>
      <c r="E26" s="13">
        <v>1</v>
      </c>
      <c r="F26" s="29"/>
      <c r="G26" s="29"/>
      <c r="H26" s="10"/>
      <c r="I26" s="10"/>
      <c r="J26" s="9"/>
    </row>
    <row r="27" spans="1:10" ht="16.899999999999999" customHeight="1" x14ac:dyDescent="0.25">
      <c r="A27" s="6"/>
      <c r="B27" s="33" t="s">
        <v>50</v>
      </c>
      <c r="C27" s="1"/>
      <c r="D27" s="1" t="s">
        <v>2</v>
      </c>
      <c r="E27" s="13">
        <v>43</v>
      </c>
      <c r="F27" s="29"/>
      <c r="G27" s="29"/>
      <c r="H27" s="10"/>
      <c r="I27" s="10"/>
      <c r="J27" s="9"/>
    </row>
    <row r="28" spans="1:10" ht="16.899999999999999" customHeight="1" x14ac:dyDescent="0.25">
      <c r="A28" s="6"/>
      <c r="B28" s="33" t="s">
        <v>52</v>
      </c>
      <c r="C28" s="1"/>
      <c r="D28" s="1" t="s">
        <v>2</v>
      </c>
      <c r="E28" s="13">
        <v>70</v>
      </c>
      <c r="F28" s="29"/>
      <c r="G28" s="29"/>
      <c r="H28" s="10"/>
      <c r="I28" s="10"/>
      <c r="J28" s="9"/>
    </row>
    <row r="29" spans="1:10" ht="16.899999999999999" customHeight="1" x14ac:dyDescent="0.25">
      <c r="A29" s="6"/>
      <c r="B29" s="33" t="s">
        <v>53</v>
      </c>
      <c r="C29" s="1"/>
      <c r="D29" s="1" t="s">
        <v>2</v>
      </c>
      <c r="E29" s="13">
        <v>36</v>
      </c>
      <c r="F29" s="29"/>
      <c r="G29" s="29"/>
      <c r="H29" s="10"/>
      <c r="I29" s="10"/>
      <c r="J29" s="9"/>
    </row>
    <row r="30" spans="1:10" ht="16.899999999999999" customHeight="1" x14ac:dyDescent="0.25">
      <c r="A30" s="6"/>
      <c r="B30" s="33" t="s">
        <v>54</v>
      </c>
      <c r="C30" s="1"/>
      <c r="D30" s="1" t="s">
        <v>2</v>
      </c>
      <c r="E30" s="13">
        <v>43</v>
      </c>
      <c r="F30" s="29"/>
      <c r="G30" s="29"/>
      <c r="H30" s="10"/>
      <c r="I30" s="10"/>
      <c r="J30" s="9"/>
    </row>
    <row r="31" spans="1:10" ht="16.899999999999999" customHeight="1" x14ac:dyDescent="0.25">
      <c r="A31" s="6"/>
      <c r="B31" s="33" t="s">
        <v>55</v>
      </c>
      <c r="C31" s="1"/>
      <c r="D31" s="1" t="s">
        <v>2</v>
      </c>
      <c r="E31" s="13">
        <v>43</v>
      </c>
      <c r="F31" s="29"/>
      <c r="G31" s="29"/>
      <c r="H31" s="10"/>
      <c r="I31" s="10"/>
      <c r="J31" s="9"/>
    </row>
    <row r="32" spans="1:10" ht="16.899999999999999" customHeight="1" x14ac:dyDescent="0.25">
      <c r="A32" s="6"/>
      <c r="B32" s="33" t="s">
        <v>56</v>
      </c>
      <c r="C32" s="1"/>
      <c r="D32" s="1" t="s">
        <v>2</v>
      </c>
      <c r="E32" s="13">
        <v>43</v>
      </c>
      <c r="F32" s="29"/>
      <c r="G32" s="29"/>
      <c r="H32" s="10"/>
      <c r="I32" s="10"/>
      <c r="J32" s="9"/>
    </row>
    <row r="33" spans="1:10" ht="16.899999999999999" customHeight="1" x14ac:dyDescent="0.25">
      <c r="A33" s="6"/>
      <c r="B33" s="33" t="s">
        <v>156</v>
      </c>
      <c r="C33" s="1"/>
      <c r="D33" s="1" t="s">
        <v>2</v>
      </c>
      <c r="E33" s="13">
        <v>29</v>
      </c>
      <c r="F33" s="29"/>
      <c r="G33" s="29"/>
      <c r="H33" s="10"/>
      <c r="I33" s="10"/>
      <c r="J33" s="9"/>
    </row>
    <row r="34" spans="1:10" ht="16.899999999999999" customHeight="1" x14ac:dyDescent="0.25">
      <c r="A34" s="6"/>
      <c r="B34" s="33" t="s">
        <v>157</v>
      </c>
      <c r="C34" s="1"/>
      <c r="D34" s="1" t="s">
        <v>2</v>
      </c>
      <c r="E34" s="13">
        <v>4</v>
      </c>
      <c r="F34" s="29"/>
      <c r="G34" s="29"/>
      <c r="H34" s="10"/>
      <c r="I34" s="10"/>
      <c r="J34" s="9"/>
    </row>
    <row r="35" spans="1:10" ht="21" customHeight="1" x14ac:dyDescent="0.25">
      <c r="A35" s="1"/>
      <c r="B35" s="31" t="s">
        <v>259</v>
      </c>
      <c r="C35" s="6"/>
      <c r="D35" s="1"/>
      <c r="E35" s="13"/>
      <c r="F35" s="7"/>
      <c r="G35" s="7"/>
      <c r="H35" s="10"/>
      <c r="I35" s="10"/>
      <c r="J35" s="10"/>
    </row>
    <row r="36" spans="1:10" ht="16.899999999999999" customHeight="1" x14ac:dyDescent="0.25">
      <c r="A36" s="6"/>
      <c r="B36" s="8" t="s">
        <v>48</v>
      </c>
      <c r="C36" s="1" t="s">
        <v>335</v>
      </c>
      <c r="D36" s="1" t="s">
        <v>2</v>
      </c>
      <c r="E36" s="13">
        <v>43</v>
      </c>
      <c r="F36" s="29"/>
      <c r="G36" s="29"/>
      <c r="H36" s="10"/>
      <c r="I36" s="10"/>
      <c r="J36" s="9"/>
    </row>
    <row r="37" spans="1:10" ht="16.899999999999999" customHeight="1" x14ac:dyDescent="0.25">
      <c r="A37" s="6"/>
      <c r="B37" s="8" t="s">
        <v>49</v>
      </c>
      <c r="C37" s="1" t="s">
        <v>335</v>
      </c>
      <c r="D37" s="1" t="s">
        <v>2</v>
      </c>
      <c r="E37" s="13">
        <v>25</v>
      </c>
      <c r="F37" s="29"/>
      <c r="G37" s="29"/>
      <c r="H37" s="10"/>
      <c r="I37" s="10"/>
      <c r="J37" s="9"/>
    </row>
    <row r="38" spans="1:10" ht="21" customHeight="1" x14ac:dyDescent="0.25">
      <c r="A38" s="1"/>
      <c r="B38" s="31" t="s">
        <v>60</v>
      </c>
      <c r="C38" s="6"/>
      <c r="D38" s="1"/>
      <c r="E38" s="13"/>
      <c r="F38" s="7"/>
      <c r="G38" s="7"/>
      <c r="H38" s="10"/>
      <c r="I38" s="10"/>
      <c r="J38" s="10"/>
    </row>
    <row r="39" spans="1:10" ht="16.899999999999999" customHeight="1" x14ac:dyDescent="0.25">
      <c r="A39" s="6"/>
      <c r="B39" s="8" t="s">
        <v>26</v>
      </c>
      <c r="C39" s="1" t="s">
        <v>336</v>
      </c>
      <c r="D39" s="1" t="s">
        <v>2</v>
      </c>
      <c r="E39" s="13">
        <v>174</v>
      </c>
      <c r="F39" s="29"/>
      <c r="G39" s="29"/>
      <c r="H39" s="10"/>
      <c r="I39" s="10"/>
      <c r="J39" s="9"/>
    </row>
    <row r="40" spans="1:10" ht="21" customHeight="1" x14ac:dyDescent="0.25">
      <c r="A40" s="1"/>
      <c r="B40" s="31" t="s">
        <v>124</v>
      </c>
      <c r="C40" s="6"/>
      <c r="D40" s="1"/>
      <c r="E40" s="13"/>
      <c r="F40" s="7"/>
      <c r="G40" s="7"/>
      <c r="H40" s="10"/>
      <c r="I40" s="10"/>
      <c r="J40" s="10"/>
    </row>
    <row r="41" spans="1:10" ht="16.899999999999999" customHeight="1" x14ac:dyDescent="0.25">
      <c r="A41" s="6"/>
      <c r="B41" s="8" t="s">
        <v>16</v>
      </c>
      <c r="C41" s="1" t="s">
        <v>336</v>
      </c>
      <c r="D41" s="1" t="s">
        <v>2</v>
      </c>
      <c r="E41" s="13">
        <v>108</v>
      </c>
      <c r="F41" s="29"/>
      <c r="G41" s="29"/>
      <c r="H41" s="10"/>
      <c r="I41" s="10"/>
      <c r="J41" s="9"/>
    </row>
    <row r="42" spans="1:10" ht="16.899999999999999" customHeight="1" x14ac:dyDescent="0.25">
      <c r="A42" s="6"/>
      <c r="B42" s="8" t="s">
        <v>11</v>
      </c>
      <c r="C42" s="1" t="s">
        <v>336</v>
      </c>
      <c r="D42" s="1" t="s">
        <v>2</v>
      </c>
      <c r="E42" s="13">
        <v>54</v>
      </c>
      <c r="F42" s="29"/>
      <c r="G42" s="29"/>
      <c r="H42" s="10"/>
      <c r="I42" s="10"/>
      <c r="J42" s="9"/>
    </row>
    <row r="43" spans="1:10" ht="16.899999999999999" customHeight="1" x14ac:dyDescent="0.25">
      <c r="A43" s="6"/>
      <c r="B43" s="8" t="s">
        <v>17</v>
      </c>
      <c r="C43" s="1" t="s">
        <v>336</v>
      </c>
      <c r="D43" s="1" t="s">
        <v>2</v>
      </c>
      <c r="E43" s="13">
        <v>27</v>
      </c>
      <c r="F43" s="29"/>
      <c r="G43" s="29"/>
      <c r="H43" s="10"/>
      <c r="I43" s="10"/>
      <c r="J43" s="9"/>
    </row>
    <row r="44" spans="1:10" ht="16.899999999999999" customHeight="1" x14ac:dyDescent="0.25">
      <c r="A44" s="6"/>
      <c r="B44" s="8" t="s">
        <v>18</v>
      </c>
      <c r="C44" s="1" t="s">
        <v>336</v>
      </c>
      <c r="D44" s="1" t="s">
        <v>2</v>
      </c>
      <c r="E44" s="13">
        <v>3</v>
      </c>
      <c r="F44" s="29"/>
      <c r="G44" s="29"/>
      <c r="H44" s="10"/>
      <c r="I44" s="10"/>
      <c r="J44" s="9"/>
    </row>
    <row r="45" spans="1:10" ht="16.899999999999999" customHeight="1" x14ac:dyDescent="0.25">
      <c r="A45" s="6"/>
      <c r="B45" s="8" t="s">
        <v>14</v>
      </c>
      <c r="C45" s="1" t="s">
        <v>336</v>
      </c>
      <c r="D45" s="1" t="s">
        <v>2</v>
      </c>
      <c r="E45" s="13">
        <v>4</v>
      </c>
      <c r="F45" s="29"/>
      <c r="G45" s="29"/>
      <c r="H45" s="10"/>
      <c r="I45" s="10"/>
      <c r="J45" s="9"/>
    </row>
    <row r="46" spans="1:10" ht="16.899999999999999" customHeight="1" x14ac:dyDescent="0.25">
      <c r="A46" s="6"/>
      <c r="B46" s="8" t="s">
        <v>15</v>
      </c>
      <c r="C46" s="1" t="s">
        <v>336</v>
      </c>
      <c r="D46" s="1" t="s">
        <v>2</v>
      </c>
      <c r="E46" s="13">
        <v>3</v>
      </c>
      <c r="F46" s="29"/>
      <c r="G46" s="29"/>
      <c r="H46" s="10"/>
      <c r="I46" s="10"/>
      <c r="J46" s="9"/>
    </row>
    <row r="47" spans="1:10" ht="16.899999999999999" customHeight="1" x14ac:dyDescent="0.25">
      <c r="A47" s="6"/>
      <c r="B47" s="8" t="s">
        <v>20</v>
      </c>
      <c r="C47" s="1" t="s">
        <v>336</v>
      </c>
      <c r="D47" s="1" t="s">
        <v>2</v>
      </c>
      <c r="E47" s="13">
        <v>2</v>
      </c>
      <c r="F47" s="29"/>
      <c r="G47" s="29"/>
      <c r="H47" s="10"/>
      <c r="I47" s="10"/>
      <c r="J47" s="9"/>
    </row>
    <row r="48" spans="1:10" ht="21" customHeight="1" x14ac:dyDescent="0.25">
      <c r="A48" s="1"/>
      <c r="B48" s="31" t="s">
        <v>5</v>
      </c>
      <c r="C48" s="6"/>
      <c r="D48" s="1"/>
      <c r="E48" s="13"/>
      <c r="F48" s="7"/>
      <c r="G48" s="7"/>
      <c r="H48" s="10"/>
      <c r="I48" s="10"/>
      <c r="J48" s="10"/>
    </row>
    <row r="49" spans="1:10" ht="16.899999999999999" customHeight="1" x14ac:dyDescent="0.25">
      <c r="A49" s="6"/>
      <c r="B49" s="8" t="s">
        <v>14</v>
      </c>
      <c r="C49" s="1" t="s">
        <v>333</v>
      </c>
      <c r="D49" s="1" t="s">
        <v>4</v>
      </c>
      <c r="E49" s="13">
        <v>132</v>
      </c>
      <c r="F49" s="29"/>
      <c r="G49" s="29"/>
      <c r="H49" s="10"/>
      <c r="I49" s="10"/>
      <c r="J49" s="9"/>
    </row>
    <row r="50" spans="1:10" ht="16.899999999999999" customHeight="1" x14ac:dyDescent="0.25">
      <c r="A50" s="6"/>
      <c r="B50" s="8" t="s">
        <v>20</v>
      </c>
      <c r="C50" s="1" t="s">
        <v>333</v>
      </c>
      <c r="D50" s="1" t="s">
        <v>4</v>
      </c>
      <c r="E50" s="13">
        <v>32</v>
      </c>
      <c r="F50" s="29"/>
      <c r="G50" s="29"/>
      <c r="H50" s="10"/>
      <c r="I50" s="10"/>
      <c r="J50" s="9"/>
    </row>
    <row r="51" spans="1:10" ht="16.899999999999999" customHeight="1" x14ac:dyDescent="0.25">
      <c r="A51" s="6"/>
      <c r="B51" s="8" t="s">
        <v>19</v>
      </c>
      <c r="C51" s="1" t="s">
        <v>333</v>
      </c>
      <c r="D51" s="1" t="s">
        <v>4</v>
      </c>
      <c r="E51" s="13">
        <v>180</v>
      </c>
      <c r="F51" s="29"/>
      <c r="G51" s="29"/>
      <c r="H51" s="10"/>
      <c r="I51" s="10"/>
      <c r="J51" s="9"/>
    </row>
    <row r="52" spans="1:10" ht="16.899999999999999" customHeight="1" x14ac:dyDescent="0.25">
      <c r="A52" s="6"/>
      <c r="B52" s="8" t="s">
        <v>47</v>
      </c>
      <c r="C52" s="1" t="s">
        <v>333</v>
      </c>
      <c r="D52" s="1"/>
      <c r="E52" s="34">
        <v>1</v>
      </c>
      <c r="F52" s="7"/>
      <c r="G52" s="7"/>
      <c r="H52" s="10"/>
      <c r="I52" s="10"/>
      <c r="J52" s="9"/>
    </row>
    <row r="53" spans="1:10" ht="21" customHeight="1" x14ac:dyDescent="0.25">
      <c r="A53" s="1"/>
      <c r="B53" s="31" t="s">
        <v>260</v>
      </c>
      <c r="C53" s="6"/>
      <c r="D53" s="1"/>
      <c r="E53" s="13"/>
      <c r="F53" s="7"/>
      <c r="G53" s="7"/>
      <c r="H53" s="10"/>
      <c r="I53" s="10"/>
      <c r="J53" s="10"/>
    </row>
    <row r="54" spans="1:10" ht="16.899999999999999" customHeight="1" x14ac:dyDescent="0.25">
      <c r="A54" s="6"/>
      <c r="B54" s="8" t="s">
        <v>19</v>
      </c>
      <c r="C54" s="1" t="s">
        <v>333</v>
      </c>
      <c r="D54" s="1" t="s">
        <v>2</v>
      </c>
      <c r="E54" s="13">
        <v>10</v>
      </c>
      <c r="F54" s="29"/>
      <c r="G54" s="29"/>
      <c r="H54" s="10"/>
      <c r="I54" s="10"/>
      <c r="J54" s="9"/>
    </row>
    <row r="55" spans="1:10" ht="21" customHeight="1" x14ac:dyDescent="0.25">
      <c r="A55" s="1"/>
      <c r="B55" s="31" t="s">
        <v>68</v>
      </c>
      <c r="C55" s="6"/>
      <c r="D55" s="1"/>
      <c r="E55" s="13"/>
      <c r="F55" s="7"/>
      <c r="G55" s="7"/>
      <c r="H55" s="10"/>
      <c r="I55" s="10"/>
      <c r="J55" s="10"/>
    </row>
    <row r="56" spans="1:10" ht="16.899999999999999" customHeight="1" x14ac:dyDescent="0.25">
      <c r="A56" s="6"/>
      <c r="B56" s="8" t="s">
        <v>19</v>
      </c>
      <c r="C56" s="1" t="s">
        <v>333</v>
      </c>
      <c r="D56" s="1" t="s">
        <v>2</v>
      </c>
      <c r="E56" s="13">
        <v>10</v>
      </c>
      <c r="F56" s="29"/>
      <c r="G56" s="29"/>
      <c r="H56" s="10"/>
      <c r="I56" s="10"/>
      <c r="J56" s="9"/>
    </row>
    <row r="57" spans="1:10" ht="21" customHeight="1" x14ac:dyDescent="0.25">
      <c r="A57" s="1"/>
      <c r="B57" s="31" t="s">
        <v>69</v>
      </c>
      <c r="C57" s="6"/>
      <c r="D57" s="1"/>
      <c r="E57" s="13"/>
      <c r="F57" s="7"/>
      <c r="G57" s="7"/>
      <c r="H57" s="10"/>
      <c r="I57" s="10"/>
      <c r="J57" s="10"/>
    </row>
    <row r="58" spans="1:10" ht="16.899999999999999" customHeight="1" x14ac:dyDescent="0.25">
      <c r="A58" s="6"/>
      <c r="B58" s="8" t="s">
        <v>171</v>
      </c>
      <c r="C58" s="1" t="s">
        <v>337</v>
      </c>
      <c r="D58" s="1" t="s">
        <v>2</v>
      </c>
      <c r="E58" s="13">
        <v>45</v>
      </c>
      <c r="F58" s="29"/>
      <c r="G58" s="29"/>
      <c r="H58" s="10"/>
      <c r="I58" s="10"/>
      <c r="J58" s="9"/>
    </row>
    <row r="59" spans="1:10" ht="16.899999999999999" customHeight="1" x14ac:dyDescent="0.25">
      <c r="A59" s="6"/>
      <c r="B59" s="8" t="s">
        <v>172</v>
      </c>
      <c r="C59" s="1" t="s">
        <v>337</v>
      </c>
      <c r="D59" s="1" t="s">
        <v>2</v>
      </c>
      <c r="E59" s="13">
        <v>19</v>
      </c>
      <c r="F59" s="29"/>
      <c r="G59" s="29"/>
      <c r="H59" s="10"/>
      <c r="I59" s="10"/>
      <c r="J59" s="9"/>
    </row>
    <row r="60" spans="1:10" ht="16.899999999999999" customHeight="1" x14ac:dyDescent="0.25">
      <c r="A60" s="6"/>
      <c r="B60" s="8" t="s">
        <v>70</v>
      </c>
      <c r="C60" s="1" t="s">
        <v>337</v>
      </c>
      <c r="D60" s="1" t="s">
        <v>2</v>
      </c>
      <c r="E60" s="13">
        <v>38</v>
      </c>
      <c r="F60" s="29"/>
      <c r="G60" s="29"/>
      <c r="H60" s="10"/>
      <c r="I60" s="10"/>
      <c r="J60" s="9"/>
    </row>
    <row r="61" spans="1:10" ht="16.899999999999999" customHeight="1" x14ac:dyDescent="0.25">
      <c r="A61" s="6"/>
      <c r="B61" s="8" t="s">
        <v>299</v>
      </c>
      <c r="C61" s="1" t="s">
        <v>337</v>
      </c>
      <c r="D61" s="1" t="s">
        <v>4</v>
      </c>
      <c r="E61" s="13">
        <v>72</v>
      </c>
      <c r="F61" s="29"/>
      <c r="G61" s="29"/>
      <c r="H61" s="10"/>
      <c r="I61" s="10"/>
      <c r="J61" s="9"/>
    </row>
    <row r="62" spans="1:10" ht="21" customHeight="1" x14ac:dyDescent="0.25">
      <c r="A62" s="1"/>
      <c r="B62" s="31" t="s">
        <v>58</v>
      </c>
      <c r="C62" s="6"/>
      <c r="D62" s="1"/>
      <c r="E62" s="13"/>
      <c r="F62" s="7"/>
      <c r="G62" s="7"/>
      <c r="H62" s="10"/>
      <c r="I62" s="10"/>
      <c r="J62" s="10"/>
    </row>
    <row r="63" spans="1:10" ht="16.899999999999999" customHeight="1" x14ac:dyDescent="0.25">
      <c r="A63" s="6"/>
      <c r="B63" s="8" t="s">
        <v>14</v>
      </c>
      <c r="C63" s="1" t="s">
        <v>333</v>
      </c>
      <c r="D63" s="1" t="s">
        <v>4</v>
      </c>
      <c r="E63" s="13">
        <v>19</v>
      </c>
      <c r="F63" s="29"/>
      <c r="G63" s="29"/>
      <c r="H63" s="10"/>
      <c r="I63" s="10"/>
      <c r="J63" s="9"/>
    </row>
    <row r="64" spans="1:10" ht="16.899999999999999" customHeight="1" x14ac:dyDescent="0.25">
      <c r="A64" s="6"/>
      <c r="B64" s="8" t="s">
        <v>20</v>
      </c>
      <c r="C64" s="1" t="s">
        <v>333</v>
      </c>
      <c r="D64" s="1" t="s">
        <v>4</v>
      </c>
      <c r="E64" s="13">
        <v>82</v>
      </c>
      <c r="F64" s="29"/>
      <c r="G64" s="29"/>
      <c r="H64" s="10"/>
      <c r="I64" s="10"/>
      <c r="J64" s="9"/>
    </row>
    <row r="65" spans="1:10" ht="16.899999999999999" customHeight="1" x14ac:dyDescent="0.25">
      <c r="A65" s="6"/>
      <c r="B65" s="8" t="s">
        <v>19</v>
      </c>
      <c r="C65" s="1" t="s">
        <v>333</v>
      </c>
      <c r="D65" s="1" t="s">
        <v>4</v>
      </c>
      <c r="E65" s="13">
        <v>19</v>
      </c>
      <c r="F65" s="29"/>
      <c r="G65" s="29"/>
      <c r="H65" s="10"/>
      <c r="I65" s="10"/>
      <c r="J65" s="9"/>
    </row>
    <row r="66" spans="1:10" ht="16.899999999999999" customHeight="1" x14ac:dyDescent="0.25">
      <c r="A66" s="6"/>
      <c r="B66" s="8" t="s">
        <v>27</v>
      </c>
      <c r="C66" s="1" t="s">
        <v>333</v>
      </c>
      <c r="D66" s="1" t="s">
        <v>4</v>
      </c>
      <c r="E66" s="13">
        <v>48</v>
      </c>
      <c r="F66" s="29"/>
      <c r="G66" s="29"/>
      <c r="H66" s="10"/>
      <c r="I66" s="10"/>
      <c r="J66" s="9"/>
    </row>
    <row r="67" spans="1:10" ht="16.899999999999999" customHeight="1" x14ac:dyDescent="0.25">
      <c r="A67" s="6"/>
      <c r="B67" s="8" t="s">
        <v>47</v>
      </c>
      <c r="C67" s="1" t="s">
        <v>333</v>
      </c>
      <c r="D67" s="1"/>
      <c r="E67" s="34">
        <v>0.3</v>
      </c>
      <c r="F67" s="7"/>
      <c r="G67" s="7"/>
      <c r="H67" s="10"/>
      <c r="I67" s="10"/>
      <c r="J67" s="9"/>
    </row>
    <row r="68" spans="1:10" ht="21" customHeight="1" x14ac:dyDescent="0.25">
      <c r="A68" s="1"/>
      <c r="B68" s="31" t="s">
        <v>69</v>
      </c>
      <c r="C68" s="6"/>
      <c r="D68" s="1"/>
      <c r="E68" s="13"/>
      <c r="F68" s="7"/>
      <c r="G68" s="7"/>
      <c r="H68" s="10"/>
      <c r="I68" s="10"/>
      <c r="J68" s="10"/>
    </row>
    <row r="69" spans="1:10" ht="16.899999999999999" customHeight="1" x14ac:dyDescent="0.25">
      <c r="A69" s="6"/>
      <c r="B69" s="8" t="s">
        <v>173</v>
      </c>
      <c r="C69" s="1" t="s">
        <v>337</v>
      </c>
      <c r="D69" s="1" t="s">
        <v>2</v>
      </c>
      <c r="E69" s="13">
        <v>16</v>
      </c>
      <c r="F69" s="29"/>
      <c r="G69" s="29"/>
      <c r="H69" s="10"/>
      <c r="I69" s="10"/>
      <c r="J69" s="9"/>
    </row>
    <row r="70" spans="1:10" ht="21" customHeight="1" x14ac:dyDescent="0.25">
      <c r="A70" s="1"/>
      <c r="B70" s="31" t="s">
        <v>123</v>
      </c>
      <c r="C70" s="6"/>
      <c r="D70" s="1"/>
      <c r="E70" s="13"/>
      <c r="F70" s="7"/>
      <c r="G70" s="7"/>
      <c r="H70" s="10"/>
      <c r="I70" s="10"/>
      <c r="J70" s="10"/>
    </row>
    <row r="71" spans="1:10" ht="16.899999999999999" customHeight="1" x14ac:dyDescent="0.25">
      <c r="A71" s="6"/>
      <c r="B71" s="8" t="s">
        <v>17</v>
      </c>
      <c r="C71" s="1" t="s">
        <v>338</v>
      </c>
      <c r="D71" s="1" t="s">
        <v>4</v>
      </c>
      <c r="E71" s="13">
        <v>270</v>
      </c>
      <c r="F71" s="29"/>
      <c r="G71" s="29"/>
      <c r="H71" s="10"/>
      <c r="I71" s="10"/>
      <c r="J71" s="9"/>
    </row>
    <row r="72" spans="1:10" ht="16.899999999999999" customHeight="1" x14ac:dyDescent="0.25">
      <c r="A72" s="6"/>
      <c r="B72" s="8" t="s">
        <v>47</v>
      </c>
      <c r="C72" s="1" t="s">
        <v>338</v>
      </c>
      <c r="D72" s="1"/>
      <c r="E72" s="34">
        <v>0.3</v>
      </c>
      <c r="F72" s="7"/>
      <c r="G72" s="7"/>
      <c r="H72" s="10"/>
      <c r="I72" s="10"/>
      <c r="J72" s="9"/>
    </row>
    <row r="73" spans="1:10" ht="21" customHeight="1" x14ac:dyDescent="0.25">
      <c r="A73" s="1"/>
      <c r="B73" s="31" t="s">
        <v>71</v>
      </c>
      <c r="C73" s="6"/>
      <c r="D73" s="1"/>
      <c r="E73" s="13"/>
      <c r="F73" s="7"/>
      <c r="G73" s="7"/>
      <c r="H73" s="10"/>
      <c r="I73" s="10"/>
      <c r="J73" s="10"/>
    </row>
    <row r="74" spans="1:10" ht="16.899999999999999" customHeight="1" x14ac:dyDescent="0.25">
      <c r="A74" s="6"/>
      <c r="B74" s="8" t="s">
        <v>128</v>
      </c>
      <c r="C74" s="1" t="s">
        <v>339</v>
      </c>
      <c r="D74" s="1" t="s">
        <v>42</v>
      </c>
      <c r="E74" s="13">
        <v>1</v>
      </c>
      <c r="F74" s="29"/>
      <c r="G74" s="29"/>
      <c r="H74" s="10"/>
      <c r="I74" s="10"/>
      <c r="J74" s="9"/>
    </row>
    <row r="75" spans="1:10" ht="21" customHeight="1" x14ac:dyDescent="0.25">
      <c r="A75" s="1"/>
      <c r="B75" s="31" t="s">
        <v>80</v>
      </c>
      <c r="C75" s="6"/>
      <c r="D75" s="1"/>
      <c r="E75" s="13"/>
      <c r="F75" s="7"/>
      <c r="G75" s="7"/>
      <c r="H75" s="10"/>
      <c r="I75" s="10"/>
      <c r="J75" s="10"/>
    </row>
    <row r="76" spans="1:10" ht="16.899999999999999" customHeight="1" x14ac:dyDescent="0.25">
      <c r="A76" s="6"/>
      <c r="B76" s="8" t="s">
        <v>72</v>
      </c>
      <c r="C76" s="1" t="s">
        <v>332</v>
      </c>
      <c r="D76" s="1" t="s">
        <v>2</v>
      </c>
      <c r="E76" s="13">
        <v>1</v>
      </c>
      <c r="F76" s="29"/>
      <c r="G76" s="29"/>
      <c r="H76" s="10"/>
      <c r="I76" s="10"/>
      <c r="J76" s="9"/>
    </row>
    <row r="77" spans="1:10" ht="16.899999999999999" customHeight="1" x14ac:dyDescent="0.25">
      <c r="A77" s="6"/>
      <c r="B77" s="8" t="s">
        <v>87</v>
      </c>
      <c r="C77" s="1" t="s">
        <v>332</v>
      </c>
      <c r="D77" s="1" t="s">
        <v>2</v>
      </c>
      <c r="E77" s="13">
        <v>1</v>
      </c>
      <c r="F77" s="29"/>
      <c r="G77" s="29"/>
      <c r="H77" s="10"/>
      <c r="I77" s="10"/>
      <c r="J77" s="9"/>
    </row>
    <row r="78" spans="1:10" ht="21" customHeight="1" x14ac:dyDescent="0.25">
      <c r="A78" s="1"/>
      <c r="B78" s="31" t="s">
        <v>74</v>
      </c>
      <c r="C78" s="6"/>
      <c r="D78" s="1"/>
      <c r="E78" s="13"/>
      <c r="F78" s="7"/>
      <c r="G78" s="7"/>
      <c r="H78" s="10"/>
      <c r="I78" s="10"/>
      <c r="J78" s="10"/>
    </row>
    <row r="79" spans="1:10" ht="16.899999999999999" customHeight="1" x14ac:dyDescent="0.25">
      <c r="A79" s="6"/>
      <c r="B79" s="8" t="s">
        <v>76</v>
      </c>
      <c r="C79" s="1" t="s">
        <v>340</v>
      </c>
      <c r="D79" s="1" t="s">
        <v>2</v>
      </c>
      <c r="E79" s="13">
        <v>1</v>
      </c>
      <c r="F79" s="29"/>
      <c r="G79" s="29"/>
      <c r="H79" s="10"/>
      <c r="I79" s="10"/>
      <c r="J79" s="9"/>
    </row>
    <row r="80" spans="1:10" ht="16.899999999999999" customHeight="1" x14ac:dyDescent="0.25">
      <c r="A80" s="6"/>
      <c r="B80" s="8" t="s">
        <v>77</v>
      </c>
      <c r="C80" s="1" t="s">
        <v>340</v>
      </c>
      <c r="D80" s="1" t="s">
        <v>2</v>
      </c>
      <c r="E80" s="13">
        <v>1</v>
      </c>
      <c r="F80" s="29"/>
      <c r="G80" s="29"/>
      <c r="H80" s="10"/>
      <c r="I80" s="10"/>
      <c r="J80" s="9"/>
    </row>
    <row r="81" spans="1:10" ht="21" customHeight="1" x14ac:dyDescent="0.25">
      <c r="A81" s="1"/>
      <c r="B81" s="31" t="s">
        <v>86</v>
      </c>
      <c r="C81" s="6"/>
      <c r="D81" s="1"/>
      <c r="E81" s="13"/>
      <c r="F81" s="7"/>
      <c r="G81" s="7"/>
      <c r="H81" s="10"/>
      <c r="I81" s="10"/>
      <c r="J81" s="10"/>
    </row>
    <row r="82" spans="1:10" ht="16.899999999999999" customHeight="1" x14ac:dyDescent="0.25">
      <c r="A82" s="6"/>
      <c r="B82" s="8" t="s">
        <v>88</v>
      </c>
      <c r="C82" s="1" t="s">
        <v>332</v>
      </c>
      <c r="D82" s="1" t="s">
        <v>2</v>
      </c>
      <c r="E82" s="13">
        <v>1</v>
      </c>
      <c r="F82" s="29"/>
      <c r="G82" s="29"/>
      <c r="H82" s="10"/>
      <c r="I82" s="10"/>
      <c r="J82" s="9"/>
    </row>
    <row r="83" spans="1:10" ht="16.899999999999999" customHeight="1" x14ac:dyDescent="0.25">
      <c r="A83" s="6"/>
      <c r="B83" s="8" t="s">
        <v>89</v>
      </c>
      <c r="C83" s="1" t="s">
        <v>332</v>
      </c>
      <c r="D83" s="1" t="s">
        <v>2</v>
      </c>
      <c r="E83" s="13">
        <v>2</v>
      </c>
      <c r="F83" s="29"/>
      <c r="G83" s="29"/>
      <c r="H83" s="10"/>
      <c r="I83" s="10"/>
      <c r="J83" s="9"/>
    </row>
    <row r="84" spans="1:10" ht="21" customHeight="1" x14ac:dyDescent="0.25">
      <c r="A84" s="1"/>
      <c r="B84" s="31" t="s">
        <v>78</v>
      </c>
      <c r="C84" s="1"/>
      <c r="D84" s="1"/>
      <c r="E84" s="13"/>
      <c r="F84" s="7"/>
      <c r="G84" s="7"/>
      <c r="H84" s="10"/>
      <c r="I84" s="10"/>
      <c r="J84" s="10"/>
    </row>
    <row r="85" spans="1:10" ht="16.899999999999999" customHeight="1" x14ac:dyDescent="0.25">
      <c r="A85" s="6"/>
      <c r="B85" s="8" t="s">
        <v>79</v>
      </c>
      <c r="C85" s="1" t="s">
        <v>341</v>
      </c>
      <c r="D85" s="1" t="s">
        <v>2</v>
      </c>
      <c r="E85" s="13">
        <v>1</v>
      </c>
      <c r="F85" s="29"/>
      <c r="G85" s="29"/>
      <c r="H85" s="10"/>
      <c r="I85" s="10"/>
      <c r="J85" s="9"/>
    </row>
    <row r="86" spans="1:10" ht="21" customHeight="1" x14ac:dyDescent="0.25">
      <c r="A86" s="1"/>
      <c r="B86" s="31" t="s">
        <v>59</v>
      </c>
      <c r="C86" s="1"/>
      <c r="D86" s="1"/>
      <c r="E86" s="13"/>
      <c r="F86" s="7"/>
      <c r="G86" s="7"/>
      <c r="H86" s="10"/>
      <c r="I86" s="10"/>
      <c r="J86" s="10"/>
    </row>
    <row r="87" spans="1:10" ht="16.899999999999999" customHeight="1" x14ac:dyDescent="0.25">
      <c r="A87" s="6"/>
      <c r="B87" s="8" t="s">
        <v>13</v>
      </c>
      <c r="C87" s="1" t="s">
        <v>333</v>
      </c>
      <c r="D87" s="1" t="s">
        <v>4</v>
      </c>
      <c r="E87" s="13">
        <v>30</v>
      </c>
      <c r="F87" s="29"/>
      <c r="G87" s="29"/>
      <c r="H87" s="10"/>
      <c r="I87" s="10"/>
      <c r="J87" s="9"/>
    </row>
    <row r="88" spans="1:10" ht="16.899999999999999" customHeight="1" x14ac:dyDescent="0.25">
      <c r="A88" s="6"/>
      <c r="B88" s="8" t="s">
        <v>14</v>
      </c>
      <c r="C88" s="1" t="s">
        <v>333</v>
      </c>
      <c r="D88" s="1" t="s">
        <v>4</v>
      </c>
      <c r="E88" s="13">
        <v>15</v>
      </c>
      <c r="F88" s="29"/>
      <c r="G88" s="29"/>
      <c r="H88" s="10"/>
      <c r="I88" s="10"/>
      <c r="J88" s="9"/>
    </row>
    <row r="89" spans="1:10" ht="16.899999999999999" customHeight="1" x14ac:dyDescent="0.25">
      <c r="A89" s="6"/>
      <c r="B89" s="8" t="s">
        <v>47</v>
      </c>
      <c r="C89" s="1" t="s">
        <v>333</v>
      </c>
      <c r="D89" s="1"/>
      <c r="E89" s="34">
        <v>0.5</v>
      </c>
      <c r="F89" s="7"/>
      <c r="G89" s="7"/>
      <c r="H89" s="10"/>
      <c r="I89" s="10"/>
      <c r="J89" s="9"/>
    </row>
    <row r="90" spans="1:10" ht="21" customHeight="1" x14ac:dyDescent="0.25">
      <c r="A90" s="1"/>
      <c r="B90" s="31" t="s">
        <v>125</v>
      </c>
      <c r="C90" s="1"/>
      <c r="D90" s="1"/>
      <c r="E90" s="13"/>
      <c r="F90" s="7"/>
      <c r="G90" s="7"/>
      <c r="H90" s="10"/>
      <c r="I90" s="10"/>
      <c r="J90" s="10"/>
    </row>
    <row r="91" spans="1:10" ht="16.899999999999999" customHeight="1" x14ac:dyDescent="0.25">
      <c r="A91" s="6"/>
      <c r="B91" s="8" t="s">
        <v>12</v>
      </c>
      <c r="C91" s="1" t="s">
        <v>342</v>
      </c>
      <c r="D91" s="1" t="s">
        <v>4</v>
      </c>
      <c r="E91" s="13">
        <v>80</v>
      </c>
      <c r="F91" s="29"/>
      <c r="G91" s="29"/>
      <c r="H91" s="10"/>
      <c r="I91" s="10"/>
      <c r="J91" s="9"/>
    </row>
    <row r="92" spans="1:10" ht="16.899999999999999" customHeight="1" x14ac:dyDescent="0.25">
      <c r="A92" s="6"/>
      <c r="B92" s="8" t="s">
        <v>47</v>
      </c>
      <c r="C92" s="1" t="s">
        <v>343</v>
      </c>
      <c r="D92" s="1"/>
      <c r="E92" s="34">
        <v>0.5</v>
      </c>
      <c r="F92" s="7"/>
      <c r="G92" s="7"/>
      <c r="H92" s="10"/>
      <c r="I92" s="10"/>
      <c r="J92" s="9"/>
    </row>
    <row r="93" spans="1:10" ht="21" customHeight="1" x14ac:dyDescent="0.25">
      <c r="A93" s="1"/>
      <c r="B93" s="31" t="s">
        <v>126</v>
      </c>
      <c r="C93" s="1"/>
      <c r="D93" s="1"/>
      <c r="E93" s="13"/>
      <c r="F93" s="7"/>
      <c r="G93" s="7"/>
      <c r="H93" s="10"/>
      <c r="I93" s="10"/>
      <c r="J93" s="10"/>
    </row>
    <row r="94" spans="1:10" ht="16.899999999999999" customHeight="1" x14ac:dyDescent="0.25">
      <c r="A94" s="6"/>
      <c r="B94" s="8" t="s">
        <v>17</v>
      </c>
      <c r="C94" s="1" t="s">
        <v>334</v>
      </c>
      <c r="D94" s="1" t="s">
        <v>4</v>
      </c>
      <c r="E94" s="13">
        <v>80</v>
      </c>
      <c r="F94" s="29"/>
      <c r="G94" s="29"/>
      <c r="H94" s="10"/>
      <c r="I94" s="10"/>
      <c r="J94" s="9"/>
    </row>
    <row r="95" spans="1:10" ht="16.899999999999999" customHeight="1" x14ac:dyDescent="0.25">
      <c r="A95" s="6"/>
      <c r="B95" s="8" t="s">
        <v>13</v>
      </c>
      <c r="C95" s="1" t="s">
        <v>334</v>
      </c>
      <c r="D95" s="1" t="s">
        <v>4</v>
      </c>
      <c r="E95" s="13">
        <v>30</v>
      </c>
      <c r="F95" s="29"/>
      <c r="G95" s="29"/>
      <c r="H95" s="10"/>
      <c r="I95" s="10"/>
      <c r="J95" s="9"/>
    </row>
    <row r="96" spans="1:10" ht="16.899999999999999" customHeight="1" x14ac:dyDescent="0.25">
      <c r="A96" s="6"/>
      <c r="B96" s="8" t="s">
        <v>14</v>
      </c>
      <c r="C96" s="1" t="s">
        <v>334</v>
      </c>
      <c r="D96" s="1" t="s">
        <v>4</v>
      </c>
      <c r="E96" s="13">
        <v>15</v>
      </c>
      <c r="F96" s="29"/>
      <c r="G96" s="29"/>
      <c r="H96" s="10"/>
      <c r="I96" s="10"/>
      <c r="J96" s="9"/>
    </row>
    <row r="97" spans="1:10" ht="21" customHeight="1" x14ac:dyDescent="0.25">
      <c r="A97" s="1"/>
      <c r="B97" s="31" t="s">
        <v>61</v>
      </c>
      <c r="C97" s="1"/>
      <c r="D97" s="1"/>
      <c r="E97" s="13"/>
      <c r="F97" s="7"/>
      <c r="G97" s="7"/>
      <c r="H97" s="10"/>
      <c r="I97" s="10"/>
      <c r="J97" s="10"/>
    </row>
    <row r="98" spans="1:10" ht="16.899999999999999" customHeight="1" x14ac:dyDescent="0.25">
      <c r="A98" s="6"/>
      <c r="B98" s="8" t="s">
        <v>16</v>
      </c>
      <c r="C98" s="1" t="s">
        <v>336</v>
      </c>
      <c r="D98" s="1" t="s">
        <v>2</v>
      </c>
      <c r="E98" s="13">
        <v>15</v>
      </c>
      <c r="F98" s="29"/>
      <c r="G98" s="29"/>
      <c r="H98" s="10"/>
      <c r="I98" s="10"/>
      <c r="J98" s="9"/>
    </row>
    <row r="99" spans="1:10" ht="16.899999999999999" customHeight="1" x14ac:dyDescent="0.25">
      <c r="A99" s="6"/>
      <c r="B99" s="8" t="s">
        <v>17</v>
      </c>
      <c r="C99" s="1" t="s">
        <v>336</v>
      </c>
      <c r="D99" s="1" t="s">
        <v>2</v>
      </c>
      <c r="E99" s="13">
        <v>7</v>
      </c>
      <c r="F99" s="29"/>
      <c r="G99" s="29"/>
      <c r="H99" s="10"/>
      <c r="I99" s="10"/>
      <c r="J99" s="9"/>
    </row>
    <row r="100" spans="1:10" ht="16.899999999999999" customHeight="1" x14ac:dyDescent="0.25">
      <c r="A100" s="6"/>
      <c r="B100" s="8" t="s">
        <v>18</v>
      </c>
      <c r="C100" s="1" t="s">
        <v>336</v>
      </c>
      <c r="D100" s="1" t="s">
        <v>2</v>
      </c>
      <c r="E100" s="13">
        <v>7</v>
      </c>
      <c r="F100" s="29"/>
      <c r="G100" s="29"/>
      <c r="H100" s="10"/>
      <c r="I100" s="10"/>
      <c r="J100" s="9"/>
    </row>
    <row r="101" spans="1:10" ht="16.899999999999999" customHeight="1" x14ac:dyDescent="0.25">
      <c r="A101" s="6"/>
      <c r="B101" s="8" t="s">
        <v>14</v>
      </c>
      <c r="C101" s="1" t="s">
        <v>336</v>
      </c>
      <c r="D101" s="1" t="s">
        <v>2</v>
      </c>
      <c r="E101" s="13">
        <v>3</v>
      </c>
      <c r="F101" s="29"/>
      <c r="G101" s="29"/>
      <c r="H101" s="10"/>
      <c r="I101" s="10"/>
      <c r="J101" s="9"/>
    </row>
    <row r="102" spans="1:10" ht="21" customHeight="1" x14ac:dyDescent="0.25">
      <c r="A102" s="1"/>
      <c r="B102" s="31" t="s">
        <v>62</v>
      </c>
      <c r="C102" s="1"/>
      <c r="D102" s="1"/>
      <c r="E102" s="13"/>
      <c r="F102" s="7"/>
      <c r="G102" s="7"/>
      <c r="H102" s="10"/>
      <c r="I102" s="10"/>
      <c r="J102" s="10"/>
    </row>
    <row r="103" spans="1:10" ht="16.899999999999999" customHeight="1" x14ac:dyDescent="0.25">
      <c r="A103" s="6"/>
      <c r="B103" s="8" t="s">
        <v>14</v>
      </c>
      <c r="C103" s="1" t="s">
        <v>336</v>
      </c>
      <c r="D103" s="1" t="s">
        <v>2</v>
      </c>
      <c r="E103" s="13">
        <v>1</v>
      </c>
      <c r="F103" s="29"/>
      <c r="G103" s="29"/>
      <c r="H103" s="10"/>
      <c r="I103" s="10"/>
      <c r="J103" s="9"/>
    </row>
    <row r="104" spans="1:10" ht="21" customHeight="1" x14ac:dyDescent="0.25">
      <c r="A104" s="1"/>
      <c r="B104" s="31" t="s">
        <v>63</v>
      </c>
      <c r="C104" s="1"/>
      <c r="D104" s="1"/>
      <c r="E104" s="13"/>
      <c r="F104" s="7"/>
      <c r="G104" s="7"/>
      <c r="H104" s="7"/>
      <c r="I104" s="7"/>
      <c r="J104" s="7"/>
    </row>
    <row r="105" spans="1:10" ht="16.899999999999999" customHeight="1" x14ac:dyDescent="0.25">
      <c r="A105" s="6"/>
      <c r="B105" s="8" t="s">
        <v>17</v>
      </c>
      <c r="C105" s="1" t="s">
        <v>336</v>
      </c>
      <c r="D105" s="1" t="s">
        <v>2</v>
      </c>
      <c r="E105" s="13">
        <v>2</v>
      </c>
      <c r="F105" s="29"/>
      <c r="G105" s="29"/>
      <c r="H105" s="10"/>
      <c r="I105" s="10"/>
      <c r="J105" s="9"/>
    </row>
    <row r="106" spans="1:10" ht="16.899999999999999" customHeight="1" x14ac:dyDescent="0.25">
      <c r="A106" s="6"/>
      <c r="B106" s="8" t="s">
        <v>13</v>
      </c>
      <c r="C106" s="1" t="s">
        <v>336</v>
      </c>
      <c r="D106" s="1" t="s">
        <v>2</v>
      </c>
      <c r="E106" s="13">
        <v>2</v>
      </c>
      <c r="F106" s="29"/>
      <c r="G106" s="29"/>
      <c r="H106" s="10"/>
      <c r="I106" s="10"/>
      <c r="J106" s="9"/>
    </row>
    <row r="107" spans="1:10" ht="16.899999999999999" customHeight="1" x14ac:dyDescent="0.25">
      <c r="A107" s="6"/>
      <c r="B107" s="8" t="s">
        <v>28</v>
      </c>
      <c r="C107" s="1" t="s">
        <v>336</v>
      </c>
      <c r="D107" s="1" t="s">
        <v>2</v>
      </c>
      <c r="E107" s="13">
        <v>1</v>
      </c>
      <c r="F107" s="29"/>
      <c r="G107" s="29"/>
      <c r="H107" s="10"/>
      <c r="I107" s="10"/>
      <c r="J107" s="9"/>
    </row>
    <row r="108" spans="1:10" ht="21" customHeight="1" x14ac:dyDescent="0.25">
      <c r="A108" s="1"/>
      <c r="B108" s="31" t="s">
        <v>64</v>
      </c>
      <c r="C108" s="1"/>
      <c r="D108" s="1"/>
      <c r="E108" s="13"/>
      <c r="F108" s="7"/>
      <c r="G108" s="7"/>
      <c r="H108" s="10"/>
      <c r="I108" s="10"/>
      <c r="J108" s="10"/>
    </row>
    <row r="109" spans="1:10" ht="16.899999999999999" customHeight="1" x14ac:dyDescent="0.25">
      <c r="A109" s="6"/>
      <c r="B109" s="8" t="s">
        <v>10</v>
      </c>
      <c r="C109" s="1" t="s">
        <v>344</v>
      </c>
      <c r="D109" s="1" t="s">
        <v>2</v>
      </c>
      <c r="E109" s="13">
        <v>3</v>
      </c>
      <c r="F109" s="29"/>
      <c r="G109" s="29"/>
      <c r="H109" s="10"/>
      <c r="I109" s="10"/>
      <c r="J109" s="9"/>
    </row>
    <row r="110" spans="1:10" ht="21" customHeight="1" x14ac:dyDescent="0.25">
      <c r="A110" s="1"/>
      <c r="B110" s="31" t="s">
        <v>65</v>
      </c>
      <c r="C110" s="1"/>
      <c r="D110" s="1"/>
      <c r="E110" s="13"/>
      <c r="F110" s="7"/>
      <c r="G110" s="7"/>
      <c r="H110" s="7"/>
      <c r="I110" s="7"/>
      <c r="J110" s="7"/>
    </row>
    <row r="111" spans="1:10" ht="16.899999999999999" customHeight="1" x14ac:dyDescent="0.25">
      <c r="A111" s="6"/>
      <c r="B111" s="8" t="s">
        <v>10</v>
      </c>
      <c r="C111" s="1" t="s">
        <v>344</v>
      </c>
      <c r="D111" s="1" t="s">
        <v>2</v>
      </c>
      <c r="E111" s="13">
        <v>5</v>
      </c>
      <c r="F111" s="29"/>
      <c r="G111" s="29"/>
      <c r="H111" s="10"/>
      <c r="I111" s="10"/>
      <c r="J111" s="9"/>
    </row>
    <row r="112" spans="1:10" ht="21" customHeight="1" x14ac:dyDescent="0.25">
      <c r="A112" s="1"/>
      <c r="B112" s="31" t="s">
        <v>129</v>
      </c>
      <c r="C112" s="1"/>
      <c r="D112" s="1"/>
      <c r="E112" s="13"/>
      <c r="F112" s="7"/>
      <c r="G112" s="7"/>
      <c r="H112" s="7"/>
      <c r="I112" s="7"/>
      <c r="J112" s="7"/>
    </row>
    <row r="113" spans="1:10" ht="16.899999999999999" customHeight="1" x14ac:dyDescent="0.25">
      <c r="A113" s="6"/>
      <c r="B113" s="8" t="s">
        <v>10</v>
      </c>
      <c r="C113" s="1" t="s">
        <v>336</v>
      </c>
      <c r="D113" s="1" t="s">
        <v>2</v>
      </c>
      <c r="E113" s="13">
        <v>1</v>
      </c>
      <c r="F113" s="29"/>
      <c r="G113" s="29"/>
      <c r="H113" s="10"/>
      <c r="I113" s="10"/>
      <c r="J113" s="9"/>
    </row>
    <row r="114" spans="1:10" ht="21" customHeight="1" x14ac:dyDescent="0.25">
      <c r="A114" s="1"/>
      <c r="B114" s="31" t="s">
        <v>66</v>
      </c>
      <c r="C114" s="1"/>
      <c r="D114" s="1"/>
      <c r="E114" s="13"/>
      <c r="F114" s="7"/>
      <c r="G114" s="7"/>
      <c r="H114" s="7"/>
      <c r="I114" s="7"/>
      <c r="J114" s="7"/>
    </row>
    <row r="115" spans="1:10" ht="16.899999999999999" customHeight="1" x14ac:dyDescent="0.25">
      <c r="A115" s="6"/>
      <c r="B115" s="8" t="s">
        <v>10</v>
      </c>
      <c r="C115" s="1" t="s">
        <v>336</v>
      </c>
      <c r="D115" s="1" t="s">
        <v>2</v>
      </c>
      <c r="E115" s="13">
        <v>3</v>
      </c>
      <c r="F115" s="29"/>
      <c r="G115" s="29"/>
      <c r="H115" s="10"/>
      <c r="I115" s="10"/>
      <c r="J115" s="9"/>
    </row>
    <row r="116" spans="1:10" ht="21" customHeight="1" x14ac:dyDescent="0.25">
      <c r="A116" s="1"/>
      <c r="B116" s="31" t="s">
        <v>67</v>
      </c>
      <c r="C116" s="1"/>
      <c r="D116" s="1"/>
      <c r="E116" s="13"/>
      <c r="F116" s="7"/>
      <c r="G116" s="7"/>
      <c r="H116" s="7"/>
      <c r="I116" s="7"/>
      <c r="J116" s="7"/>
    </row>
    <row r="117" spans="1:10" ht="16.899999999999999" customHeight="1" x14ac:dyDescent="0.25">
      <c r="A117" s="6"/>
      <c r="B117" s="8" t="s">
        <v>13</v>
      </c>
      <c r="C117" s="1" t="s">
        <v>336</v>
      </c>
      <c r="D117" s="1" t="s">
        <v>2</v>
      </c>
      <c r="E117" s="13">
        <v>1</v>
      </c>
      <c r="F117" s="29"/>
      <c r="G117" s="29"/>
      <c r="H117" s="10"/>
      <c r="I117" s="10"/>
      <c r="J117" s="9"/>
    </row>
    <row r="118" spans="1:10" ht="21" customHeight="1" x14ac:dyDescent="0.25">
      <c r="A118" s="1"/>
      <c r="B118" s="31" t="s">
        <v>82</v>
      </c>
      <c r="C118" s="1"/>
      <c r="D118" s="1"/>
      <c r="E118" s="13"/>
      <c r="F118" s="7"/>
      <c r="G118" s="7"/>
      <c r="H118" s="7"/>
      <c r="I118" s="7"/>
      <c r="J118" s="7"/>
    </row>
    <row r="119" spans="1:10" ht="16.899999999999999" customHeight="1" x14ac:dyDescent="0.25">
      <c r="A119" s="6"/>
      <c r="B119" s="8" t="s">
        <v>83</v>
      </c>
      <c r="C119" s="1" t="s">
        <v>345</v>
      </c>
      <c r="D119" s="1" t="s">
        <v>23</v>
      </c>
      <c r="E119" s="13">
        <v>1000</v>
      </c>
      <c r="F119" s="29"/>
      <c r="G119" s="29"/>
      <c r="H119" s="10"/>
      <c r="I119" s="10"/>
      <c r="J119" s="9"/>
    </row>
    <row r="120" spans="1:10" ht="21" customHeight="1" x14ac:dyDescent="0.25">
      <c r="A120" s="1"/>
      <c r="B120" s="31" t="s">
        <v>84</v>
      </c>
      <c r="C120" s="1"/>
      <c r="D120" s="1"/>
      <c r="E120" s="13"/>
      <c r="F120" s="7"/>
      <c r="G120" s="7"/>
      <c r="H120" s="7"/>
      <c r="I120" s="7"/>
      <c r="J120" s="7"/>
    </row>
    <row r="121" spans="1:10" ht="16.899999999999999" customHeight="1" x14ac:dyDescent="0.25">
      <c r="A121" s="6"/>
      <c r="B121" s="8" t="s">
        <v>85</v>
      </c>
      <c r="C121" s="1" t="s">
        <v>321</v>
      </c>
      <c r="D121" s="1" t="s">
        <v>42</v>
      </c>
      <c r="E121" s="13">
        <v>1</v>
      </c>
      <c r="F121" s="29"/>
      <c r="G121" s="29"/>
      <c r="H121" s="10"/>
      <c r="I121" s="10"/>
      <c r="J121" s="9"/>
    </row>
    <row r="122" spans="1:10" ht="23.25" x14ac:dyDescent="0.25">
      <c r="A122" s="30">
        <v>2</v>
      </c>
      <c r="B122" s="66" t="s">
        <v>43</v>
      </c>
      <c r="C122" s="67"/>
      <c r="D122" s="67"/>
      <c r="E122" s="67"/>
      <c r="F122" s="67"/>
      <c r="G122" s="68"/>
      <c r="H122" s="20">
        <f t="shared" ref="H122:I122" si="0">SUM(H124:H185)</f>
        <v>0</v>
      </c>
      <c r="I122" s="20">
        <f t="shared" si="0"/>
        <v>0</v>
      </c>
      <c r="J122" s="20">
        <f>SUM(J124:J185)</f>
        <v>0</v>
      </c>
    </row>
    <row r="123" spans="1:10" ht="21" customHeight="1" x14ac:dyDescent="0.25">
      <c r="A123" s="1"/>
      <c r="B123" s="31" t="s">
        <v>95</v>
      </c>
      <c r="C123" s="6"/>
      <c r="D123" s="1"/>
      <c r="E123" s="13"/>
      <c r="F123" s="7"/>
      <c r="G123" s="7"/>
      <c r="H123" s="10"/>
      <c r="I123" s="10"/>
      <c r="J123" s="10"/>
    </row>
    <row r="124" spans="1:10" ht="16.899999999999999" customHeight="1" x14ac:dyDescent="0.25">
      <c r="A124" s="6"/>
      <c r="B124" s="8" t="s">
        <v>168</v>
      </c>
      <c r="C124" s="1" t="s">
        <v>332</v>
      </c>
      <c r="D124" s="1" t="s">
        <v>2</v>
      </c>
      <c r="E124" s="13">
        <v>1</v>
      </c>
      <c r="F124" s="29"/>
      <c r="G124" s="29"/>
      <c r="H124" s="10"/>
      <c r="I124" s="10"/>
      <c r="J124" s="9"/>
    </row>
    <row r="125" spans="1:10" ht="21" customHeight="1" x14ac:dyDescent="0.25">
      <c r="A125" s="1"/>
      <c r="B125" s="31" t="s">
        <v>97</v>
      </c>
      <c r="C125" s="6"/>
      <c r="D125" s="1"/>
      <c r="E125" s="13"/>
      <c r="F125" s="7"/>
      <c r="G125" s="7"/>
      <c r="H125" s="10"/>
      <c r="I125" s="10"/>
      <c r="J125" s="10"/>
    </row>
    <row r="126" spans="1:10" ht="16.899999999999999" customHeight="1" x14ac:dyDescent="0.25">
      <c r="A126" s="6"/>
      <c r="B126" s="8" t="s">
        <v>14</v>
      </c>
      <c r="C126" s="1" t="s">
        <v>342</v>
      </c>
      <c r="D126" s="1" t="s">
        <v>4</v>
      </c>
      <c r="E126" s="13">
        <v>104</v>
      </c>
      <c r="F126" s="29"/>
      <c r="G126" s="29"/>
      <c r="H126" s="10"/>
      <c r="I126" s="10"/>
      <c r="J126" s="9"/>
    </row>
    <row r="127" spans="1:10" ht="16.899999999999999" customHeight="1" x14ac:dyDescent="0.25">
      <c r="A127" s="6"/>
      <c r="B127" s="8" t="s">
        <v>22</v>
      </c>
      <c r="C127" s="1" t="s">
        <v>342</v>
      </c>
      <c r="D127" s="1" t="s">
        <v>4</v>
      </c>
      <c r="E127" s="13">
        <v>27</v>
      </c>
      <c r="F127" s="29"/>
      <c r="G127" s="29"/>
      <c r="H127" s="10"/>
      <c r="I127" s="10"/>
      <c r="J127" s="9"/>
    </row>
    <row r="128" spans="1:10" ht="16.899999999999999" customHeight="1" x14ac:dyDescent="0.25">
      <c r="A128" s="6"/>
      <c r="B128" s="8" t="s">
        <v>21</v>
      </c>
      <c r="C128" s="1" t="s">
        <v>342</v>
      </c>
      <c r="D128" s="1" t="s">
        <v>4</v>
      </c>
      <c r="E128" s="13">
        <v>18</v>
      </c>
      <c r="F128" s="29"/>
      <c r="G128" s="29"/>
      <c r="H128" s="10"/>
      <c r="I128" s="10"/>
      <c r="J128" s="9"/>
    </row>
    <row r="129" spans="1:10" ht="16.899999999999999" customHeight="1" x14ac:dyDescent="0.25">
      <c r="A129" s="6"/>
      <c r="B129" s="8" t="s">
        <v>47</v>
      </c>
      <c r="C129" s="1" t="s">
        <v>343</v>
      </c>
      <c r="D129" s="1"/>
      <c r="E129" s="34">
        <v>0.5</v>
      </c>
      <c r="F129" s="7"/>
      <c r="G129" s="7"/>
      <c r="H129" s="10"/>
      <c r="I129" s="10"/>
      <c r="J129" s="9"/>
    </row>
    <row r="130" spans="1:10" ht="21" customHeight="1" x14ac:dyDescent="0.25">
      <c r="A130" s="1"/>
      <c r="B130" s="5" t="s">
        <v>93</v>
      </c>
      <c r="C130" s="6"/>
      <c r="D130" s="1"/>
      <c r="E130" s="13"/>
      <c r="F130" s="7"/>
      <c r="G130" s="7"/>
      <c r="H130" s="10"/>
      <c r="I130" s="10"/>
      <c r="J130" s="10"/>
    </row>
    <row r="131" spans="1:10" ht="16.899999999999999" customHeight="1" x14ac:dyDescent="0.25">
      <c r="A131" s="6"/>
      <c r="B131" s="8" t="s">
        <v>94</v>
      </c>
      <c r="C131" s="1" t="s">
        <v>346</v>
      </c>
      <c r="D131" s="1" t="s">
        <v>2</v>
      </c>
      <c r="E131" s="13">
        <v>11</v>
      </c>
      <c r="F131" s="29"/>
      <c r="G131" s="29"/>
      <c r="H131" s="10"/>
      <c r="I131" s="10"/>
      <c r="J131" s="9"/>
    </row>
    <row r="132" spans="1:10" ht="21" customHeight="1" x14ac:dyDescent="0.25">
      <c r="A132" s="1"/>
      <c r="B132" s="31" t="s">
        <v>96</v>
      </c>
      <c r="C132" s="6"/>
      <c r="D132" s="1"/>
      <c r="E132" s="13"/>
      <c r="F132" s="7"/>
      <c r="G132" s="7"/>
      <c r="H132" s="10"/>
      <c r="I132" s="10"/>
      <c r="J132" s="10"/>
    </row>
    <row r="133" spans="1:10" ht="16.899999999999999" customHeight="1" x14ac:dyDescent="0.25">
      <c r="A133" s="6"/>
      <c r="B133" s="8" t="s">
        <v>169</v>
      </c>
      <c r="C133" s="1" t="s">
        <v>332</v>
      </c>
      <c r="D133" s="1" t="s">
        <v>2</v>
      </c>
      <c r="E133" s="13">
        <v>1</v>
      </c>
      <c r="F133" s="29"/>
      <c r="G133" s="29"/>
      <c r="H133" s="10"/>
      <c r="I133" s="10"/>
      <c r="J133" s="9"/>
    </row>
    <row r="134" spans="1:10" ht="21" customHeight="1" x14ac:dyDescent="0.25">
      <c r="A134" s="1"/>
      <c r="B134" s="31" t="s">
        <v>90</v>
      </c>
      <c r="C134" s="6"/>
      <c r="D134" s="1"/>
      <c r="E134" s="13"/>
      <c r="F134" s="7"/>
      <c r="G134" s="7"/>
      <c r="H134" s="10"/>
      <c r="I134" s="10"/>
      <c r="J134" s="10"/>
    </row>
    <row r="135" spans="1:10" ht="16.899999999999999" customHeight="1" x14ac:dyDescent="0.25">
      <c r="A135" s="6"/>
      <c r="B135" s="8" t="s">
        <v>25</v>
      </c>
      <c r="C135" s="1" t="s">
        <v>342</v>
      </c>
      <c r="D135" s="1" t="s">
        <v>4</v>
      </c>
      <c r="E135" s="13">
        <v>550</v>
      </c>
      <c r="F135" s="29"/>
      <c r="G135" s="29"/>
      <c r="H135" s="10"/>
      <c r="I135" s="10"/>
      <c r="J135" s="9"/>
    </row>
    <row r="136" spans="1:10" ht="16.899999999999999" customHeight="1" x14ac:dyDescent="0.25">
      <c r="A136" s="6"/>
      <c r="B136" s="8" t="s">
        <v>12</v>
      </c>
      <c r="C136" s="1" t="s">
        <v>342</v>
      </c>
      <c r="D136" s="1" t="s">
        <v>4</v>
      </c>
      <c r="E136" s="13">
        <v>104</v>
      </c>
      <c r="F136" s="29"/>
      <c r="G136" s="29"/>
      <c r="H136" s="10"/>
      <c r="I136" s="10"/>
      <c r="J136" s="9"/>
    </row>
    <row r="137" spans="1:10" ht="16.899999999999999" customHeight="1" x14ac:dyDescent="0.25">
      <c r="A137" s="6"/>
      <c r="B137" s="8" t="s">
        <v>13</v>
      </c>
      <c r="C137" s="1" t="s">
        <v>342</v>
      </c>
      <c r="D137" s="1" t="s">
        <v>4</v>
      </c>
      <c r="E137" s="13">
        <v>70</v>
      </c>
      <c r="F137" s="29"/>
      <c r="G137" s="29"/>
      <c r="H137" s="10"/>
      <c r="I137" s="10"/>
      <c r="J137" s="9"/>
    </row>
    <row r="138" spans="1:10" ht="16.899999999999999" customHeight="1" x14ac:dyDescent="0.25">
      <c r="A138" s="6"/>
      <c r="B138" s="8" t="s">
        <v>14</v>
      </c>
      <c r="C138" s="1" t="s">
        <v>342</v>
      </c>
      <c r="D138" s="1" t="s">
        <v>4</v>
      </c>
      <c r="E138" s="13">
        <v>84</v>
      </c>
      <c r="F138" s="29"/>
      <c r="G138" s="29"/>
      <c r="H138" s="10"/>
      <c r="I138" s="10"/>
      <c r="J138" s="9"/>
    </row>
    <row r="139" spans="1:10" ht="16.899999999999999" customHeight="1" x14ac:dyDescent="0.25">
      <c r="A139" s="6"/>
      <c r="B139" s="8" t="s">
        <v>22</v>
      </c>
      <c r="C139" s="1" t="s">
        <v>342</v>
      </c>
      <c r="D139" s="1" t="s">
        <v>4</v>
      </c>
      <c r="E139" s="13">
        <v>120</v>
      </c>
      <c r="F139" s="29"/>
      <c r="G139" s="29"/>
      <c r="H139" s="10"/>
      <c r="I139" s="10"/>
      <c r="J139" s="9"/>
    </row>
    <row r="140" spans="1:10" ht="16.899999999999999" customHeight="1" x14ac:dyDescent="0.25">
      <c r="A140" s="6"/>
      <c r="B140" s="8" t="s">
        <v>21</v>
      </c>
      <c r="C140" s="1" t="s">
        <v>342</v>
      </c>
      <c r="D140" s="1" t="s">
        <v>4</v>
      </c>
      <c r="E140" s="13">
        <v>42</v>
      </c>
      <c r="F140" s="29"/>
      <c r="G140" s="29"/>
      <c r="H140" s="10"/>
      <c r="I140" s="10"/>
      <c r="J140" s="9"/>
    </row>
    <row r="141" spans="1:10" ht="16.899999999999999" customHeight="1" x14ac:dyDescent="0.25">
      <c r="A141" s="6"/>
      <c r="B141" s="8" t="s">
        <v>57</v>
      </c>
      <c r="C141" s="1" t="s">
        <v>342</v>
      </c>
      <c r="D141" s="1" t="s">
        <v>4</v>
      </c>
      <c r="E141" s="13">
        <v>140</v>
      </c>
      <c r="F141" s="29"/>
      <c r="G141" s="29"/>
      <c r="H141" s="10"/>
      <c r="I141" s="10"/>
      <c r="J141" s="9"/>
    </row>
    <row r="142" spans="1:10" ht="16.899999999999999" customHeight="1" x14ac:dyDescent="0.25">
      <c r="A142" s="6"/>
      <c r="B142" s="8" t="s">
        <v>47</v>
      </c>
      <c r="C142" s="1" t="s">
        <v>343</v>
      </c>
      <c r="D142" s="1"/>
      <c r="E142" s="34">
        <v>0.5</v>
      </c>
      <c r="F142" s="7"/>
      <c r="G142" s="7"/>
      <c r="H142" s="10"/>
      <c r="I142" s="10"/>
      <c r="J142" s="9"/>
    </row>
    <row r="143" spans="1:10" ht="21" customHeight="1" x14ac:dyDescent="0.25">
      <c r="A143" s="1"/>
      <c r="B143" s="5" t="s">
        <v>91</v>
      </c>
      <c r="C143" s="6"/>
      <c r="D143" s="1"/>
      <c r="E143" s="13"/>
      <c r="F143" s="7"/>
      <c r="G143" s="7"/>
      <c r="H143" s="10"/>
      <c r="I143" s="10"/>
      <c r="J143" s="10"/>
    </row>
    <row r="144" spans="1:10" ht="16.899999999999999" customHeight="1" x14ac:dyDescent="0.25">
      <c r="A144" s="6"/>
      <c r="B144" s="8" t="s">
        <v>159</v>
      </c>
      <c r="C144" s="1" t="s">
        <v>347</v>
      </c>
      <c r="D144" s="1" t="s">
        <v>4</v>
      </c>
      <c r="E144" s="13">
        <v>808</v>
      </c>
      <c r="F144" s="29"/>
      <c r="G144" s="29"/>
      <c r="H144" s="10"/>
      <c r="I144" s="10"/>
      <c r="J144" s="9"/>
    </row>
    <row r="145" spans="1:10" ht="16.899999999999999" customHeight="1" x14ac:dyDescent="0.25">
      <c r="A145" s="6"/>
      <c r="B145" s="8" t="s">
        <v>160</v>
      </c>
      <c r="C145" s="1" t="s">
        <v>347</v>
      </c>
      <c r="D145" s="1" t="s">
        <v>4</v>
      </c>
      <c r="E145" s="13">
        <v>302</v>
      </c>
      <c r="F145" s="29"/>
      <c r="G145" s="29"/>
      <c r="H145" s="10"/>
      <c r="I145" s="10"/>
      <c r="J145" s="9"/>
    </row>
    <row r="146" spans="1:10" ht="21" customHeight="1" x14ac:dyDescent="0.25">
      <c r="A146" s="1"/>
      <c r="B146" s="5" t="s">
        <v>92</v>
      </c>
      <c r="C146" s="6"/>
      <c r="D146" s="1"/>
      <c r="E146" s="13"/>
      <c r="F146" s="7"/>
      <c r="G146" s="7"/>
      <c r="H146" s="10"/>
      <c r="I146" s="10"/>
      <c r="J146" s="10"/>
    </row>
    <row r="147" spans="1:10" ht="16.899999999999999" customHeight="1" x14ac:dyDescent="0.25">
      <c r="A147" s="6"/>
      <c r="B147" s="8" t="s">
        <v>159</v>
      </c>
      <c r="C147" s="1" t="s">
        <v>347</v>
      </c>
      <c r="D147" s="1" t="s">
        <v>4</v>
      </c>
      <c r="E147" s="13">
        <v>808</v>
      </c>
      <c r="F147" s="29"/>
      <c r="G147" s="29"/>
      <c r="H147" s="10"/>
      <c r="I147" s="10"/>
      <c r="J147" s="9"/>
    </row>
    <row r="148" spans="1:10" ht="16.899999999999999" customHeight="1" x14ac:dyDescent="0.25">
      <c r="A148" s="6"/>
      <c r="B148" s="8" t="s">
        <v>160</v>
      </c>
      <c r="C148" s="1" t="s">
        <v>347</v>
      </c>
      <c r="D148" s="1" t="s">
        <v>4</v>
      </c>
      <c r="E148" s="13">
        <v>302</v>
      </c>
      <c r="F148" s="29"/>
      <c r="G148" s="29"/>
      <c r="H148" s="10"/>
      <c r="I148" s="10"/>
      <c r="J148" s="9"/>
    </row>
    <row r="149" spans="1:10" ht="21" customHeight="1" x14ac:dyDescent="0.25">
      <c r="A149" s="1"/>
      <c r="B149" s="31" t="s">
        <v>98</v>
      </c>
      <c r="C149" s="6"/>
      <c r="D149" s="1"/>
      <c r="E149" s="13"/>
      <c r="F149" s="7"/>
      <c r="G149" s="7"/>
      <c r="H149" s="10"/>
      <c r="I149" s="10"/>
      <c r="J149" s="10"/>
    </row>
    <row r="150" spans="1:10" ht="16.899999999999999" customHeight="1" x14ac:dyDescent="0.25">
      <c r="A150" s="6"/>
      <c r="B150" s="8" t="s">
        <v>99</v>
      </c>
      <c r="C150" s="1" t="s">
        <v>336</v>
      </c>
      <c r="D150" s="1" t="s">
        <v>2</v>
      </c>
      <c r="E150" s="13">
        <v>115</v>
      </c>
      <c r="F150" s="29"/>
      <c r="G150" s="29"/>
      <c r="H150" s="10"/>
      <c r="I150" s="10"/>
      <c r="J150" s="9"/>
    </row>
    <row r="151" spans="1:10" ht="16.899999999999999" customHeight="1" x14ac:dyDescent="0.25">
      <c r="A151" s="6"/>
      <c r="B151" s="8" t="s">
        <v>109</v>
      </c>
      <c r="C151" s="1" t="s">
        <v>336</v>
      </c>
      <c r="D151" s="1" t="s">
        <v>2</v>
      </c>
      <c r="E151" s="13">
        <v>91</v>
      </c>
      <c r="F151" s="29"/>
      <c r="G151" s="29"/>
      <c r="H151" s="10"/>
      <c r="I151" s="10"/>
      <c r="J151" s="9"/>
    </row>
    <row r="152" spans="1:10" ht="16.899999999999999" customHeight="1" x14ac:dyDescent="0.25">
      <c r="A152" s="6"/>
      <c r="B152" s="8" t="s">
        <v>100</v>
      </c>
      <c r="C152" s="1" t="s">
        <v>336</v>
      </c>
      <c r="D152" s="1" t="s">
        <v>2</v>
      </c>
      <c r="E152" s="13">
        <v>87</v>
      </c>
      <c r="F152" s="29"/>
      <c r="G152" s="29"/>
      <c r="H152" s="10"/>
      <c r="I152" s="10"/>
      <c r="J152" s="9"/>
    </row>
    <row r="153" spans="1:10" ht="16.899999999999999" customHeight="1" x14ac:dyDescent="0.25">
      <c r="A153" s="6"/>
      <c r="B153" s="8" t="s">
        <v>101</v>
      </c>
      <c r="C153" s="1" t="s">
        <v>348</v>
      </c>
      <c r="D153" s="1" t="s">
        <v>2</v>
      </c>
      <c r="E153" s="13">
        <v>115</v>
      </c>
      <c r="F153" s="29"/>
      <c r="G153" s="29"/>
      <c r="H153" s="10"/>
      <c r="I153" s="10"/>
      <c r="J153" s="9"/>
    </row>
    <row r="154" spans="1:10" ht="21" customHeight="1" x14ac:dyDescent="0.25">
      <c r="A154" s="1"/>
      <c r="B154" s="5" t="s">
        <v>102</v>
      </c>
      <c r="C154" s="6"/>
      <c r="D154" s="1"/>
      <c r="E154" s="13"/>
      <c r="F154" s="7"/>
      <c r="G154" s="7"/>
      <c r="H154" s="10"/>
      <c r="I154" s="10"/>
      <c r="J154" s="10"/>
    </row>
    <row r="155" spans="1:10" ht="16.899999999999999" customHeight="1" x14ac:dyDescent="0.25">
      <c r="A155" s="6"/>
      <c r="B155" s="8" t="s">
        <v>28</v>
      </c>
      <c r="C155" s="1" t="s">
        <v>336</v>
      </c>
      <c r="D155" s="1" t="s">
        <v>2</v>
      </c>
      <c r="E155" s="13">
        <v>1</v>
      </c>
      <c r="F155" s="29"/>
      <c r="G155" s="29"/>
      <c r="H155" s="10"/>
      <c r="I155" s="10"/>
      <c r="J155" s="9"/>
    </row>
    <row r="156" spans="1:10" ht="16.899999999999999" customHeight="1" x14ac:dyDescent="0.25">
      <c r="A156" s="6"/>
      <c r="B156" s="8" t="s">
        <v>21</v>
      </c>
      <c r="C156" s="1" t="s">
        <v>336</v>
      </c>
      <c r="D156" s="1" t="s">
        <v>2</v>
      </c>
      <c r="E156" s="13">
        <v>3</v>
      </c>
      <c r="F156" s="29"/>
      <c r="G156" s="29"/>
      <c r="H156" s="10"/>
      <c r="I156" s="10"/>
      <c r="J156" s="9"/>
    </row>
    <row r="157" spans="1:10" ht="16.899999999999999" customHeight="1" x14ac:dyDescent="0.25">
      <c r="A157" s="6"/>
      <c r="B157" s="8" t="s">
        <v>57</v>
      </c>
      <c r="C157" s="1" t="s">
        <v>336</v>
      </c>
      <c r="D157" s="1" t="s">
        <v>2</v>
      </c>
      <c r="E157" s="13">
        <v>2</v>
      </c>
      <c r="F157" s="29"/>
      <c r="G157" s="29"/>
      <c r="H157" s="10"/>
      <c r="I157" s="10"/>
      <c r="J157" s="9"/>
    </row>
    <row r="158" spans="1:10" ht="21" customHeight="1" x14ac:dyDescent="0.25">
      <c r="A158" s="1"/>
      <c r="B158" s="5" t="s">
        <v>106</v>
      </c>
      <c r="C158" s="6"/>
      <c r="D158" s="1"/>
      <c r="E158" s="13"/>
      <c r="F158" s="7"/>
      <c r="G158" s="7"/>
      <c r="H158" s="10"/>
      <c r="I158" s="10"/>
      <c r="J158" s="10"/>
    </row>
    <row r="159" spans="1:10" ht="16.899999999999999" customHeight="1" x14ac:dyDescent="0.25">
      <c r="A159" s="6"/>
      <c r="B159" s="8" t="s">
        <v>28</v>
      </c>
      <c r="C159" s="1" t="s">
        <v>336</v>
      </c>
      <c r="D159" s="1" t="s">
        <v>2</v>
      </c>
      <c r="E159" s="13">
        <v>1</v>
      </c>
      <c r="F159" s="29"/>
      <c r="G159" s="29"/>
      <c r="H159" s="10"/>
      <c r="I159" s="10"/>
      <c r="J159" s="9"/>
    </row>
    <row r="160" spans="1:10" ht="16.899999999999999" customHeight="1" x14ac:dyDescent="0.25">
      <c r="A160" s="6"/>
      <c r="B160" s="8" t="s">
        <v>21</v>
      </c>
      <c r="C160" s="1" t="s">
        <v>336</v>
      </c>
      <c r="D160" s="1" t="s">
        <v>2</v>
      </c>
      <c r="E160" s="13">
        <v>3</v>
      </c>
      <c r="F160" s="29"/>
      <c r="G160" s="29"/>
      <c r="H160" s="10"/>
      <c r="I160" s="10"/>
      <c r="J160" s="9"/>
    </row>
    <row r="161" spans="1:10" ht="16.899999999999999" customHeight="1" x14ac:dyDescent="0.25">
      <c r="A161" s="6"/>
      <c r="B161" s="8" t="s">
        <v>57</v>
      </c>
      <c r="C161" s="1" t="s">
        <v>336</v>
      </c>
      <c r="D161" s="1" t="s">
        <v>2</v>
      </c>
      <c r="E161" s="13">
        <v>5</v>
      </c>
      <c r="F161" s="29"/>
      <c r="G161" s="29"/>
      <c r="H161" s="10"/>
      <c r="I161" s="10"/>
      <c r="J161" s="9"/>
    </row>
    <row r="162" spans="1:10" ht="21" customHeight="1" x14ac:dyDescent="0.25">
      <c r="A162" s="1"/>
      <c r="B162" s="5" t="s">
        <v>103</v>
      </c>
      <c r="C162" s="6"/>
      <c r="D162" s="1"/>
      <c r="E162" s="13"/>
      <c r="F162" s="7"/>
      <c r="G162" s="7"/>
      <c r="H162" s="10"/>
      <c r="I162" s="10"/>
      <c r="J162" s="10"/>
    </row>
    <row r="163" spans="1:10" ht="16.899999999999999" customHeight="1" x14ac:dyDescent="0.25">
      <c r="A163" s="6"/>
      <c r="B163" s="8" t="s">
        <v>25</v>
      </c>
      <c r="C163" s="1" t="s">
        <v>336</v>
      </c>
      <c r="D163" s="1" t="s">
        <v>2</v>
      </c>
      <c r="E163" s="13">
        <v>6</v>
      </c>
      <c r="F163" s="29"/>
      <c r="G163" s="29"/>
      <c r="H163" s="10"/>
      <c r="I163" s="10"/>
      <c r="J163" s="9"/>
    </row>
    <row r="164" spans="1:10" ht="21" customHeight="1" x14ac:dyDescent="0.25">
      <c r="A164" s="1"/>
      <c r="B164" s="31" t="s">
        <v>104</v>
      </c>
      <c r="C164" s="11"/>
      <c r="D164" s="13"/>
      <c r="E164" s="13"/>
      <c r="F164" s="7"/>
      <c r="G164" s="7"/>
      <c r="H164" s="10"/>
      <c r="I164" s="10"/>
      <c r="J164" s="10"/>
    </row>
    <row r="165" spans="1:10" ht="16.899999999999999" customHeight="1" x14ac:dyDescent="0.25">
      <c r="A165" s="6"/>
      <c r="B165" s="32" t="s">
        <v>57</v>
      </c>
      <c r="C165" s="1" t="s">
        <v>336</v>
      </c>
      <c r="D165" s="13" t="s">
        <v>2</v>
      </c>
      <c r="E165" s="13">
        <v>2</v>
      </c>
      <c r="F165" s="29"/>
      <c r="G165" s="29"/>
      <c r="H165" s="10"/>
      <c r="I165" s="10"/>
      <c r="J165" s="9"/>
    </row>
    <row r="166" spans="1:10" ht="21" customHeight="1" x14ac:dyDescent="0.25">
      <c r="A166" s="1"/>
      <c r="B166" s="5" t="s">
        <v>163</v>
      </c>
      <c r="C166" s="6"/>
      <c r="D166" s="1"/>
      <c r="E166" s="13"/>
      <c r="F166" s="7"/>
      <c r="G166" s="7"/>
      <c r="H166" s="10"/>
      <c r="I166" s="10"/>
      <c r="J166" s="10"/>
    </row>
    <row r="167" spans="1:10" ht="16.899999999999999" customHeight="1" x14ac:dyDescent="0.25">
      <c r="A167" s="6"/>
      <c r="B167" s="8" t="s">
        <v>164</v>
      </c>
      <c r="C167" s="1" t="s">
        <v>349</v>
      </c>
      <c r="D167" s="1" t="s">
        <v>2</v>
      </c>
      <c r="E167" s="13">
        <v>1</v>
      </c>
      <c r="F167" s="29"/>
      <c r="G167" s="29"/>
      <c r="H167" s="10"/>
      <c r="I167" s="10"/>
      <c r="J167" s="9"/>
    </row>
    <row r="168" spans="1:10" ht="21" customHeight="1" x14ac:dyDescent="0.25">
      <c r="A168" s="1"/>
      <c r="B168" s="5" t="s">
        <v>107</v>
      </c>
      <c r="C168" s="6"/>
      <c r="D168" s="1"/>
      <c r="E168" s="13"/>
      <c r="F168" s="7"/>
      <c r="G168" s="7"/>
      <c r="H168" s="10"/>
      <c r="I168" s="10"/>
      <c r="J168" s="10"/>
    </row>
    <row r="169" spans="1:10" ht="16.899999999999999" customHeight="1" x14ac:dyDescent="0.25">
      <c r="A169" s="6"/>
      <c r="B169" s="8" t="s">
        <v>108</v>
      </c>
      <c r="C169" s="1" t="s">
        <v>336</v>
      </c>
      <c r="D169" s="1" t="s">
        <v>2</v>
      </c>
      <c r="E169" s="35">
        <v>1</v>
      </c>
      <c r="F169" s="29"/>
      <c r="G169" s="29"/>
      <c r="H169" s="10"/>
      <c r="I169" s="10"/>
      <c r="J169" s="9"/>
    </row>
    <row r="170" spans="1:10" ht="21" customHeight="1" x14ac:dyDescent="0.25">
      <c r="A170" s="1"/>
      <c r="B170" s="5" t="s">
        <v>105</v>
      </c>
      <c r="C170" s="6"/>
      <c r="D170" s="1"/>
      <c r="E170" s="13"/>
      <c r="F170" s="7"/>
      <c r="G170" s="7"/>
      <c r="H170" s="10"/>
      <c r="I170" s="10"/>
      <c r="J170" s="10"/>
    </row>
    <row r="171" spans="1:10" ht="16.899999999999999" customHeight="1" x14ac:dyDescent="0.25">
      <c r="A171" s="6"/>
      <c r="B171" s="8" t="s">
        <v>57</v>
      </c>
      <c r="C171" s="1" t="s">
        <v>336</v>
      </c>
      <c r="D171" s="1" t="s">
        <v>2</v>
      </c>
      <c r="E171" s="13">
        <v>1</v>
      </c>
      <c r="F171" s="29"/>
      <c r="G171" s="29"/>
      <c r="H171" s="10"/>
      <c r="I171" s="10"/>
      <c r="J171" s="9"/>
    </row>
    <row r="172" spans="1:10" ht="21" customHeight="1" x14ac:dyDescent="0.25">
      <c r="A172" s="1"/>
      <c r="B172" s="5" t="s">
        <v>161</v>
      </c>
      <c r="C172" s="6"/>
      <c r="D172" s="1"/>
      <c r="E172" s="13"/>
      <c r="F172" s="7"/>
      <c r="G172" s="7"/>
      <c r="H172" s="10"/>
      <c r="I172" s="10"/>
      <c r="J172" s="10"/>
    </row>
    <row r="173" spans="1:10" ht="16.899999999999999" customHeight="1" x14ac:dyDescent="0.25">
      <c r="A173" s="6"/>
      <c r="B173" s="8" t="s">
        <v>57</v>
      </c>
      <c r="C173" s="1" t="s">
        <v>336</v>
      </c>
      <c r="D173" s="1" t="s">
        <v>2</v>
      </c>
      <c r="E173" s="13">
        <v>1</v>
      </c>
      <c r="F173" s="29"/>
      <c r="G173" s="29"/>
      <c r="H173" s="10"/>
      <c r="I173" s="10"/>
      <c r="J173" s="9"/>
    </row>
    <row r="174" spans="1:10" ht="21" customHeight="1" x14ac:dyDescent="0.25">
      <c r="A174" s="1"/>
      <c r="B174" s="31" t="s">
        <v>63</v>
      </c>
      <c r="C174" s="6"/>
      <c r="D174" s="1"/>
      <c r="E174" s="13"/>
      <c r="F174" s="7"/>
      <c r="G174" s="7"/>
      <c r="H174" s="7"/>
      <c r="I174" s="7"/>
      <c r="J174" s="7"/>
    </row>
    <row r="175" spans="1:10" ht="16.899999999999999" customHeight="1" x14ac:dyDescent="0.25">
      <c r="A175" s="6"/>
      <c r="B175" s="8" t="s">
        <v>57</v>
      </c>
      <c r="C175" s="1" t="s">
        <v>336</v>
      </c>
      <c r="D175" s="1" t="s">
        <v>2</v>
      </c>
      <c r="E175" s="13">
        <v>2</v>
      </c>
      <c r="F175" s="29"/>
      <c r="G175" s="29"/>
      <c r="H175" s="10"/>
      <c r="I175" s="10"/>
      <c r="J175" s="9"/>
    </row>
    <row r="176" spans="1:10" ht="21" customHeight="1" x14ac:dyDescent="0.25">
      <c r="A176" s="1"/>
      <c r="B176" s="31" t="s">
        <v>62</v>
      </c>
      <c r="C176" s="6"/>
      <c r="D176" s="1"/>
      <c r="E176" s="13"/>
      <c r="F176" s="7"/>
      <c r="G176" s="7"/>
      <c r="H176" s="7"/>
      <c r="I176" s="7"/>
      <c r="J176" s="7"/>
    </row>
    <row r="177" spans="1:10" ht="16.899999999999999" customHeight="1" x14ac:dyDescent="0.25">
      <c r="A177" s="6"/>
      <c r="B177" s="8" t="s">
        <v>57</v>
      </c>
      <c r="C177" s="1" t="s">
        <v>336</v>
      </c>
      <c r="D177" s="1" t="s">
        <v>2</v>
      </c>
      <c r="E177" s="13">
        <v>2</v>
      </c>
      <c r="F177" s="29"/>
      <c r="G177" s="29"/>
      <c r="H177" s="10"/>
      <c r="I177" s="10"/>
      <c r="J177" s="9"/>
    </row>
    <row r="178" spans="1:10" ht="21" customHeight="1" x14ac:dyDescent="0.25">
      <c r="A178" s="1"/>
      <c r="B178" s="31" t="s">
        <v>61</v>
      </c>
      <c r="C178" s="6"/>
      <c r="D178" s="1"/>
      <c r="E178" s="13"/>
      <c r="F178" s="7"/>
      <c r="G178" s="7"/>
      <c r="H178" s="10"/>
      <c r="I178" s="10"/>
      <c r="J178" s="10"/>
    </row>
    <row r="179" spans="1:10" ht="16.899999999999999" customHeight="1" x14ac:dyDescent="0.25">
      <c r="A179" s="6"/>
      <c r="B179" s="8" t="s">
        <v>16</v>
      </c>
      <c r="C179" s="1" t="s">
        <v>336</v>
      </c>
      <c r="D179" s="1" t="s">
        <v>2</v>
      </c>
      <c r="E179" s="13">
        <v>7</v>
      </c>
      <c r="F179" s="29"/>
      <c r="G179" s="29"/>
      <c r="H179" s="10"/>
      <c r="I179" s="10"/>
      <c r="J179" s="9"/>
    </row>
    <row r="180" spans="1:10" ht="21" customHeight="1" x14ac:dyDescent="0.25">
      <c r="A180" s="1"/>
      <c r="B180" s="31" t="s">
        <v>65</v>
      </c>
      <c r="C180" s="6"/>
      <c r="D180" s="1"/>
      <c r="E180" s="13"/>
      <c r="F180" s="7"/>
      <c r="G180" s="7"/>
      <c r="H180" s="7"/>
      <c r="I180" s="7"/>
      <c r="J180" s="7"/>
    </row>
    <row r="181" spans="1:10" ht="16.899999999999999" customHeight="1" x14ac:dyDescent="0.25">
      <c r="A181" s="6"/>
      <c r="B181" s="8" t="s">
        <v>10</v>
      </c>
      <c r="C181" s="1" t="s">
        <v>344</v>
      </c>
      <c r="D181" s="1" t="s">
        <v>2</v>
      </c>
      <c r="E181" s="13">
        <v>7</v>
      </c>
      <c r="F181" s="29"/>
      <c r="G181" s="29"/>
      <c r="H181" s="10"/>
      <c r="I181" s="10"/>
      <c r="J181" s="9"/>
    </row>
    <row r="182" spans="1:10" ht="21" customHeight="1" x14ac:dyDescent="0.25">
      <c r="A182" s="1"/>
      <c r="B182" s="31" t="s">
        <v>82</v>
      </c>
      <c r="C182" s="6"/>
      <c r="D182" s="1"/>
      <c r="E182" s="13"/>
      <c r="F182" s="7"/>
      <c r="G182" s="7"/>
      <c r="H182" s="7"/>
      <c r="I182" s="7"/>
      <c r="J182" s="7"/>
    </row>
    <row r="183" spans="1:10" ht="16.899999999999999" customHeight="1" x14ac:dyDescent="0.25">
      <c r="A183" s="6"/>
      <c r="B183" s="8" t="s">
        <v>83</v>
      </c>
      <c r="C183" s="1" t="s">
        <v>345</v>
      </c>
      <c r="D183" s="1" t="s">
        <v>23</v>
      </c>
      <c r="E183" s="13">
        <v>1000</v>
      </c>
      <c r="F183" s="29"/>
      <c r="G183" s="29"/>
      <c r="H183" s="10"/>
      <c r="I183" s="10"/>
      <c r="J183" s="9"/>
    </row>
    <row r="184" spans="1:10" ht="21" customHeight="1" x14ac:dyDescent="0.25">
      <c r="A184" s="1"/>
      <c r="B184" s="31" t="s">
        <v>84</v>
      </c>
      <c r="C184" s="6"/>
      <c r="D184" s="1"/>
      <c r="E184" s="13"/>
      <c r="F184" s="7"/>
      <c r="G184" s="7"/>
      <c r="H184" s="7"/>
      <c r="I184" s="7"/>
      <c r="J184" s="7"/>
    </row>
    <row r="185" spans="1:10" ht="16.899999999999999" customHeight="1" x14ac:dyDescent="0.25">
      <c r="A185" s="6"/>
      <c r="B185" s="8" t="s">
        <v>85</v>
      </c>
      <c r="C185" s="1" t="s">
        <v>321</v>
      </c>
      <c r="D185" s="1" t="s">
        <v>42</v>
      </c>
      <c r="E185" s="13">
        <v>1</v>
      </c>
      <c r="F185" s="29"/>
      <c r="G185" s="29"/>
      <c r="H185" s="10"/>
      <c r="I185" s="10"/>
      <c r="J185" s="9"/>
    </row>
    <row r="186" spans="1:10" ht="23.25" x14ac:dyDescent="0.25">
      <c r="A186" s="30">
        <v>3</v>
      </c>
      <c r="B186" s="66" t="s">
        <v>44</v>
      </c>
      <c r="C186" s="67"/>
      <c r="D186" s="67"/>
      <c r="E186" s="67"/>
      <c r="F186" s="67"/>
      <c r="G186" s="68"/>
      <c r="H186" s="20">
        <f t="shared" ref="H186:I186" si="1">SUM(H187:H204)</f>
        <v>0</v>
      </c>
      <c r="I186" s="20">
        <f t="shared" si="1"/>
        <v>0</v>
      </c>
      <c r="J186" s="20">
        <f>SUM(J187:J204)</f>
        <v>0</v>
      </c>
    </row>
    <row r="187" spans="1:10" ht="21" customHeight="1" x14ac:dyDescent="0.25">
      <c r="A187" s="1"/>
      <c r="B187" s="31" t="s">
        <v>110</v>
      </c>
      <c r="C187" s="6"/>
      <c r="D187" s="1"/>
      <c r="E187" s="13"/>
      <c r="F187" s="7"/>
      <c r="G187" s="7"/>
      <c r="H187" s="10"/>
      <c r="I187" s="10"/>
      <c r="J187" s="10"/>
    </row>
    <row r="188" spans="1:10" ht="16.899999999999999" customHeight="1" x14ac:dyDescent="0.25">
      <c r="A188" s="6"/>
      <c r="B188" s="8" t="s">
        <v>111</v>
      </c>
      <c r="C188" s="1" t="s">
        <v>350</v>
      </c>
      <c r="D188" s="1" t="s">
        <v>42</v>
      </c>
      <c r="E188" s="13">
        <v>1</v>
      </c>
      <c r="F188" s="29"/>
      <c r="G188" s="29"/>
      <c r="H188" s="10"/>
      <c r="I188" s="10"/>
      <c r="J188" s="9"/>
    </row>
    <row r="189" spans="1:10" ht="16.899999999999999" customHeight="1" x14ac:dyDescent="0.25">
      <c r="A189" s="6"/>
      <c r="B189" s="8" t="s">
        <v>112</v>
      </c>
      <c r="C189" s="1" t="s">
        <v>350</v>
      </c>
      <c r="D189" s="1" t="s">
        <v>42</v>
      </c>
      <c r="E189" s="13">
        <v>1</v>
      </c>
      <c r="F189" s="29"/>
      <c r="G189" s="29"/>
      <c r="H189" s="10"/>
      <c r="I189" s="10"/>
      <c r="J189" s="9"/>
    </row>
    <row r="190" spans="1:10" ht="21" customHeight="1" x14ac:dyDescent="0.25">
      <c r="A190" s="1"/>
      <c r="B190" s="31" t="s">
        <v>113</v>
      </c>
      <c r="C190" s="6"/>
      <c r="D190" s="1"/>
      <c r="E190" s="13"/>
      <c r="F190" s="7"/>
      <c r="G190" s="7"/>
      <c r="H190" s="10"/>
      <c r="I190" s="10"/>
      <c r="J190" s="10"/>
    </row>
    <row r="191" spans="1:10" ht="16.899999999999999" customHeight="1" x14ac:dyDescent="0.25">
      <c r="A191" s="6"/>
      <c r="B191" s="8" t="s">
        <v>114</v>
      </c>
      <c r="C191" s="1" t="s">
        <v>351</v>
      </c>
      <c r="D191" s="1" t="s">
        <v>23</v>
      </c>
      <c r="E191" s="13">
        <v>720</v>
      </c>
      <c r="F191" s="29"/>
      <c r="G191" s="29"/>
      <c r="H191" s="10"/>
      <c r="I191" s="10"/>
      <c r="J191" s="9"/>
    </row>
    <row r="192" spans="1:10" ht="16.899999999999999" customHeight="1" x14ac:dyDescent="0.25">
      <c r="A192" s="6"/>
      <c r="B192" s="8" t="s">
        <v>47</v>
      </c>
      <c r="C192" s="1" t="s">
        <v>351</v>
      </c>
      <c r="D192" s="1"/>
      <c r="E192" s="34">
        <v>0.5</v>
      </c>
      <c r="F192" s="13"/>
      <c r="G192" s="7"/>
      <c r="H192" s="10"/>
      <c r="I192" s="10"/>
      <c r="J192" s="9"/>
    </row>
    <row r="193" spans="1:10" ht="21" customHeight="1" x14ac:dyDescent="0.25">
      <c r="A193" s="1"/>
      <c r="B193" s="31" t="s">
        <v>115</v>
      </c>
      <c r="C193" s="6"/>
      <c r="D193" s="1"/>
      <c r="E193" s="13"/>
      <c r="F193" s="7"/>
      <c r="G193" s="7"/>
      <c r="H193" s="10"/>
      <c r="I193" s="10"/>
      <c r="J193" s="10"/>
    </row>
    <row r="194" spans="1:10" ht="16.899999999999999" customHeight="1" x14ac:dyDescent="0.25">
      <c r="A194" s="6"/>
      <c r="B194" s="8" t="s">
        <v>116</v>
      </c>
      <c r="C194" s="1" t="s">
        <v>334</v>
      </c>
      <c r="D194" s="1" t="s">
        <v>24</v>
      </c>
      <c r="E194" s="13">
        <v>120</v>
      </c>
      <c r="F194" s="29"/>
      <c r="G194" s="29"/>
      <c r="H194" s="10"/>
      <c r="I194" s="10"/>
      <c r="J194" s="9"/>
    </row>
    <row r="195" spans="1:10" ht="21" customHeight="1" x14ac:dyDescent="0.25">
      <c r="A195" s="1"/>
      <c r="B195" s="31" t="s">
        <v>117</v>
      </c>
      <c r="C195" s="11"/>
      <c r="D195" s="13"/>
      <c r="E195" s="13"/>
      <c r="F195" s="7"/>
      <c r="G195" s="7"/>
      <c r="H195" s="10"/>
      <c r="I195" s="10"/>
      <c r="J195" s="10"/>
    </row>
    <row r="196" spans="1:10" ht="16.899999999999999" customHeight="1" x14ac:dyDescent="0.25">
      <c r="A196" s="6"/>
      <c r="B196" s="32" t="s">
        <v>118</v>
      </c>
      <c r="C196" s="13" t="s">
        <v>352</v>
      </c>
      <c r="D196" s="13" t="s">
        <v>4</v>
      </c>
      <c r="E196" s="13">
        <v>424</v>
      </c>
      <c r="F196" s="29"/>
      <c r="G196" s="29"/>
      <c r="H196" s="10"/>
      <c r="I196" s="10"/>
      <c r="J196" s="9"/>
    </row>
    <row r="197" spans="1:10" ht="21" customHeight="1" x14ac:dyDescent="0.25">
      <c r="A197" s="1"/>
      <c r="B197" s="31" t="s">
        <v>119</v>
      </c>
      <c r="C197" s="6"/>
      <c r="D197" s="1"/>
      <c r="E197" s="13"/>
      <c r="F197" s="7"/>
      <c r="G197" s="7"/>
      <c r="H197" s="10"/>
      <c r="I197" s="10"/>
      <c r="J197" s="10"/>
    </row>
    <row r="198" spans="1:10" ht="16.899999999999999" customHeight="1" x14ac:dyDescent="0.25">
      <c r="A198" s="6"/>
      <c r="B198" s="8" t="s">
        <v>121</v>
      </c>
      <c r="C198" s="1" t="s">
        <v>353</v>
      </c>
      <c r="D198" s="1" t="s">
        <v>2</v>
      </c>
      <c r="E198" s="13">
        <v>56</v>
      </c>
      <c r="F198" s="29"/>
      <c r="G198" s="29"/>
      <c r="H198" s="10"/>
      <c r="I198" s="10"/>
      <c r="J198" s="9"/>
    </row>
    <row r="199" spans="1:10" ht="16.899999999999999" customHeight="1" x14ac:dyDescent="0.25">
      <c r="A199" s="6"/>
      <c r="B199" s="8" t="s">
        <v>122</v>
      </c>
      <c r="C199" s="1" t="s">
        <v>353</v>
      </c>
      <c r="D199" s="1" t="s">
        <v>2</v>
      </c>
      <c r="E199" s="13">
        <v>21</v>
      </c>
      <c r="F199" s="29"/>
      <c r="G199" s="29"/>
      <c r="H199" s="10"/>
      <c r="I199" s="10"/>
      <c r="J199" s="9"/>
    </row>
    <row r="200" spans="1:10" ht="16.899999999999999" customHeight="1" x14ac:dyDescent="0.25">
      <c r="A200" s="6"/>
      <c r="B200" s="8" t="s">
        <v>120</v>
      </c>
      <c r="C200" s="1" t="s">
        <v>353</v>
      </c>
      <c r="D200" s="1" t="s">
        <v>2</v>
      </c>
      <c r="E200" s="13">
        <v>26</v>
      </c>
      <c r="F200" s="29"/>
      <c r="G200" s="29"/>
      <c r="H200" s="10"/>
      <c r="I200" s="10"/>
      <c r="J200" s="9"/>
    </row>
    <row r="201" spans="1:10" ht="21" customHeight="1" x14ac:dyDescent="0.25">
      <c r="A201" s="1"/>
      <c r="B201" s="31" t="s">
        <v>82</v>
      </c>
      <c r="C201" s="6"/>
      <c r="D201" s="1"/>
      <c r="E201" s="13"/>
      <c r="F201" s="7"/>
      <c r="G201" s="7"/>
      <c r="H201" s="7"/>
      <c r="I201" s="7"/>
      <c r="J201" s="7"/>
    </row>
    <row r="202" spans="1:10" ht="16.899999999999999" customHeight="1" x14ac:dyDescent="0.25">
      <c r="A202" s="6"/>
      <c r="B202" s="8" t="s">
        <v>83</v>
      </c>
      <c r="C202" s="1" t="s">
        <v>345</v>
      </c>
      <c r="D202" s="1" t="s">
        <v>23</v>
      </c>
      <c r="E202" s="13">
        <v>1000</v>
      </c>
      <c r="F202" s="29"/>
      <c r="G202" s="29"/>
      <c r="H202" s="10"/>
      <c r="I202" s="10"/>
      <c r="J202" s="9"/>
    </row>
    <row r="203" spans="1:10" ht="21" customHeight="1" x14ac:dyDescent="0.25">
      <c r="A203" s="1"/>
      <c r="B203" s="31" t="s">
        <v>84</v>
      </c>
      <c r="C203" s="6"/>
      <c r="D203" s="1"/>
      <c r="E203" s="13"/>
      <c r="F203" s="7"/>
      <c r="G203" s="7"/>
      <c r="H203" s="7"/>
      <c r="I203" s="7"/>
      <c r="J203" s="7"/>
    </row>
    <row r="204" spans="1:10" ht="16.899999999999999" customHeight="1" x14ac:dyDescent="0.25">
      <c r="A204" s="6"/>
      <c r="B204" s="8" t="s">
        <v>85</v>
      </c>
      <c r="C204" s="1" t="s">
        <v>321</v>
      </c>
      <c r="D204" s="1" t="s">
        <v>42</v>
      </c>
      <c r="E204" s="13">
        <v>1</v>
      </c>
      <c r="F204" s="29"/>
      <c r="G204" s="29"/>
      <c r="H204" s="10"/>
      <c r="I204" s="10"/>
      <c r="J204" s="9"/>
    </row>
    <row r="205" spans="1:10" ht="23.25" x14ac:dyDescent="0.25">
      <c r="A205" s="30">
        <v>4</v>
      </c>
      <c r="B205" s="66" t="s">
        <v>45</v>
      </c>
      <c r="C205" s="67"/>
      <c r="D205" s="67"/>
      <c r="E205" s="67"/>
      <c r="F205" s="67"/>
      <c r="G205" s="68"/>
      <c r="H205" s="20">
        <f>SUM(H206:H245)</f>
        <v>0</v>
      </c>
      <c r="I205" s="20">
        <f>SUM(I206:I245)</f>
        <v>0</v>
      </c>
      <c r="J205" s="20">
        <f>SUM(J206:J245)</f>
        <v>0</v>
      </c>
    </row>
    <row r="206" spans="1:10" ht="21" customHeight="1" x14ac:dyDescent="0.25">
      <c r="A206" s="1"/>
      <c r="B206" s="31" t="s">
        <v>132</v>
      </c>
      <c r="C206" s="6"/>
      <c r="D206" s="1"/>
      <c r="E206" s="13"/>
      <c r="F206" s="7"/>
      <c r="G206" s="7"/>
      <c r="H206" s="7"/>
      <c r="I206" s="7"/>
      <c r="J206" s="7"/>
    </row>
    <row r="207" spans="1:10" ht="16.899999999999999" customHeight="1" x14ac:dyDescent="0.25">
      <c r="A207" s="6"/>
      <c r="B207" s="8" t="s">
        <v>176</v>
      </c>
      <c r="C207" s="1" t="s">
        <v>354</v>
      </c>
      <c r="D207" s="1" t="s">
        <v>2</v>
      </c>
      <c r="E207" s="13">
        <v>39</v>
      </c>
      <c r="F207" s="29"/>
      <c r="G207" s="29"/>
      <c r="H207" s="10"/>
      <c r="I207" s="10"/>
      <c r="J207" s="9"/>
    </row>
    <row r="208" spans="1:10" ht="21" customHeight="1" x14ac:dyDescent="0.25">
      <c r="A208" s="1"/>
      <c r="B208" s="31" t="s">
        <v>133</v>
      </c>
      <c r="C208" s="6"/>
      <c r="D208" s="1"/>
      <c r="E208" s="13"/>
      <c r="F208" s="7"/>
      <c r="G208" s="7"/>
      <c r="H208" s="7"/>
      <c r="I208" s="7"/>
      <c r="J208" s="7"/>
    </row>
    <row r="209" spans="1:10" ht="16.899999999999999" customHeight="1" x14ac:dyDescent="0.25">
      <c r="A209" s="6"/>
      <c r="B209" s="8" t="s">
        <v>175</v>
      </c>
      <c r="C209" s="1" t="s">
        <v>354</v>
      </c>
      <c r="D209" s="1" t="s">
        <v>2</v>
      </c>
      <c r="E209" s="13">
        <v>1</v>
      </c>
      <c r="F209" s="29"/>
      <c r="G209" s="29"/>
      <c r="H209" s="10"/>
      <c r="I209" s="10"/>
      <c r="J209" s="9"/>
    </row>
    <row r="210" spans="1:10" ht="21" customHeight="1" x14ac:dyDescent="0.25">
      <c r="A210" s="1"/>
      <c r="B210" s="31" t="s">
        <v>130</v>
      </c>
      <c r="C210" s="6"/>
      <c r="D210" s="1"/>
      <c r="E210" s="13"/>
      <c r="F210" s="7"/>
      <c r="G210" s="7"/>
      <c r="H210" s="7"/>
      <c r="I210" s="7"/>
      <c r="J210" s="7"/>
    </row>
    <row r="211" spans="1:10" ht="16.899999999999999" customHeight="1" x14ac:dyDescent="0.25">
      <c r="A211" s="6"/>
      <c r="B211" s="8" t="s">
        <v>174</v>
      </c>
      <c r="C211" s="1" t="s">
        <v>354</v>
      </c>
      <c r="D211" s="1" t="s">
        <v>2</v>
      </c>
      <c r="E211" s="13">
        <v>2</v>
      </c>
      <c r="F211" s="29"/>
      <c r="G211" s="29"/>
      <c r="H211" s="10"/>
      <c r="I211" s="10"/>
      <c r="J211" s="9"/>
    </row>
    <row r="212" spans="1:10" ht="21" customHeight="1" x14ac:dyDescent="0.25">
      <c r="A212" s="1"/>
      <c r="B212" s="31" t="s">
        <v>131</v>
      </c>
      <c r="C212" s="6"/>
      <c r="D212" s="1"/>
      <c r="E212" s="13"/>
      <c r="F212" s="7"/>
      <c r="G212" s="7"/>
      <c r="H212" s="7"/>
      <c r="I212" s="7"/>
      <c r="J212" s="7"/>
    </row>
    <row r="213" spans="1:10" ht="16.899999999999999" customHeight="1" x14ac:dyDescent="0.25">
      <c r="A213" s="6"/>
      <c r="B213" s="8" t="s">
        <v>162</v>
      </c>
      <c r="C213" s="1" t="s">
        <v>354</v>
      </c>
      <c r="D213" s="1" t="s">
        <v>2</v>
      </c>
      <c r="E213" s="13">
        <v>2</v>
      </c>
      <c r="F213" s="29"/>
      <c r="G213" s="29"/>
      <c r="H213" s="10"/>
      <c r="I213" s="10"/>
      <c r="J213" s="9"/>
    </row>
    <row r="214" spans="1:10" ht="21" customHeight="1" x14ac:dyDescent="0.25">
      <c r="A214" s="1"/>
      <c r="B214" s="31" t="s">
        <v>139</v>
      </c>
      <c r="C214" s="6"/>
      <c r="D214" s="1"/>
      <c r="E214" s="13"/>
      <c r="F214" s="7"/>
      <c r="G214" s="7"/>
      <c r="H214" s="7"/>
      <c r="I214" s="7"/>
      <c r="J214" s="7"/>
    </row>
    <row r="215" spans="1:10" ht="16.899999999999999" customHeight="1" x14ac:dyDescent="0.25">
      <c r="A215" s="6"/>
      <c r="B215" s="8" t="s">
        <v>145</v>
      </c>
      <c r="C215" s="1" t="s">
        <v>351</v>
      </c>
      <c r="D215" s="1" t="s">
        <v>4</v>
      </c>
      <c r="E215" s="13">
        <v>120</v>
      </c>
      <c r="F215" s="29"/>
      <c r="G215" s="29"/>
      <c r="H215" s="10"/>
      <c r="I215" s="10"/>
      <c r="J215" s="9"/>
    </row>
    <row r="216" spans="1:10" ht="16.899999999999999" customHeight="1" x14ac:dyDescent="0.25">
      <c r="A216" s="6"/>
      <c r="B216" s="8" t="s">
        <v>147</v>
      </c>
      <c r="C216" s="1" t="s">
        <v>351</v>
      </c>
      <c r="D216" s="1" t="s">
        <v>4</v>
      </c>
      <c r="E216" s="13">
        <v>156</v>
      </c>
      <c r="F216" s="29"/>
      <c r="G216" s="29"/>
      <c r="H216" s="10"/>
      <c r="I216" s="10"/>
      <c r="J216" s="9"/>
    </row>
    <row r="217" spans="1:10" ht="16.899999999999999" customHeight="1" x14ac:dyDescent="0.25">
      <c r="A217" s="6"/>
      <c r="B217" s="8" t="s">
        <v>148</v>
      </c>
      <c r="C217" s="1" t="s">
        <v>351</v>
      </c>
      <c r="D217" s="1" t="s">
        <v>4</v>
      </c>
      <c r="E217" s="13">
        <v>15</v>
      </c>
      <c r="F217" s="29"/>
      <c r="G217" s="29"/>
      <c r="H217" s="10"/>
      <c r="I217" s="10"/>
      <c r="J217" s="9"/>
    </row>
    <row r="218" spans="1:10" ht="16.899999999999999" customHeight="1" x14ac:dyDescent="0.25">
      <c r="A218" s="6"/>
      <c r="B218" s="8" t="s">
        <v>149</v>
      </c>
      <c r="C218" s="1" t="s">
        <v>351</v>
      </c>
      <c r="D218" s="1" t="s">
        <v>4</v>
      </c>
      <c r="E218" s="13">
        <v>90</v>
      </c>
      <c r="F218" s="29"/>
      <c r="G218" s="29"/>
      <c r="H218" s="10"/>
      <c r="I218" s="10"/>
      <c r="J218" s="9"/>
    </row>
    <row r="219" spans="1:10" ht="16.899999999999999" customHeight="1" x14ac:dyDescent="0.25">
      <c r="A219" s="6"/>
      <c r="B219" s="8" t="s">
        <v>150</v>
      </c>
      <c r="C219" s="1" t="s">
        <v>351</v>
      </c>
      <c r="D219" s="1" t="s">
        <v>4</v>
      </c>
      <c r="E219" s="13">
        <v>30</v>
      </c>
      <c r="F219" s="29"/>
      <c r="G219" s="29"/>
      <c r="H219" s="10"/>
      <c r="I219" s="10"/>
      <c r="J219" s="9"/>
    </row>
    <row r="220" spans="1:10" ht="16.899999999999999" customHeight="1" x14ac:dyDescent="0.25">
      <c r="A220" s="6"/>
      <c r="B220" s="8" t="s">
        <v>151</v>
      </c>
      <c r="C220" s="1" t="s">
        <v>351</v>
      </c>
      <c r="D220" s="1" t="s">
        <v>4</v>
      </c>
      <c r="E220" s="13">
        <v>60</v>
      </c>
      <c r="F220" s="29"/>
      <c r="G220" s="29"/>
      <c r="H220" s="10"/>
      <c r="I220" s="10"/>
      <c r="J220" s="9"/>
    </row>
    <row r="221" spans="1:10" ht="16.899999999999999" customHeight="1" x14ac:dyDescent="0.25">
      <c r="A221" s="6"/>
      <c r="B221" s="8" t="s">
        <v>152</v>
      </c>
      <c r="C221" s="1" t="s">
        <v>351</v>
      </c>
      <c r="D221" s="1" t="s">
        <v>4</v>
      </c>
      <c r="E221" s="13">
        <v>18</v>
      </c>
      <c r="F221" s="29"/>
      <c r="G221" s="29"/>
      <c r="H221" s="10"/>
      <c r="I221" s="10"/>
      <c r="J221" s="9"/>
    </row>
    <row r="222" spans="1:10" ht="16.899999999999999" customHeight="1" x14ac:dyDescent="0.25">
      <c r="A222" s="6"/>
      <c r="B222" s="8" t="s">
        <v>155</v>
      </c>
      <c r="C222" s="1" t="s">
        <v>351</v>
      </c>
      <c r="D222" s="1" t="s">
        <v>4</v>
      </c>
      <c r="E222" s="13">
        <v>54</v>
      </c>
      <c r="F222" s="29"/>
      <c r="G222" s="29"/>
      <c r="H222" s="10"/>
      <c r="I222" s="10"/>
      <c r="J222" s="9"/>
    </row>
    <row r="223" spans="1:10" ht="16.899999999999999" customHeight="1" x14ac:dyDescent="0.25">
      <c r="A223" s="6"/>
      <c r="B223" s="8" t="s">
        <v>47</v>
      </c>
      <c r="C223" s="1" t="s">
        <v>351</v>
      </c>
      <c r="D223" s="1"/>
      <c r="E223" s="34">
        <v>0.5</v>
      </c>
      <c r="F223" s="13"/>
      <c r="G223" s="7"/>
      <c r="H223" s="10"/>
      <c r="I223" s="10"/>
      <c r="J223" s="9"/>
    </row>
    <row r="224" spans="1:10" ht="21" customHeight="1" x14ac:dyDescent="0.25">
      <c r="A224" s="1"/>
      <c r="B224" s="31" t="s">
        <v>134</v>
      </c>
      <c r="C224" s="6"/>
      <c r="D224" s="1"/>
      <c r="E224" s="13"/>
      <c r="F224" s="7"/>
      <c r="G224" s="7"/>
      <c r="H224" s="7"/>
      <c r="I224" s="7"/>
      <c r="J224" s="7"/>
    </row>
    <row r="225" spans="1:10" ht="16.899999999999999" customHeight="1" x14ac:dyDescent="0.25">
      <c r="A225" s="6"/>
      <c r="B225" s="8" t="s">
        <v>135</v>
      </c>
      <c r="C225" s="1" t="s">
        <v>352</v>
      </c>
      <c r="D225" s="1" t="s">
        <v>2</v>
      </c>
      <c r="E225" s="13">
        <v>39</v>
      </c>
      <c r="F225" s="29"/>
      <c r="G225" s="29"/>
      <c r="H225" s="10"/>
      <c r="I225" s="10"/>
      <c r="J225" s="9"/>
    </row>
    <row r="226" spans="1:10" ht="16.899999999999999" customHeight="1" x14ac:dyDescent="0.25">
      <c r="A226" s="6"/>
      <c r="B226" s="8" t="s">
        <v>118</v>
      </c>
      <c r="C226" s="1" t="s">
        <v>352</v>
      </c>
      <c r="D226" s="1" t="s">
        <v>2</v>
      </c>
      <c r="E226" s="13">
        <v>20</v>
      </c>
      <c r="F226" s="29"/>
      <c r="G226" s="29"/>
      <c r="H226" s="10"/>
      <c r="I226" s="10"/>
      <c r="J226" s="9"/>
    </row>
    <row r="227" spans="1:10" ht="21" customHeight="1" x14ac:dyDescent="0.25">
      <c r="A227" s="1"/>
      <c r="B227" s="31" t="s">
        <v>113</v>
      </c>
      <c r="C227" s="6"/>
      <c r="D227" s="1"/>
      <c r="E227" s="13"/>
      <c r="F227" s="7"/>
      <c r="G227" s="7"/>
      <c r="H227" s="7"/>
      <c r="I227" s="7"/>
      <c r="J227" s="7"/>
    </row>
    <row r="228" spans="1:10" ht="16.899999999999999" customHeight="1" x14ac:dyDescent="0.25">
      <c r="A228" s="6"/>
      <c r="B228" s="8" t="s">
        <v>114</v>
      </c>
      <c r="C228" s="1" t="s">
        <v>351</v>
      </c>
      <c r="D228" s="1" t="s">
        <v>23</v>
      </c>
      <c r="E228" s="13">
        <v>500</v>
      </c>
      <c r="F228" s="29"/>
      <c r="G228" s="29"/>
      <c r="H228" s="10"/>
      <c r="I228" s="10"/>
      <c r="J228" s="9"/>
    </row>
    <row r="229" spans="1:10" ht="16.899999999999999" customHeight="1" x14ac:dyDescent="0.25">
      <c r="A229" s="6"/>
      <c r="B229" s="8" t="s">
        <v>47</v>
      </c>
      <c r="C229" s="1" t="s">
        <v>351</v>
      </c>
      <c r="D229" s="1"/>
      <c r="E229" s="34">
        <v>0.5</v>
      </c>
      <c r="F229" s="13"/>
      <c r="G229" s="7"/>
      <c r="H229" s="10"/>
      <c r="I229" s="10"/>
      <c r="J229" s="9"/>
    </row>
    <row r="230" spans="1:10" ht="21" customHeight="1" x14ac:dyDescent="0.25">
      <c r="A230" s="1"/>
      <c r="B230" s="31" t="s">
        <v>136</v>
      </c>
      <c r="C230" s="6"/>
      <c r="D230" s="1"/>
      <c r="E230" s="13"/>
      <c r="F230" s="7"/>
      <c r="G230" s="7"/>
      <c r="H230" s="7"/>
      <c r="I230" s="7"/>
      <c r="J230" s="7"/>
    </row>
    <row r="231" spans="1:10" ht="16.899999999999999" customHeight="1" x14ac:dyDescent="0.25">
      <c r="A231" s="6"/>
      <c r="B231" s="8" t="s">
        <v>135</v>
      </c>
      <c r="C231" s="1" t="s">
        <v>352</v>
      </c>
      <c r="D231" s="1" t="s">
        <v>4</v>
      </c>
      <c r="E231" s="13">
        <v>50</v>
      </c>
      <c r="F231" s="29"/>
      <c r="G231" s="29"/>
      <c r="H231" s="10"/>
      <c r="I231" s="10"/>
      <c r="J231" s="9"/>
    </row>
    <row r="232" spans="1:10" ht="16.899999999999999" customHeight="1" x14ac:dyDescent="0.25">
      <c r="A232" s="6"/>
      <c r="B232" s="8" t="s">
        <v>118</v>
      </c>
      <c r="C232" s="1" t="s">
        <v>352</v>
      </c>
      <c r="D232" s="1" t="s">
        <v>4</v>
      </c>
      <c r="E232" s="13">
        <v>50</v>
      </c>
      <c r="F232" s="29"/>
      <c r="G232" s="29"/>
      <c r="H232" s="10"/>
      <c r="I232" s="10"/>
      <c r="J232" s="9"/>
    </row>
    <row r="233" spans="1:10" ht="21" customHeight="1" x14ac:dyDescent="0.25">
      <c r="A233" s="1"/>
      <c r="B233" s="31" t="s">
        <v>261</v>
      </c>
      <c r="C233" s="6"/>
      <c r="D233" s="1"/>
      <c r="E233" s="13"/>
      <c r="F233" s="7"/>
      <c r="G233" s="7"/>
      <c r="H233" s="7"/>
      <c r="I233" s="7"/>
      <c r="J233" s="7"/>
    </row>
    <row r="234" spans="1:10" ht="16.899999999999999" customHeight="1" x14ac:dyDescent="0.25">
      <c r="A234" s="6"/>
      <c r="B234" s="8" t="s">
        <v>137</v>
      </c>
      <c r="C234" s="1" t="s">
        <v>353</v>
      </c>
      <c r="D234" s="1" t="s">
        <v>2</v>
      </c>
      <c r="E234" s="13">
        <v>39</v>
      </c>
      <c r="F234" s="29"/>
      <c r="G234" s="29"/>
      <c r="H234" s="10"/>
      <c r="I234" s="10"/>
      <c r="J234" s="9"/>
    </row>
    <row r="235" spans="1:10" ht="16.899999999999999" customHeight="1" x14ac:dyDescent="0.25">
      <c r="A235" s="6"/>
      <c r="B235" s="8" t="s">
        <v>140</v>
      </c>
      <c r="C235" s="1" t="s">
        <v>353</v>
      </c>
      <c r="D235" s="1" t="s">
        <v>2</v>
      </c>
      <c r="E235" s="13">
        <v>4</v>
      </c>
      <c r="F235" s="29"/>
      <c r="G235" s="29"/>
      <c r="H235" s="10"/>
      <c r="I235" s="10"/>
      <c r="J235" s="9"/>
    </row>
    <row r="236" spans="1:10" ht="21" customHeight="1" x14ac:dyDescent="0.25">
      <c r="A236" s="1"/>
      <c r="B236" s="31" t="s">
        <v>263</v>
      </c>
      <c r="C236" s="6"/>
      <c r="D236" s="1"/>
      <c r="E236" s="13"/>
      <c r="F236" s="7"/>
      <c r="G236" s="7"/>
      <c r="H236" s="7"/>
      <c r="I236" s="7"/>
      <c r="J236" s="7"/>
    </row>
    <row r="237" spans="1:10" ht="16.899999999999999" customHeight="1" x14ac:dyDescent="0.25">
      <c r="A237" s="6"/>
      <c r="B237" s="8" t="s">
        <v>141</v>
      </c>
      <c r="C237" s="1" t="s">
        <v>353</v>
      </c>
      <c r="D237" s="1" t="s">
        <v>2</v>
      </c>
      <c r="E237" s="13">
        <v>1</v>
      </c>
      <c r="F237" s="29"/>
      <c r="G237" s="29"/>
      <c r="H237" s="10"/>
      <c r="I237" s="10"/>
      <c r="J237" s="9"/>
    </row>
    <row r="238" spans="1:10" ht="16.899999999999999" customHeight="1" x14ac:dyDescent="0.25">
      <c r="A238" s="6"/>
      <c r="B238" s="8" t="s">
        <v>142</v>
      </c>
      <c r="C238" s="1" t="s">
        <v>353</v>
      </c>
      <c r="D238" s="1" t="s">
        <v>2</v>
      </c>
      <c r="E238" s="13">
        <v>2</v>
      </c>
      <c r="F238" s="29"/>
      <c r="G238" s="29"/>
      <c r="H238" s="10"/>
      <c r="I238" s="10"/>
      <c r="J238" s="9"/>
    </row>
    <row r="239" spans="1:10" ht="16.899999999999999" customHeight="1" x14ac:dyDescent="0.25">
      <c r="A239" s="6"/>
      <c r="B239" s="8" t="s">
        <v>143</v>
      </c>
      <c r="C239" s="1" t="s">
        <v>353</v>
      </c>
      <c r="D239" s="1" t="s">
        <v>2</v>
      </c>
      <c r="E239" s="13">
        <v>1</v>
      </c>
      <c r="F239" s="29"/>
      <c r="G239" s="29"/>
      <c r="H239" s="10"/>
      <c r="I239" s="10"/>
      <c r="J239" s="9"/>
    </row>
    <row r="240" spans="1:10" ht="21" customHeight="1" x14ac:dyDescent="0.25">
      <c r="A240" s="1"/>
      <c r="B240" s="31" t="s">
        <v>138</v>
      </c>
      <c r="C240" s="6"/>
      <c r="D240" s="1"/>
      <c r="E240" s="13"/>
      <c r="F240" s="7"/>
      <c r="G240" s="7"/>
      <c r="H240" s="7"/>
      <c r="I240" s="7"/>
      <c r="J240" s="7"/>
    </row>
    <row r="241" spans="1:10" ht="16.899999999999999" customHeight="1" x14ac:dyDescent="0.25">
      <c r="A241" s="6"/>
      <c r="B241" s="8" t="s">
        <v>144</v>
      </c>
      <c r="C241" s="1" t="s">
        <v>353</v>
      </c>
      <c r="D241" s="1" t="s">
        <v>2</v>
      </c>
      <c r="E241" s="13">
        <v>1</v>
      </c>
      <c r="F241" s="29"/>
      <c r="G241" s="29"/>
      <c r="H241" s="10"/>
      <c r="I241" s="10"/>
      <c r="J241" s="9"/>
    </row>
    <row r="242" spans="1:10" ht="21" customHeight="1" x14ac:dyDescent="0.25">
      <c r="A242" s="1"/>
      <c r="B242" s="31" t="s">
        <v>82</v>
      </c>
      <c r="C242" s="6"/>
      <c r="D242" s="1"/>
      <c r="E242" s="13"/>
      <c r="F242" s="7"/>
      <c r="G242" s="7"/>
      <c r="H242" s="7"/>
      <c r="I242" s="7"/>
      <c r="J242" s="7"/>
    </row>
    <row r="243" spans="1:10" ht="16.899999999999999" customHeight="1" x14ac:dyDescent="0.25">
      <c r="A243" s="6"/>
      <c r="B243" s="8" t="s">
        <v>83</v>
      </c>
      <c r="C243" s="1" t="s">
        <v>345</v>
      </c>
      <c r="D243" s="1" t="s">
        <v>23</v>
      </c>
      <c r="E243" s="13">
        <v>1000</v>
      </c>
      <c r="F243" s="29"/>
      <c r="G243" s="29"/>
      <c r="H243" s="10"/>
      <c r="I243" s="10"/>
      <c r="J243" s="9"/>
    </row>
    <row r="244" spans="1:10" ht="21" customHeight="1" x14ac:dyDescent="0.25">
      <c r="A244" s="1"/>
      <c r="B244" s="31" t="s">
        <v>84</v>
      </c>
      <c r="C244" s="6"/>
      <c r="D244" s="1"/>
      <c r="E244" s="13"/>
      <c r="F244" s="7"/>
      <c r="G244" s="7"/>
      <c r="H244" s="7"/>
      <c r="I244" s="7"/>
      <c r="J244" s="7"/>
    </row>
    <row r="245" spans="1:10" ht="16.899999999999999" customHeight="1" x14ac:dyDescent="0.25">
      <c r="A245" s="6"/>
      <c r="B245" s="8" t="s">
        <v>85</v>
      </c>
      <c r="C245" s="1" t="s">
        <v>321</v>
      </c>
      <c r="D245" s="1" t="s">
        <v>42</v>
      </c>
      <c r="E245" s="13">
        <v>1</v>
      </c>
      <c r="F245" s="29"/>
      <c r="G245" s="29"/>
      <c r="H245" s="10"/>
      <c r="I245" s="10"/>
      <c r="J245" s="9"/>
    </row>
  </sheetData>
  <mergeCells count="5">
    <mergeCell ref="B4:G4"/>
    <mergeCell ref="B122:G122"/>
    <mergeCell ref="B186:G186"/>
    <mergeCell ref="B205:G205"/>
    <mergeCell ref="B1:J1"/>
  </mergeCells>
  <phoneticPr fontId="15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9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FE0C-291D-43D2-9B2A-8FB7722C673C}">
  <dimension ref="A1:J270"/>
  <sheetViews>
    <sheetView topLeftCell="A97" zoomScale="90" zoomScaleNormal="90" workbookViewId="0">
      <selection activeCell="F98" sqref="F98:J108"/>
    </sheetView>
  </sheetViews>
  <sheetFormatPr defaultColWidth="14.5703125" defaultRowHeight="15" x14ac:dyDescent="0.25"/>
  <cols>
    <col min="1" max="1" width="7.7109375" style="52" customWidth="1"/>
    <col min="2" max="2" width="44.28515625" customWidth="1"/>
    <col min="3" max="3" width="37.140625" style="53" customWidth="1"/>
    <col min="4" max="4" width="7.28515625" style="55" customWidth="1"/>
    <col min="5" max="5" width="9.42578125" style="55" customWidth="1"/>
    <col min="6" max="6" width="17" style="53" customWidth="1"/>
    <col min="7" max="7" width="14.28515625" style="53" customWidth="1"/>
    <col min="8" max="8" width="12.85546875" style="53" customWidth="1"/>
    <col min="9" max="10" width="12.7109375" style="53" customWidth="1"/>
  </cols>
  <sheetData>
    <row r="1" spans="1:10" s="3" customFormat="1" ht="23.25" x14ac:dyDescent="0.25">
      <c r="B1" s="65" t="s">
        <v>257</v>
      </c>
      <c r="C1" s="65"/>
      <c r="D1" s="65"/>
      <c r="E1" s="65"/>
      <c r="F1" s="65"/>
      <c r="G1" s="65"/>
      <c r="H1" s="65"/>
      <c r="I1" s="65"/>
      <c r="J1" s="65"/>
    </row>
    <row r="2" spans="1:10" s="40" customFormat="1" ht="40.15" customHeight="1" thickBot="1" x14ac:dyDescent="0.3">
      <c r="A2" s="14" t="s">
        <v>35</v>
      </c>
      <c r="B2" s="14" t="s">
        <v>36</v>
      </c>
      <c r="C2" s="14" t="s">
        <v>41</v>
      </c>
      <c r="D2" s="14" t="s">
        <v>0</v>
      </c>
      <c r="E2" s="14" t="s">
        <v>1</v>
      </c>
      <c r="F2" s="15" t="s">
        <v>6</v>
      </c>
      <c r="G2" s="15" t="s">
        <v>3</v>
      </c>
      <c r="H2" s="14" t="s">
        <v>7</v>
      </c>
      <c r="I2" s="14" t="s">
        <v>8</v>
      </c>
      <c r="J2" s="14" t="s">
        <v>9</v>
      </c>
    </row>
    <row r="3" spans="1:10" ht="33.200000000000003" customHeight="1" thickBot="1" x14ac:dyDescent="0.35">
      <c r="A3" s="36"/>
      <c r="B3" s="37"/>
      <c r="C3" s="38"/>
      <c r="D3" s="38"/>
      <c r="E3" s="38"/>
      <c r="F3" s="39"/>
      <c r="G3" s="39"/>
      <c r="H3" s="39">
        <f>H4+H8+H16+H28+H37+H47+H52+H62+H64+H71+H79+H84+H97</f>
        <v>0</v>
      </c>
      <c r="I3" s="39">
        <f>I4+I8+I16+I28+I37+I47+I52+I62+I64+I71+I79+I84+I97</f>
        <v>0</v>
      </c>
      <c r="J3" s="39">
        <f>J4+J8+J16+J28+J37+J47+J52+J62+J64+J71+J79+J84+J97</f>
        <v>0</v>
      </c>
    </row>
    <row r="4" spans="1:10" ht="45" customHeight="1" thickTop="1" thickBot="1" x14ac:dyDescent="0.3">
      <c r="A4" s="41">
        <v>1</v>
      </c>
      <c r="B4" s="42" t="s">
        <v>179</v>
      </c>
      <c r="C4" s="43"/>
      <c r="D4" s="44"/>
      <c r="E4" s="44"/>
      <c r="F4" s="44"/>
      <c r="G4" s="44"/>
      <c r="H4" s="45">
        <f>SUM(H5:H7)</f>
        <v>0</v>
      </c>
      <c r="I4" s="45">
        <f t="shared" ref="I4:J4" si="0">SUM(I5:I7)</f>
        <v>0</v>
      </c>
      <c r="J4" s="45">
        <f t="shared" si="0"/>
        <v>0</v>
      </c>
    </row>
    <row r="5" spans="1:10" ht="39.75" customHeight="1" thickTop="1" x14ac:dyDescent="0.25">
      <c r="A5" s="46"/>
      <c r="B5" s="47" t="s">
        <v>180</v>
      </c>
      <c r="C5" s="48" t="s">
        <v>310</v>
      </c>
      <c r="D5" s="49" t="s">
        <v>42</v>
      </c>
      <c r="E5" s="49">
        <v>1</v>
      </c>
      <c r="F5" s="29"/>
      <c r="G5" s="29"/>
      <c r="H5" s="29"/>
      <c r="I5" s="29"/>
      <c r="J5" s="29"/>
    </row>
    <row r="6" spans="1:10" ht="39.75" customHeight="1" x14ac:dyDescent="0.25">
      <c r="A6" s="46"/>
      <c r="B6" s="47" t="s">
        <v>181</v>
      </c>
      <c r="C6" s="48" t="s">
        <v>310</v>
      </c>
      <c r="D6" s="49" t="s">
        <v>42</v>
      </c>
      <c r="E6" s="49">
        <v>1</v>
      </c>
      <c r="F6" s="29"/>
      <c r="G6" s="29"/>
      <c r="H6" s="29"/>
      <c r="I6" s="29"/>
      <c r="J6" s="29"/>
    </row>
    <row r="7" spans="1:10" ht="39.75" customHeight="1" thickBot="1" x14ac:dyDescent="0.3">
      <c r="A7" s="46"/>
      <c r="B7" s="50" t="s">
        <v>182</v>
      </c>
      <c r="C7" s="48" t="s">
        <v>310</v>
      </c>
      <c r="D7" s="49" t="s">
        <v>42</v>
      </c>
      <c r="E7" s="49">
        <v>22</v>
      </c>
      <c r="F7" s="29"/>
      <c r="G7" s="29"/>
      <c r="H7" s="29"/>
      <c r="I7" s="29"/>
      <c r="J7" s="29"/>
    </row>
    <row r="8" spans="1:10" ht="45" customHeight="1" thickTop="1" thickBot="1" x14ac:dyDescent="0.3">
      <c r="A8" s="41">
        <v>2</v>
      </c>
      <c r="B8" s="42" t="s">
        <v>183</v>
      </c>
      <c r="C8" s="43"/>
      <c r="D8" s="44"/>
      <c r="E8" s="44"/>
      <c r="F8" s="44"/>
      <c r="G8" s="44"/>
      <c r="H8" s="45">
        <f>SUM(H9:H15)</f>
        <v>0</v>
      </c>
      <c r="I8" s="45">
        <f t="shared" ref="I8:J8" si="1">SUM(I9:I15)</f>
        <v>0</v>
      </c>
      <c r="J8" s="45">
        <f t="shared" si="1"/>
        <v>0</v>
      </c>
    </row>
    <row r="9" spans="1:10" ht="39.75" customHeight="1" thickTop="1" x14ac:dyDescent="0.25">
      <c r="A9" s="46"/>
      <c r="B9" s="47" t="s">
        <v>184</v>
      </c>
      <c r="C9" s="48" t="s">
        <v>311</v>
      </c>
      <c r="D9" s="49" t="s">
        <v>4</v>
      </c>
      <c r="E9" s="49">
        <v>5200</v>
      </c>
      <c r="F9" s="29"/>
      <c r="G9" s="29"/>
      <c r="H9" s="29"/>
      <c r="I9" s="29"/>
      <c r="J9" s="29"/>
    </row>
    <row r="10" spans="1:10" ht="39.75" customHeight="1" x14ac:dyDescent="0.25">
      <c r="A10" s="46"/>
      <c r="B10" s="47" t="s">
        <v>185</v>
      </c>
      <c r="C10" s="48" t="s">
        <v>311</v>
      </c>
      <c r="D10" s="49" t="s">
        <v>4</v>
      </c>
      <c r="E10" s="49">
        <v>7100</v>
      </c>
      <c r="F10" s="29"/>
      <c r="G10" s="29"/>
      <c r="H10" s="29"/>
      <c r="I10" s="29"/>
      <c r="J10" s="29"/>
    </row>
    <row r="11" spans="1:10" ht="39.75" customHeight="1" x14ac:dyDescent="0.25">
      <c r="A11" s="46"/>
      <c r="B11" s="47" t="s">
        <v>186</v>
      </c>
      <c r="C11" s="48" t="s">
        <v>311</v>
      </c>
      <c r="D11" s="49" t="s">
        <v>4</v>
      </c>
      <c r="E11" s="49">
        <v>220</v>
      </c>
      <c r="F11" s="29"/>
      <c r="G11" s="29"/>
      <c r="H11" s="29"/>
      <c r="I11" s="29"/>
      <c r="J11" s="29"/>
    </row>
    <row r="12" spans="1:10" ht="39.75" customHeight="1" x14ac:dyDescent="0.25">
      <c r="A12" s="46"/>
      <c r="B12" s="47" t="s">
        <v>187</v>
      </c>
      <c r="C12" s="48" t="s">
        <v>311</v>
      </c>
      <c r="D12" s="49" t="s">
        <v>4</v>
      </c>
      <c r="E12" s="49">
        <v>210</v>
      </c>
      <c r="F12" s="29"/>
      <c r="G12" s="29"/>
      <c r="H12" s="29"/>
      <c r="I12" s="29"/>
      <c r="J12" s="29"/>
    </row>
    <row r="13" spans="1:10" ht="39.75" customHeight="1" x14ac:dyDescent="0.25">
      <c r="A13" s="46"/>
      <c r="B13" s="47" t="s">
        <v>188</v>
      </c>
      <c r="C13" s="48" t="s">
        <v>311</v>
      </c>
      <c r="D13" s="49" t="s">
        <v>4</v>
      </c>
      <c r="E13" s="49">
        <v>680</v>
      </c>
      <c r="F13" s="29"/>
      <c r="G13" s="29"/>
      <c r="H13" s="29"/>
      <c r="I13" s="29"/>
      <c r="J13" s="29"/>
    </row>
    <row r="14" spans="1:10" ht="39.75" customHeight="1" x14ac:dyDescent="0.25">
      <c r="A14" s="46"/>
      <c r="B14" s="47" t="s">
        <v>297</v>
      </c>
      <c r="C14" s="48" t="s">
        <v>311</v>
      </c>
      <c r="D14" s="49" t="s">
        <v>4</v>
      </c>
      <c r="E14" s="49">
        <v>10</v>
      </c>
      <c r="F14" s="29"/>
      <c r="G14" s="29"/>
      <c r="H14" s="29"/>
      <c r="I14" s="29"/>
      <c r="J14" s="29"/>
    </row>
    <row r="15" spans="1:10" ht="39.75" customHeight="1" thickBot="1" x14ac:dyDescent="0.3">
      <c r="A15" s="46"/>
      <c r="B15" s="47" t="s">
        <v>298</v>
      </c>
      <c r="C15" s="48" t="s">
        <v>311</v>
      </c>
      <c r="D15" s="49" t="s">
        <v>4</v>
      </c>
      <c r="E15" s="49">
        <v>10</v>
      </c>
      <c r="F15" s="29"/>
      <c r="G15" s="29"/>
      <c r="H15" s="29"/>
      <c r="I15" s="29"/>
      <c r="J15" s="29"/>
    </row>
    <row r="16" spans="1:10" ht="45" customHeight="1" thickTop="1" thickBot="1" x14ac:dyDescent="0.3">
      <c r="A16" s="41">
        <v>3</v>
      </c>
      <c r="B16" s="42" t="s">
        <v>189</v>
      </c>
      <c r="C16" s="43"/>
      <c r="D16" s="44"/>
      <c r="E16" s="44"/>
      <c r="F16" s="44"/>
      <c r="G16" s="44"/>
      <c r="H16" s="45">
        <f>SUM(H17:H27)</f>
        <v>0</v>
      </c>
      <c r="I16" s="45">
        <f t="shared" ref="I16:J16" si="2">SUM(I17:I27)</f>
        <v>0</v>
      </c>
      <c r="J16" s="45">
        <f t="shared" si="2"/>
        <v>0</v>
      </c>
    </row>
    <row r="17" spans="1:10" ht="39.75" customHeight="1" thickTop="1" x14ac:dyDescent="0.25">
      <c r="A17" s="46"/>
      <c r="B17" s="47" t="s">
        <v>264</v>
      </c>
      <c r="C17" s="48" t="s">
        <v>312</v>
      </c>
      <c r="D17" s="49" t="s">
        <v>2</v>
      </c>
      <c r="E17" s="49">
        <v>414</v>
      </c>
      <c r="F17" s="29"/>
      <c r="G17" s="29"/>
      <c r="H17" s="29"/>
      <c r="I17" s="29"/>
      <c r="J17" s="29"/>
    </row>
    <row r="18" spans="1:10" ht="39.75" customHeight="1" x14ac:dyDescent="0.25">
      <c r="A18" s="46"/>
      <c r="B18" s="47" t="s">
        <v>265</v>
      </c>
      <c r="C18" s="48" t="s">
        <v>312</v>
      </c>
      <c r="D18" s="49" t="s">
        <v>2</v>
      </c>
      <c r="E18" s="49">
        <v>200</v>
      </c>
      <c r="F18" s="29"/>
      <c r="G18" s="29"/>
      <c r="H18" s="29"/>
      <c r="I18" s="29"/>
      <c r="J18" s="29"/>
    </row>
    <row r="19" spans="1:10" ht="39.75" customHeight="1" x14ac:dyDescent="0.25">
      <c r="A19" s="46"/>
      <c r="B19" s="47" t="s">
        <v>266</v>
      </c>
      <c r="C19" s="48" t="s">
        <v>312</v>
      </c>
      <c r="D19" s="49" t="s">
        <v>2</v>
      </c>
      <c r="E19" s="49">
        <v>14</v>
      </c>
      <c r="F19" s="29"/>
      <c r="G19" s="29"/>
      <c r="H19" s="29"/>
      <c r="I19" s="29"/>
      <c r="J19" s="29"/>
    </row>
    <row r="20" spans="1:10" ht="39.75" customHeight="1" x14ac:dyDescent="0.25">
      <c r="A20" s="46"/>
      <c r="B20" s="47" t="s">
        <v>190</v>
      </c>
      <c r="C20" s="48" t="s">
        <v>312</v>
      </c>
      <c r="D20" s="49" t="s">
        <v>2</v>
      </c>
      <c r="E20" s="49">
        <v>17</v>
      </c>
      <c r="F20" s="29"/>
      <c r="G20" s="29"/>
      <c r="H20" s="29"/>
      <c r="I20" s="29"/>
      <c r="J20" s="29"/>
    </row>
    <row r="21" spans="1:10" ht="39.75" customHeight="1" x14ac:dyDescent="0.25">
      <c r="A21" s="46"/>
      <c r="B21" s="47" t="s">
        <v>191</v>
      </c>
      <c r="C21" s="48" t="s">
        <v>312</v>
      </c>
      <c r="D21" s="49" t="s">
        <v>2</v>
      </c>
      <c r="E21" s="49">
        <v>5</v>
      </c>
      <c r="F21" s="29"/>
      <c r="G21" s="29"/>
      <c r="H21" s="29"/>
      <c r="I21" s="29"/>
      <c r="J21" s="29"/>
    </row>
    <row r="22" spans="1:10" ht="39.75" customHeight="1" x14ac:dyDescent="0.25">
      <c r="A22" s="46"/>
      <c r="B22" s="47" t="s">
        <v>267</v>
      </c>
      <c r="C22" s="48" t="s">
        <v>312</v>
      </c>
      <c r="D22" s="49" t="s">
        <v>2</v>
      </c>
      <c r="E22" s="49">
        <v>9</v>
      </c>
      <c r="F22" s="29"/>
      <c r="G22" s="29"/>
      <c r="H22" s="29"/>
      <c r="I22" s="29"/>
      <c r="J22" s="29"/>
    </row>
    <row r="23" spans="1:10" ht="39.75" customHeight="1" x14ac:dyDescent="0.25">
      <c r="A23" s="46"/>
      <c r="B23" s="47" t="s">
        <v>268</v>
      </c>
      <c r="C23" s="48" t="s">
        <v>312</v>
      </c>
      <c r="D23" s="49" t="s">
        <v>2</v>
      </c>
      <c r="E23" s="49">
        <v>9</v>
      </c>
      <c r="F23" s="29"/>
      <c r="G23" s="29"/>
      <c r="H23" s="29"/>
      <c r="I23" s="29"/>
      <c r="J23" s="29"/>
    </row>
    <row r="24" spans="1:10" ht="39.75" customHeight="1" x14ac:dyDescent="0.25">
      <c r="A24" s="46"/>
      <c r="B24" s="47" t="s">
        <v>192</v>
      </c>
      <c r="C24" s="48" t="s">
        <v>312</v>
      </c>
      <c r="D24" s="49" t="s">
        <v>2</v>
      </c>
      <c r="E24" s="49">
        <v>13</v>
      </c>
      <c r="F24" s="29"/>
      <c r="G24" s="29"/>
      <c r="H24" s="29"/>
      <c r="I24" s="29"/>
      <c r="J24" s="29"/>
    </row>
    <row r="25" spans="1:10" ht="39.75" customHeight="1" x14ac:dyDescent="0.25">
      <c r="A25" s="46"/>
      <c r="B25" s="47" t="s">
        <v>269</v>
      </c>
      <c r="C25" s="48" t="s">
        <v>312</v>
      </c>
      <c r="D25" s="49" t="s">
        <v>2</v>
      </c>
      <c r="E25" s="49">
        <v>3</v>
      </c>
      <c r="F25" s="29"/>
      <c r="G25" s="29"/>
      <c r="H25" s="29"/>
      <c r="I25" s="29"/>
      <c r="J25" s="29"/>
    </row>
    <row r="26" spans="1:10" ht="39.75" customHeight="1" x14ac:dyDescent="0.25">
      <c r="A26" s="46"/>
      <c r="B26" s="47" t="s">
        <v>193</v>
      </c>
      <c r="C26" s="48" t="s">
        <v>312</v>
      </c>
      <c r="D26" s="49" t="s">
        <v>2</v>
      </c>
      <c r="E26" s="49">
        <v>14</v>
      </c>
      <c r="F26" s="29"/>
      <c r="G26" s="29"/>
      <c r="H26" s="29"/>
      <c r="I26" s="29"/>
      <c r="J26" s="29"/>
    </row>
    <row r="27" spans="1:10" ht="39.75" customHeight="1" thickBot="1" x14ac:dyDescent="0.3">
      <c r="A27" s="46"/>
      <c r="B27" s="51" t="s">
        <v>195</v>
      </c>
      <c r="C27" s="48"/>
      <c r="D27" s="49" t="s">
        <v>2</v>
      </c>
      <c r="E27" s="49">
        <v>44</v>
      </c>
      <c r="F27" s="29"/>
      <c r="G27" s="29"/>
      <c r="H27" s="29"/>
      <c r="I27" s="29"/>
      <c r="J27" s="29"/>
    </row>
    <row r="28" spans="1:10" ht="45" customHeight="1" thickTop="1" thickBot="1" x14ac:dyDescent="0.3">
      <c r="A28" s="41">
        <v>4</v>
      </c>
      <c r="B28" s="42" t="s">
        <v>196</v>
      </c>
      <c r="C28" s="43"/>
      <c r="D28" s="44"/>
      <c r="E28" s="44"/>
      <c r="F28" s="44"/>
      <c r="G28" s="44"/>
      <c r="H28" s="45">
        <f>SUM(H29:H36)</f>
        <v>0</v>
      </c>
      <c r="I28" s="45">
        <f t="shared" ref="I28:J28" si="3">SUM(I29:I36)</f>
        <v>0</v>
      </c>
      <c r="J28" s="45">
        <f t="shared" si="3"/>
        <v>0</v>
      </c>
    </row>
    <row r="29" spans="1:10" ht="39.75" customHeight="1" thickTop="1" x14ac:dyDescent="0.25">
      <c r="A29" s="46"/>
      <c r="B29" s="47" t="s">
        <v>272</v>
      </c>
      <c r="C29" s="48" t="s">
        <v>313</v>
      </c>
      <c r="D29" s="49" t="s">
        <v>2</v>
      </c>
      <c r="E29" s="49">
        <v>154</v>
      </c>
      <c r="F29" s="29"/>
      <c r="G29" s="29"/>
      <c r="H29" s="29"/>
      <c r="I29" s="29"/>
      <c r="J29" s="29"/>
    </row>
    <row r="30" spans="1:10" ht="39.75" customHeight="1" x14ac:dyDescent="0.25">
      <c r="A30" s="46"/>
      <c r="B30" s="47" t="s">
        <v>273</v>
      </c>
      <c r="C30" s="48" t="s">
        <v>313</v>
      </c>
      <c r="D30" s="49" t="s">
        <v>2</v>
      </c>
      <c r="E30" s="49">
        <v>66</v>
      </c>
      <c r="F30" s="29"/>
      <c r="G30" s="29"/>
      <c r="H30" s="29"/>
      <c r="I30" s="29"/>
      <c r="J30" s="29"/>
    </row>
    <row r="31" spans="1:10" ht="39.75" customHeight="1" x14ac:dyDescent="0.25">
      <c r="A31" s="46"/>
      <c r="B31" s="47" t="s">
        <v>274</v>
      </c>
      <c r="C31" s="48" t="s">
        <v>313</v>
      </c>
      <c r="D31" s="49" t="s">
        <v>2</v>
      </c>
      <c r="E31" s="49">
        <v>198</v>
      </c>
      <c r="F31" s="29"/>
      <c r="G31" s="29"/>
      <c r="H31" s="29"/>
      <c r="I31" s="29"/>
      <c r="J31" s="29"/>
    </row>
    <row r="32" spans="1:10" ht="39.75" customHeight="1" x14ac:dyDescent="0.25">
      <c r="A32" s="46"/>
      <c r="B32" s="47" t="s">
        <v>198</v>
      </c>
      <c r="C32" s="48" t="s">
        <v>313</v>
      </c>
      <c r="D32" s="49" t="s">
        <v>2</v>
      </c>
      <c r="E32" s="49">
        <v>440</v>
      </c>
      <c r="F32" s="29"/>
      <c r="G32" s="29"/>
      <c r="H32" s="29"/>
      <c r="I32" s="29"/>
      <c r="J32" s="29"/>
    </row>
    <row r="33" spans="1:10" ht="39.75" customHeight="1" x14ac:dyDescent="0.25">
      <c r="A33" s="46"/>
      <c r="B33" s="47" t="s">
        <v>275</v>
      </c>
      <c r="C33" s="48" t="s">
        <v>313</v>
      </c>
      <c r="D33" s="49" t="s">
        <v>2</v>
      </c>
      <c r="E33" s="49">
        <v>88</v>
      </c>
      <c r="F33" s="29"/>
      <c r="G33" s="29"/>
      <c r="H33" s="29"/>
      <c r="I33" s="29"/>
      <c r="J33" s="29"/>
    </row>
    <row r="34" spans="1:10" ht="39.75" customHeight="1" x14ac:dyDescent="0.25">
      <c r="A34" s="46"/>
      <c r="B34" s="47" t="s">
        <v>197</v>
      </c>
      <c r="C34" s="48" t="s">
        <v>314</v>
      </c>
      <c r="D34" s="49" t="s">
        <v>2</v>
      </c>
      <c r="E34" s="49">
        <v>22</v>
      </c>
      <c r="F34" s="29"/>
      <c r="G34" s="29"/>
      <c r="H34" s="29"/>
      <c r="I34" s="29"/>
      <c r="J34" s="29"/>
    </row>
    <row r="35" spans="1:10" ht="39.75" customHeight="1" x14ac:dyDescent="0.25">
      <c r="A35" s="46"/>
      <c r="B35" s="47" t="s">
        <v>308</v>
      </c>
      <c r="C35" s="48" t="s">
        <v>313</v>
      </c>
      <c r="D35" s="49" t="s">
        <v>2</v>
      </c>
      <c r="E35" s="49">
        <v>16</v>
      </c>
      <c r="F35" s="29"/>
      <c r="G35" s="29"/>
      <c r="H35" s="29"/>
      <c r="I35" s="29"/>
      <c r="J35" s="29"/>
    </row>
    <row r="36" spans="1:10" ht="39.75" customHeight="1" thickBot="1" x14ac:dyDescent="0.3">
      <c r="A36" s="46"/>
      <c r="B36" s="47" t="s">
        <v>307</v>
      </c>
      <c r="C36" s="48" t="s">
        <v>313</v>
      </c>
      <c r="D36" s="49" t="s">
        <v>2</v>
      </c>
      <c r="E36" s="49">
        <v>16</v>
      </c>
      <c r="F36" s="29"/>
      <c r="G36" s="29"/>
      <c r="H36" s="29"/>
      <c r="I36" s="29"/>
      <c r="J36" s="29"/>
    </row>
    <row r="37" spans="1:10" ht="45" customHeight="1" thickTop="1" thickBot="1" x14ac:dyDescent="0.3">
      <c r="A37" s="41">
        <v>5</v>
      </c>
      <c r="B37" s="42" t="s">
        <v>278</v>
      </c>
      <c r="C37" s="43"/>
      <c r="D37" s="44"/>
      <c r="E37" s="44"/>
      <c r="F37" s="44"/>
      <c r="G37" s="44"/>
      <c r="H37" s="45">
        <f>SUM(H38:H46)</f>
        <v>0</v>
      </c>
      <c r="I37" s="45">
        <f t="shared" ref="I37:J37" si="4">SUM(I38:I46)</f>
        <v>0</v>
      </c>
      <c r="J37" s="45">
        <f t="shared" si="4"/>
        <v>0</v>
      </c>
    </row>
    <row r="38" spans="1:10" ht="39.75" customHeight="1" thickTop="1" x14ac:dyDescent="0.25">
      <c r="A38" s="46"/>
      <c r="B38" s="47" t="s">
        <v>289</v>
      </c>
      <c r="C38" s="48" t="s">
        <v>312</v>
      </c>
      <c r="D38" s="49" t="s">
        <v>2</v>
      </c>
      <c r="E38" s="49">
        <v>28</v>
      </c>
      <c r="F38" s="29"/>
      <c r="G38" s="29"/>
      <c r="H38" s="29"/>
      <c r="I38" s="29"/>
      <c r="J38" s="29"/>
    </row>
    <row r="39" spans="1:10" ht="39.75" customHeight="1" x14ac:dyDescent="0.25">
      <c r="A39" s="46"/>
      <c r="B39" s="47" t="s">
        <v>279</v>
      </c>
      <c r="C39" s="48" t="s">
        <v>312</v>
      </c>
      <c r="D39" s="49" t="s">
        <v>2</v>
      </c>
      <c r="E39" s="49">
        <v>50</v>
      </c>
      <c r="F39" s="29"/>
      <c r="G39" s="29"/>
      <c r="H39" s="29"/>
      <c r="I39" s="29"/>
      <c r="J39" s="29"/>
    </row>
    <row r="40" spans="1:10" ht="39.75" customHeight="1" x14ac:dyDescent="0.25">
      <c r="A40" s="46"/>
      <c r="B40" s="47" t="s">
        <v>303</v>
      </c>
      <c r="C40" s="48" t="s">
        <v>312</v>
      </c>
      <c r="D40" s="49" t="s">
        <v>2</v>
      </c>
      <c r="E40" s="49">
        <v>126</v>
      </c>
      <c r="F40" s="29"/>
      <c r="G40" s="29"/>
      <c r="H40" s="29"/>
      <c r="I40" s="29"/>
      <c r="J40" s="29"/>
    </row>
    <row r="41" spans="1:10" ht="39.75" customHeight="1" x14ac:dyDescent="0.25">
      <c r="A41" s="46"/>
      <c r="B41" s="47" t="s">
        <v>280</v>
      </c>
      <c r="C41" s="48" t="s">
        <v>312</v>
      </c>
      <c r="D41" s="49" t="s">
        <v>2</v>
      </c>
      <c r="E41" s="49">
        <v>17</v>
      </c>
      <c r="F41" s="29"/>
      <c r="G41" s="29"/>
      <c r="H41" s="29"/>
      <c r="I41" s="29"/>
      <c r="J41" s="29"/>
    </row>
    <row r="42" spans="1:10" ht="39.75" customHeight="1" x14ac:dyDescent="0.25">
      <c r="A42" s="46"/>
      <c r="B42" s="47" t="s">
        <v>286</v>
      </c>
      <c r="C42" s="48" t="s">
        <v>312</v>
      </c>
      <c r="D42" s="49" t="s">
        <v>2</v>
      </c>
      <c r="E42" s="49">
        <v>22</v>
      </c>
      <c r="F42" s="29"/>
      <c r="G42" s="29"/>
      <c r="H42" s="29"/>
      <c r="I42" s="29"/>
      <c r="J42" s="29"/>
    </row>
    <row r="43" spans="1:10" ht="39.75" customHeight="1" x14ac:dyDescent="0.25">
      <c r="A43" s="46"/>
      <c r="B43" s="47" t="s">
        <v>287</v>
      </c>
      <c r="C43" s="48" t="s">
        <v>312</v>
      </c>
      <c r="D43" s="49" t="s">
        <v>2</v>
      </c>
      <c r="E43" s="49">
        <v>22</v>
      </c>
      <c r="F43" s="29"/>
      <c r="G43" s="29"/>
      <c r="H43" s="29"/>
      <c r="I43" s="29"/>
      <c r="J43" s="29"/>
    </row>
    <row r="44" spans="1:10" ht="39.75" customHeight="1" x14ac:dyDescent="0.25">
      <c r="A44" s="46"/>
      <c r="B44" s="47" t="s">
        <v>302</v>
      </c>
      <c r="C44" s="48" t="s">
        <v>312</v>
      </c>
      <c r="D44" s="49" t="s">
        <v>2</v>
      </c>
      <c r="E44" s="49">
        <v>22</v>
      </c>
      <c r="F44" s="29"/>
      <c r="G44" s="29"/>
      <c r="H44" s="29"/>
      <c r="I44" s="29"/>
      <c r="J44" s="29"/>
    </row>
    <row r="45" spans="1:10" ht="39.75" customHeight="1" x14ac:dyDescent="0.25">
      <c r="A45" s="46"/>
      <c r="B45" s="47" t="s">
        <v>232</v>
      </c>
      <c r="C45" s="48" t="s">
        <v>316</v>
      </c>
      <c r="D45" s="49" t="s">
        <v>4</v>
      </c>
      <c r="E45" s="49">
        <v>3500</v>
      </c>
      <c r="F45" s="29"/>
      <c r="G45" s="29"/>
      <c r="H45" s="29"/>
      <c r="I45" s="29"/>
      <c r="J45" s="29"/>
    </row>
    <row r="46" spans="1:10" ht="39.75" customHeight="1" thickBot="1" x14ac:dyDescent="0.3">
      <c r="A46" s="46"/>
      <c r="B46" s="47" t="s">
        <v>199</v>
      </c>
      <c r="C46" s="48" t="s">
        <v>312</v>
      </c>
      <c r="D46" s="49" t="s">
        <v>42</v>
      </c>
      <c r="E46" s="49">
        <v>1</v>
      </c>
      <c r="F46" s="29"/>
      <c r="G46" s="29"/>
      <c r="H46" s="29"/>
      <c r="I46" s="29"/>
      <c r="J46" s="29"/>
    </row>
    <row r="47" spans="1:10" ht="45" customHeight="1" thickTop="1" thickBot="1" x14ac:dyDescent="0.3">
      <c r="A47" s="41">
        <v>6</v>
      </c>
      <c r="B47" s="42" t="s">
        <v>200</v>
      </c>
      <c r="C47" s="43"/>
      <c r="D47" s="44"/>
      <c r="E47" s="44"/>
      <c r="F47" s="44"/>
      <c r="G47" s="44"/>
      <c r="H47" s="45">
        <f>SUM(H48:H51)</f>
        <v>0</v>
      </c>
      <c r="I47" s="45">
        <f t="shared" ref="I47:J47" si="5">SUM(I48:I51)</f>
        <v>0</v>
      </c>
      <c r="J47" s="45">
        <f t="shared" si="5"/>
        <v>0</v>
      </c>
    </row>
    <row r="48" spans="1:10" ht="39.75" customHeight="1" thickTop="1" x14ac:dyDescent="0.25">
      <c r="A48" s="46"/>
      <c r="B48" s="47" t="s">
        <v>201</v>
      </c>
      <c r="C48" s="48" t="s">
        <v>317</v>
      </c>
      <c r="D48" s="49" t="s">
        <v>4</v>
      </c>
      <c r="E48" s="49">
        <v>65</v>
      </c>
      <c r="F48" s="29"/>
      <c r="G48" s="29"/>
      <c r="H48" s="29"/>
      <c r="I48" s="29"/>
      <c r="J48" s="29"/>
    </row>
    <row r="49" spans="1:10" ht="36.950000000000003" customHeight="1" x14ac:dyDescent="0.25">
      <c r="A49" s="46"/>
      <c r="B49" s="50" t="s">
        <v>202</v>
      </c>
      <c r="C49" s="48" t="s">
        <v>317</v>
      </c>
      <c r="D49" s="49" t="s">
        <v>2</v>
      </c>
      <c r="E49" s="49">
        <v>1</v>
      </c>
      <c r="F49" s="29"/>
      <c r="G49" s="29"/>
      <c r="H49" s="29"/>
      <c r="I49" s="29"/>
      <c r="J49" s="29"/>
    </row>
    <row r="50" spans="1:10" ht="36.950000000000003" customHeight="1" x14ac:dyDescent="0.25">
      <c r="A50" s="46"/>
      <c r="B50" s="50" t="s">
        <v>203</v>
      </c>
      <c r="C50" s="48" t="s">
        <v>317</v>
      </c>
      <c r="D50" s="49" t="s">
        <v>4</v>
      </c>
      <c r="E50" s="49">
        <v>135</v>
      </c>
      <c r="F50" s="29"/>
      <c r="G50" s="29"/>
      <c r="H50" s="29"/>
      <c r="I50" s="29"/>
      <c r="J50" s="29"/>
    </row>
    <row r="51" spans="1:10" ht="36.950000000000003" customHeight="1" thickBot="1" x14ac:dyDescent="0.3">
      <c r="A51" s="46"/>
      <c r="B51" s="50" t="s">
        <v>204</v>
      </c>
      <c r="C51" s="48" t="s">
        <v>317</v>
      </c>
      <c r="D51" s="49" t="s">
        <v>2</v>
      </c>
      <c r="E51" s="49">
        <v>6</v>
      </c>
      <c r="F51" s="29"/>
      <c r="G51" s="29"/>
      <c r="H51" s="29"/>
      <c r="I51" s="29"/>
      <c r="J51" s="29"/>
    </row>
    <row r="52" spans="1:10" ht="45" customHeight="1" thickTop="1" thickBot="1" x14ac:dyDescent="0.3">
      <c r="A52" s="41">
        <v>7</v>
      </c>
      <c r="B52" s="42" t="s">
        <v>205</v>
      </c>
      <c r="C52" s="43"/>
      <c r="D52" s="44"/>
      <c r="E52" s="44"/>
      <c r="F52" s="44"/>
      <c r="G52" s="44"/>
      <c r="H52" s="45">
        <f>SUM(H53:H61)</f>
        <v>0</v>
      </c>
      <c r="I52" s="45">
        <f t="shared" ref="I52:J52" si="6">SUM(I53:I61)</f>
        <v>0</v>
      </c>
      <c r="J52" s="45">
        <f t="shared" si="6"/>
        <v>0</v>
      </c>
    </row>
    <row r="53" spans="1:10" ht="39.75" customHeight="1" thickTop="1" x14ac:dyDescent="0.25">
      <c r="A53" s="46"/>
      <c r="B53" s="47" t="s">
        <v>293</v>
      </c>
      <c r="C53" s="48" t="s">
        <v>318</v>
      </c>
      <c r="D53" s="49" t="s">
        <v>4</v>
      </c>
      <c r="E53" s="49">
        <v>618</v>
      </c>
      <c r="F53" s="29"/>
      <c r="G53" s="29"/>
      <c r="H53" s="29"/>
      <c r="I53" s="29"/>
      <c r="J53" s="29"/>
    </row>
    <row r="54" spans="1:10" ht="39.75" customHeight="1" x14ac:dyDescent="0.25">
      <c r="A54" s="46"/>
      <c r="B54" s="47" t="s">
        <v>294</v>
      </c>
      <c r="C54" s="48" t="s">
        <v>318</v>
      </c>
      <c r="D54" s="49" t="s">
        <v>4</v>
      </c>
      <c r="E54" s="49">
        <v>324</v>
      </c>
      <c r="F54" s="29"/>
      <c r="G54" s="29"/>
      <c r="H54" s="29"/>
      <c r="I54" s="29"/>
      <c r="J54" s="29"/>
    </row>
    <row r="55" spans="1:10" ht="39.75" customHeight="1" x14ac:dyDescent="0.25">
      <c r="A55" s="46"/>
      <c r="B55" s="47" t="s">
        <v>295</v>
      </c>
      <c r="C55" s="48" t="s">
        <v>318</v>
      </c>
      <c r="D55" s="49" t="s">
        <v>4</v>
      </c>
      <c r="E55" s="49">
        <v>120</v>
      </c>
      <c r="F55" s="29"/>
      <c r="G55" s="29"/>
      <c r="H55" s="29"/>
      <c r="I55" s="29"/>
      <c r="J55" s="29"/>
    </row>
    <row r="56" spans="1:10" ht="39.75" customHeight="1" x14ac:dyDescent="0.25">
      <c r="A56" s="46"/>
      <c r="B56" s="47" t="s">
        <v>304</v>
      </c>
      <c r="C56" s="48" t="s">
        <v>318</v>
      </c>
      <c r="D56" s="49" t="s">
        <v>4</v>
      </c>
      <c r="E56" s="49">
        <v>6</v>
      </c>
      <c r="F56" s="29"/>
      <c r="G56" s="29"/>
      <c r="H56" s="29"/>
      <c r="I56" s="29"/>
      <c r="J56" s="29"/>
    </row>
    <row r="57" spans="1:10" ht="39.75" customHeight="1" x14ac:dyDescent="0.25">
      <c r="A57" s="46"/>
      <c r="B57" s="47" t="s">
        <v>305</v>
      </c>
      <c r="C57" s="48" t="s">
        <v>318</v>
      </c>
      <c r="D57" s="49" t="s">
        <v>4</v>
      </c>
      <c r="E57" s="49">
        <v>9</v>
      </c>
      <c r="F57" s="29"/>
      <c r="G57" s="29"/>
      <c r="H57" s="29"/>
      <c r="I57" s="29"/>
      <c r="J57" s="29"/>
    </row>
    <row r="58" spans="1:10" ht="39.75" customHeight="1" x14ac:dyDescent="0.25">
      <c r="A58" s="46"/>
      <c r="B58" s="47" t="s">
        <v>300</v>
      </c>
      <c r="C58" s="48" t="s">
        <v>318</v>
      </c>
      <c r="D58" s="49" t="s">
        <v>4</v>
      </c>
      <c r="E58" s="49">
        <v>12</v>
      </c>
      <c r="F58" s="29"/>
      <c r="G58" s="29"/>
      <c r="H58" s="29"/>
      <c r="I58" s="29"/>
      <c r="J58" s="29"/>
    </row>
    <row r="59" spans="1:10" ht="39.75" customHeight="1" x14ac:dyDescent="0.25">
      <c r="A59" s="46"/>
      <c r="B59" s="47" t="s">
        <v>296</v>
      </c>
      <c r="C59" s="48" t="s">
        <v>318</v>
      </c>
      <c r="D59" s="49" t="s">
        <v>4</v>
      </c>
      <c r="E59" s="49">
        <v>18</v>
      </c>
      <c r="F59" s="29"/>
      <c r="G59" s="29"/>
      <c r="H59" s="29"/>
      <c r="I59" s="29"/>
      <c r="J59" s="29"/>
    </row>
    <row r="60" spans="1:10" ht="39.75" customHeight="1" x14ac:dyDescent="0.25">
      <c r="A60" s="46"/>
      <c r="B60" s="47" t="s">
        <v>306</v>
      </c>
      <c r="C60" s="48" t="s">
        <v>318</v>
      </c>
      <c r="D60" s="49" t="s">
        <v>4</v>
      </c>
      <c r="E60" s="49">
        <v>3</v>
      </c>
      <c r="F60" s="29"/>
      <c r="G60" s="29"/>
      <c r="H60" s="29"/>
      <c r="I60" s="29"/>
      <c r="J60" s="29"/>
    </row>
    <row r="61" spans="1:10" ht="39.75" customHeight="1" thickBot="1" x14ac:dyDescent="0.3">
      <c r="A61" s="46"/>
      <c r="B61" s="47" t="s">
        <v>301</v>
      </c>
      <c r="C61" s="48" t="s">
        <v>318</v>
      </c>
      <c r="D61" s="49" t="s">
        <v>4</v>
      </c>
      <c r="E61" s="49">
        <v>3</v>
      </c>
      <c r="F61" s="29"/>
      <c r="G61" s="29"/>
      <c r="H61" s="29"/>
      <c r="I61" s="29"/>
      <c r="J61" s="29"/>
    </row>
    <row r="62" spans="1:10" ht="45" customHeight="1" thickTop="1" thickBot="1" x14ac:dyDescent="0.3">
      <c r="A62" s="41">
        <v>8</v>
      </c>
      <c r="B62" s="42" t="s">
        <v>206</v>
      </c>
      <c r="C62" s="43"/>
      <c r="D62" s="44"/>
      <c r="E62" s="44"/>
      <c r="F62" s="44"/>
      <c r="G62" s="44"/>
      <c r="H62" s="45">
        <f>SUM(H63:H63)</f>
        <v>0</v>
      </c>
      <c r="I62" s="45">
        <f>SUM(I63:I63)</f>
        <v>0</v>
      </c>
      <c r="J62" s="45">
        <f>SUM(J63:J63)</f>
        <v>0</v>
      </c>
    </row>
    <row r="63" spans="1:10" ht="39.75" customHeight="1" thickTop="1" thickBot="1" x14ac:dyDescent="0.3">
      <c r="A63" s="46"/>
      <c r="B63" s="47" t="s">
        <v>207</v>
      </c>
      <c r="C63" s="48" t="s">
        <v>319</v>
      </c>
      <c r="D63" s="49" t="s">
        <v>4</v>
      </c>
      <c r="E63" s="49">
        <v>3600</v>
      </c>
      <c r="F63" s="29"/>
      <c r="G63" s="29"/>
      <c r="H63" s="29"/>
      <c r="I63" s="29"/>
      <c r="J63" s="29"/>
    </row>
    <row r="64" spans="1:10" ht="45" customHeight="1" thickTop="1" thickBot="1" x14ac:dyDescent="0.3">
      <c r="A64" s="41">
        <v>9</v>
      </c>
      <c r="B64" s="42" t="s">
        <v>208</v>
      </c>
      <c r="C64" s="43"/>
      <c r="D64" s="44"/>
      <c r="E64" s="44"/>
      <c r="F64" s="44"/>
      <c r="G64" s="44"/>
      <c r="H64" s="45">
        <f t="shared" ref="H64:I64" si="7">SUM(H65:H70)</f>
        <v>0</v>
      </c>
      <c r="I64" s="45">
        <f t="shared" si="7"/>
        <v>0</v>
      </c>
      <c r="J64" s="45">
        <f>SUM(J65:J70)</f>
        <v>0</v>
      </c>
    </row>
    <row r="65" spans="1:10" ht="39.75" customHeight="1" thickTop="1" x14ac:dyDescent="0.25">
      <c r="A65" s="46"/>
      <c r="B65" s="47" t="s">
        <v>209</v>
      </c>
      <c r="C65" s="48" t="s">
        <v>320</v>
      </c>
      <c r="D65" s="49" t="s">
        <v>42</v>
      </c>
      <c r="E65" s="49">
        <v>1</v>
      </c>
      <c r="F65" s="29"/>
      <c r="G65" s="29"/>
      <c r="H65" s="29"/>
      <c r="I65" s="29"/>
      <c r="J65" s="29"/>
    </row>
    <row r="66" spans="1:10" ht="39.75" customHeight="1" x14ac:dyDescent="0.25">
      <c r="A66" s="46"/>
      <c r="B66" s="47" t="s">
        <v>210</v>
      </c>
      <c r="C66" s="48" t="s">
        <v>322</v>
      </c>
      <c r="D66" s="49" t="s">
        <v>42</v>
      </c>
      <c r="E66" s="49">
        <v>1</v>
      </c>
      <c r="F66" s="29"/>
      <c r="G66" s="29"/>
      <c r="H66" s="29"/>
      <c r="I66" s="29"/>
      <c r="J66" s="29"/>
    </row>
    <row r="67" spans="1:10" ht="39.75" customHeight="1" x14ac:dyDescent="0.25">
      <c r="A67" s="46"/>
      <c r="B67" s="47" t="s">
        <v>211</v>
      </c>
      <c r="C67" s="48" t="s">
        <v>320</v>
      </c>
      <c r="D67" s="49" t="s">
        <v>2</v>
      </c>
      <c r="E67" s="49">
        <v>5</v>
      </c>
      <c r="F67" s="29"/>
      <c r="G67" s="29"/>
      <c r="H67" s="29"/>
      <c r="I67" s="29"/>
      <c r="J67" s="29"/>
    </row>
    <row r="68" spans="1:10" ht="39.75" customHeight="1" x14ac:dyDescent="0.25">
      <c r="A68" s="46"/>
      <c r="B68" s="47" t="s">
        <v>212</v>
      </c>
      <c r="C68" s="48" t="s">
        <v>313</v>
      </c>
      <c r="D68" s="49" t="s">
        <v>2</v>
      </c>
      <c r="E68" s="49">
        <v>203</v>
      </c>
      <c r="F68" s="29"/>
      <c r="G68" s="29"/>
      <c r="H68" s="29"/>
      <c r="I68" s="29"/>
      <c r="J68" s="29"/>
    </row>
    <row r="69" spans="1:10" ht="39.75" customHeight="1" x14ac:dyDescent="0.25">
      <c r="A69" s="46"/>
      <c r="B69" s="47" t="s">
        <v>213</v>
      </c>
      <c r="C69" s="48" t="s">
        <v>326</v>
      </c>
      <c r="D69" s="49" t="s">
        <v>4</v>
      </c>
      <c r="E69" s="49">
        <v>7500</v>
      </c>
      <c r="F69" s="29"/>
      <c r="G69" s="29"/>
      <c r="H69" s="29"/>
      <c r="I69" s="29"/>
      <c r="J69" s="29"/>
    </row>
    <row r="70" spans="1:10" ht="39.75" customHeight="1" thickBot="1" x14ac:dyDescent="0.3">
      <c r="A70" s="46"/>
      <c r="B70" s="47" t="s">
        <v>199</v>
      </c>
      <c r="C70" s="48" t="s">
        <v>321</v>
      </c>
      <c r="D70" s="49" t="s">
        <v>42</v>
      </c>
      <c r="E70" s="49">
        <v>1</v>
      </c>
      <c r="F70" s="29"/>
      <c r="G70" s="29"/>
      <c r="H70" s="29"/>
      <c r="I70" s="29"/>
      <c r="J70" s="29"/>
    </row>
    <row r="71" spans="1:10" ht="45" customHeight="1" thickTop="1" thickBot="1" x14ac:dyDescent="0.3">
      <c r="A71" s="41">
        <v>10</v>
      </c>
      <c r="B71" s="42" t="s">
        <v>214</v>
      </c>
      <c r="C71" s="43"/>
      <c r="D71" s="44"/>
      <c r="E71" s="44"/>
      <c r="F71" s="44"/>
      <c r="G71" s="44"/>
      <c r="H71" s="45">
        <f t="shared" ref="H71:I71" si="8">SUM(H72:H78)</f>
        <v>0</v>
      </c>
      <c r="I71" s="45">
        <f t="shared" si="8"/>
        <v>0</v>
      </c>
      <c r="J71" s="45">
        <f>SUM(J72:J78)</f>
        <v>0</v>
      </c>
    </row>
    <row r="72" spans="1:10" ht="39.6" customHeight="1" thickTop="1" x14ac:dyDescent="0.25">
      <c r="A72" s="46"/>
      <c r="B72" s="47" t="s">
        <v>209</v>
      </c>
      <c r="C72" s="48" t="s">
        <v>327</v>
      </c>
      <c r="D72" s="49" t="s">
        <v>42</v>
      </c>
      <c r="E72" s="49">
        <v>1</v>
      </c>
      <c r="F72" s="29"/>
      <c r="G72" s="29"/>
      <c r="H72" s="29"/>
      <c r="I72" s="29"/>
      <c r="J72" s="29"/>
    </row>
    <row r="73" spans="1:10" ht="39.6" customHeight="1" x14ac:dyDescent="0.25">
      <c r="A73" s="46"/>
      <c r="B73" s="47" t="s">
        <v>210</v>
      </c>
      <c r="C73" s="48" t="s">
        <v>322</v>
      </c>
      <c r="D73" s="49" t="s">
        <v>42</v>
      </c>
      <c r="E73" s="49">
        <v>1</v>
      </c>
      <c r="F73" s="29"/>
      <c r="G73" s="29"/>
      <c r="H73" s="29"/>
      <c r="I73" s="29"/>
      <c r="J73" s="29"/>
    </row>
    <row r="74" spans="1:10" ht="39.6" customHeight="1" x14ac:dyDescent="0.25">
      <c r="A74" s="46"/>
      <c r="B74" s="47" t="s">
        <v>215</v>
      </c>
      <c r="C74" s="48" t="s">
        <v>327</v>
      </c>
      <c r="D74" s="49" t="s">
        <v>42</v>
      </c>
      <c r="E74" s="49">
        <v>2</v>
      </c>
      <c r="F74" s="29"/>
      <c r="G74" s="29"/>
      <c r="H74" s="29"/>
      <c r="I74" s="29"/>
      <c r="J74" s="29"/>
    </row>
    <row r="75" spans="1:10" ht="39.6" customHeight="1" x14ac:dyDescent="0.25">
      <c r="A75" s="46"/>
      <c r="B75" s="47" t="s">
        <v>216</v>
      </c>
      <c r="C75" s="48" t="s">
        <v>327</v>
      </c>
      <c r="D75" s="49" t="s">
        <v>42</v>
      </c>
      <c r="E75" s="49">
        <v>1</v>
      </c>
      <c r="F75" s="29"/>
      <c r="G75" s="29"/>
      <c r="H75" s="29"/>
      <c r="I75" s="29"/>
      <c r="J75" s="29"/>
    </row>
    <row r="76" spans="1:10" ht="39.75" customHeight="1" x14ac:dyDescent="0.25">
      <c r="A76" s="46"/>
      <c r="B76" s="47" t="s">
        <v>217</v>
      </c>
      <c r="C76" s="48" t="s">
        <v>313</v>
      </c>
      <c r="D76" s="49" t="s">
        <v>2</v>
      </c>
      <c r="E76" s="49">
        <v>44</v>
      </c>
      <c r="F76" s="29"/>
      <c r="G76" s="29"/>
      <c r="H76" s="29"/>
      <c r="I76" s="29"/>
      <c r="J76" s="29"/>
    </row>
    <row r="77" spans="1:10" ht="39.6" customHeight="1" x14ac:dyDescent="0.25">
      <c r="A77" s="46"/>
      <c r="B77" s="47" t="s">
        <v>218</v>
      </c>
      <c r="C77" s="48" t="s">
        <v>316</v>
      </c>
      <c r="D77" s="49" t="s">
        <v>4</v>
      </c>
      <c r="E77" s="49">
        <v>2333</v>
      </c>
      <c r="F77" s="29"/>
      <c r="G77" s="29"/>
      <c r="H77" s="29"/>
      <c r="I77" s="29"/>
      <c r="J77" s="29"/>
    </row>
    <row r="78" spans="1:10" ht="39.6" customHeight="1" thickBot="1" x14ac:dyDescent="0.3">
      <c r="A78" s="46"/>
      <c r="B78" s="47" t="s">
        <v>199</v>
      </c>
      <c r="C78" s="48" t="s">
        <v>321</v>
      </c>
      <c r="D78" s="49" t="s">
        <v>42</v>
      </c>
      <c r="E78" s="49">
        <v>1</v>
      </c>
      <c r="F78" s="29"/>
      <c r="G78" s="29"/>
      <c r="H78" s="29"/>
      <c r="I78" s="29"/>
      <c r="J78" s="29"/>
    </row>
    <row r="79" spans="1:10" ht="45" customHeight="1" thickTop="1" thickBot="1" x14ac:dyDescent="0.3">
      <c r="A79" s="41">
        <v>11</v>
      </c>
      <c r="B79" s="42" t="s">
        <v>219</v>
      </c>
      <c r="C79" s="43"/>
      <c r="D79" s="44"/>
      <c r="E79" s="44"/>
      <c r="F79" s="44"/>
      <c r="G79" s="44"/>
      <c r="H79" s="45">
        <f t="shared" ref="H79:I79" si="9">SUM(H80:H83)</f>
        <v>0</v>
      </c>
      <c r="I79" s="45">
        <f t="shared" si="9"/>
        <v>0</v>
      </c>
      <c r="J79" s="45">
        <f>SUM(J80:J83)</f>
        <v>0</v>
      </c>
    </row>
    <row r="80" spans="1:10" ht="39.6" customHeight="1" thickTop="1" x14ac:dyDescent="0.25">
      <c r="A80" s="46"/>
      <c r="B80" s="47" t="s">
        <v>209</v>
      </c>
      <c r="C80" s="48" t="s">
        <v>320</v>
      </c>
      <c r="D80" s="49" t="s">
        <v>42</v>
      </c>
      <c r="E80" s="49">
        <v>1</v>
      </c>
      <c r="F80" s="29"/>
      <c r="G80" s="29"/>
      <c r="H80" s="29"/>
      <c r="I80" s="29"/>
      <c r="J80" s="29"/>
    </row>
    <row r="81" spans="1:10" ht="39.6" customHeight="1" x14ac:dyDescent="0.25">
      <c r="A81" s="46"/>
      <c r="B81" s="47" t="s">
        <v>220</v>
      </c>
      <c r="C81" s="48" t="s">
        <v>320</v>
      </c>
      <c r="D81" s="49" t="s">
        <v>2</v>
      </c>
      <c r="E81" s="49">
        <v>27</v>
      </c>
      <c r="F81" s="29"/>
      <c r="G81" s="29"/>
      <c r="H81" s="29"/>
      <c r="I81" s="29"/>
      <c r="J81" s="29"/>
    </row>
    <row r="82" spans="1:10" ht="39.6" customHeight="1" x14ac:dyDescent="0.25">
      <c r="A82" s="46"/>
      <c r="B82" s="47" t="s">
        <v>213</v>
      </c>
      <c r="C82" s="48" t="s">
        <v>326</v>
      </c>
      <c r="D82" s="49" t="s">
        <v>4</v>
      </c>
      <c r="E82" s="49">
        <v>810</v>
      </c>
      <c r="F82" s="29"/>
      <c r="G82" s="29"/>
      <c r="H82" s="29"/>
      <c r="I82" s="29"/>
      <c r="J82" s="29"/>
    </row>
    <row r="83" spans="1:10" ht="39.6" customHeight="1" thickBot="1" x14ac:dyDescent="0.3">
      <c r="A83" s="46"/>
      <c r="B83" s="47" t="s">
        <v>199</v>
      </c>
      <c r="C83" s="48" t="s">
        <v>321</v>
      </c>
      <c r="D83" s="49" t="s">
        <v>42</v>
      </c>
      <c r="E83" s="49">
        <v>1</v>
      </c>
      <c r="F83" s="29"/>
      <c r="G83" s="29"/>
      <c r="H83" s="29"/>
      <c r="I83" s="29"/>
      <c r="J83" s="29"/>
    </row>
    <row r="84" spans="1:10" ht="45" customHeight="1" thickTop="1" thickBot="1" x14ac:dyDescent="0.3">
      <c r="A84" s="41">
        <v>12</v>
      </c>
      <c r="B84" s="42" t="s">
        <v>221</v>
      </c>
      <c r="C84" s="43"/>
      <c r="D84" s="44"/>
      <c r="E84" s="44"/>
      <c r="F84" s="44"/>
      <c r="G84" s="44"/>
      <c r="H84" s="45">
        <f t="shared" ref="H84:I84" si="10">SUM(H85:H96)</f>
        <v>0</v>
      </c>
      <c r="I84" s="45">
        <f t="shared" si="10"/>
        <v>0</v>
      </c>
      <c r="J84" s="45">
        <f>SUM(J85:J96)</f>
        <v>0</v>
      </c>
    </row>
    <row r="85" spans="1:10" ht="39.6" customHeight="1" thickTop="1" x14ac:dyDescent="0.25">
      <c r="A85" s="46"/>
      <c r="B85" s="47" t="s">
        <v>222</v>
      </c>
      <c r="C85" s="48" t="s">
        <v>328</v>
      </c>
      <c r="D85" s="49" t="s">
        <v>42</v>
      </c>
      <c r="E85" s="49">
        <v>1</v>
      </c>
      <c r="F85" s="29"/>
      <c r="G85" s="29"/>
      <c r="H85" s="29"/>
      <c r="I85" s="29"/>
      <c r="J85" s="29"/>
    </row>
    <row r="86" spans="1:10" ht="39.6" customHeight="1" x14ac:dyDescent="0.25">
      <c r="A86" s="46"/>
      <c r="B86" s="47" t="s">
        <v>223</v>
      </c>
      <c r="C86" s="48" t="s">
        <v>328</v>
      </c>
      <c r="D86" s="49" t="s">
        <v>2</v>
      </c>
      <c r="E86" s="49">
        <v>65</v>
      </c>
      <c r="F86" s="29"/>
      <c r="G86" s="29"/>
      <c r="H86" s="29"/>
      <c r="I86" s="29"/>
      <c r="J86" s="29"/>
    </row>
    <row r="87" spans="1:10" ht="39.6" customHeight="1" x14ac:dyDescent="0.25">
      <c r="A87" s="46"/>
      <c r="B87" s="47" t="s">
        <v>224</v>
      </c>
      <c r="C87" s="48" t="s">
        <v>328</v>
      </c>
      <c r="D87" s="49" t="s">
        <v>2</v>
      </c>
      <c r="E87" s="49">
        <v>22</v>
      </c>
      <c r="F87" s="29"/>
      <c r="G87" s="29"/>
      <c r="H87" s="29"/>
      <c r="I87" s="29"/>
      <c r="J87" s="29"/>
    </row>
    <row r="88" spans="1:10" ht="39.6" customHeight="1" x14ac:dyDescent="0.25">
      <c r="A88" s="46"/>
      <c r="B88" s="47" t="s">
        <v>225</v>
      </c>
      <c r="C88" s="48" t="s">
        <v>328</v>
      </c>
      <c r="D88" s="49" t="s">
        <v>2</v>
      </c>
      <c r="E88" s="49">
        <v>13</v>
      </c>
      <c r="F88" s="29"/>
      <c r="G88" s="29"/>
      <c r="H88" s="29"/>
      <c r="I88" s="29"/>
      <c r="J88" s="29"/>
    </row>
    <row r="89" spans="1:10" ht="39.6" customHeight="1" x14ac:dyDescent="0.25">
      <c r="A89" s="46"/>
      <c r="B89" s="47" t="s">
        <v>226</v>
      </c>
      <c r="C89" s="48" t="s">
        <v>328</v>
      </c>
      <c r="D89" s="49" t="s">
        <v>2</v>
      </c>
      <c r="E89" s="49">
        <v>100</v>
      </c>
      <c r="F89" s="29"/>
      <c r="G89" s="29"/>
      <c r="H89" s="29"/>
      <c r="I89" s="29"/>
      <c r="J89" s="29"/>
    </row>
    <row r="90" spans="1:10" ht="39.6" customHeight="1" x14ac:dyDescent="0.25">
      <c r="A90" s="46"/>
      <c r="B90" s="47" t="s">
        <v>227</v>
      </c>
      <c r="C90" s="48" t="s">
        <v>328</v>
      </c>
      <c r="D90" s="49" t="s">
        <v>2</v>
      </c>
      <c r="E90" s="49">
        <v>2</v>
      </c>
      <c r="F90" s="29"/>
      <c r="G90" s="29"/>
      <c r="H90" s="29"/>
      <c r="I90" s="29"/>
      <c r="J90" s="29"/>
    </row>
    <row r="91" spans="1:10" ht="39.6" customHeight="1" x14ac:dyDescent="0.25">
      <c r="A91" s="46"/>
      <c r="B91" s="50" t="s">
        <v>228</v>
      </c>
      <c r="C91" s="48" t="s">
        <v>328</v>
      </c>
      <c r="D91" s="49" t="s">
        <v>2</v>
      </c>
      <c r="E91" s="49">
        <v>22</v>
      </c>
      <c r="F91" s="29"/>
      <c r="G91" s="29"/>
      <c r="H91" s="29"/>
      <c r="I91" s="29"/>
      <c r="J91" s="29"/>
    </row>
    <row r="92" spans="1:10" ht="39.6" customHeight="1" x14ac:dyDescent="0.25">
      <c r="A92" s="46"/>
      <c r="B92" s="47" t="s">
        <v>229</v>
      </c>
      <c r="C92" s="48" t="s">
        <v>328</v>
      </c>
      <c r="D92" s="49" t="s">
        <v>2</v>
      </c>
      <c r="E92" s="49">
        <v>13</v>
      </c>
      <c r="F92" s="29"/>
      <c r="G92" s="29"/>
      <c r="H92" s="29"/>
      <c r="I92" s="29"/>
      <c r="J92" s="29"/>
    </row>
    <row r="93" spans="1:10" ht="39.6" customHeight="1" x14ac:dyDescent="0.25">
      <c r="A93" s="46"/>
      <c r="B93" s="47" t="s">
        <v>230</v>
      </c>
      <c r="C93" s="48" t="s">
        <v>328</v>
      </c>
      <c r="D93" s="49" t="s">
        <v>2</v>
      </c>
      <c r="E93" s="49">
        <v>11</v>
      </c>
      <c r="F93" s="29"/>
      <c r="G93" s="29"/>
      <c r="H93" s="29"/>
      <c r="I93" s="29"/>
      <c r="J93" s="29"/>
    </row>
    <row r="94" spans="1:10" ht="39.6" customHeight="1" x14ac:dyDescent="0.25">
      <c r="A94" s="46"/>
      <c r="B94" s="50" t="s">
        <v>231</v>
      </c>
      <c r="C94" s="48" t="s">
        <v>328</v>
      </c>
      <c r="D94" s="49" t="s">
        <v>2</v>
      </c>
      <c r="E94" s="49">
        <v>10</v>
      </c>
      <c r="F94" s="29"/>
      <c r="G94" s="29"/>
      <c r="H94" s="29"/>
      <c r="I94" s="29"/>
      <c r="J94" s="29"/>
    </row>
    <row r="95" spans="1:10" ht="39.6" customHeight="1" x14ac:dyDescent="0.25">
      <c r="A95" s="46"/>
      <c r="B95" s="47" t="s">
        <v>232</v>
      </c>
      <c r="C95" s="48" t="s">
        <v>316</v>
      </c>
      <c r="D95" s="49" t="s">
        <v>4</v>
      </c>
      <c r="E95" s="49">
        <v>1960</v>
      </c>
      <c r="F95" s="29"/>
      <c r="G95" s="29"/>
      <c r="H95" s="29"/>
      <c r="I95" s="29"/>
      <c r="J95" s="29"/>
    </row>
    <row r="96" spans="1:10" ht="39.6" customHeight="1" thickBot="1" x14ac:dyDescent="0.3">
      <c r="A96" s="46"/>
      <c r="B96" s="47" t="s">
        <v>199</v>
      </c>
      <c r="C96" s="48" t="s">
        <v>321</v>
      </c>
      <c r="D96" s="49" t="s">
        <v>42</v>
      </c>
      <c r="E96" s="49">
        <v>1</v>
      </c>
      <c r="F96" s="29"/>
      <c r="G96" s="29"/>
      <c r="H96" s="29"/>
      <c r="I96" s="29"/>
      <c r="J96" s="29"/>
    </row>
    <row r="97" spans="1:10" ht="45" customHeight="1" thickTop="1" thickBot="1" x14ac:dyDescent="0.3">
      <c r="A97" s="41">
        <v>13</v>
      </c>
      <c r="B97" s="42" t="s">
        <v>234</v>
      </c>
      <c r="C97" s="43"/>
      <c r="D97" s="44"/>
      <c r="E97" s="44"/>
      <c r="F97" s="44"/>
      <c r="G97" s="44"/>
      <c r="H97" s="45">
        <f t="shared" ref="H97:I97" si="11">SUM(H98:H108)</f>
        <v>0</v>
      </c>
      <c r="I97" s="45">
        <f t="shared" si="11"/>
        <v>0</v>
      </c>
      <c r="J97" s="45">
        <f>SUM(J98:J108)</f>
        <v>0</v>
      </c>
    </row>
    <row r="98" spans="1:10" ht="39.6" customHeight="1" thickTop="1" x14ac:dyDescent="0.25">
      <c r="A98" s="46"/>
      <c r="B98" s="47" t="s">
        <v>209</v>
      </c>
      <c r="C98" s="48" t="s">
        <v>331</v>
      </c>
      <c r="D98" s="49" t="s">
        <v>42</v>
      </c>
      <c r="E98" s="49">
        <v>1</v>
      </c>
      <c r="F98" s="29"/>
      <c r="G98" s="29"/>
      <c r="H98" s="29"/>
      <c r="I98" s="29"/>
      <c r="J98" s="29"/>
    </row>
    <row r="99" spans="1:10" ht="39.6" customHeight="1" x14ac:dyDescent="0.25">
      <c r="A99" s="46"/>
      <c r="B99" s="47" t="s">
        <v>210</v>
      </c>
      <c r="C99" s="48" t="s">
        <v>322</v>
      </c>
      <c r="D99" s="49" t="s">
        <v>42</v>
      </c>
      <c r="E99" s="49">
        <v>1</v>
      </c>
      <c r="F99" s="29"/>
      <c r="G99" s="29"/>
      <c r="H99" s="29"/>
      <c r="I99" s="29"/>
      <c r="J99" s="29"/>
    </row>
    <row r="100" spans="1:10" ht="39.6" customHeight="1" x14ac:dyDescent="0.25">
      <c r="A100" s="46"/>
      <c r="B100" s="47" t="s">
        <v>282</v>
      </c>
      <c r="C100" s="48" t="s">
        <v>331</v>
      </c>
      <c r="D100" s="49" t="s">
        <v>42</v>
      </c>
      <c r="E100" s="49">
        <v>1</v>
      </c>
      <c r="F100" s="29"/>
      <c r="G100" s="29"/>
      <c r="H100" s="29"/>
      <c r="I100" s="29"/>
      <c r="J100" s="29"/>
    </row>
    <row r="101" spans="1:10" ht="39.6" customHeight="1" x14ac:dyDescent="0.25">
      <c r="A101" s="46"/>
      <c r="B101" s="47" t="s">
        <v>235</v>
      </c>
      <c r="C101" s="48" t="s">
        <v>331</v>
      </c>
      <c r="D101" s="49" t="s">
        <v>2</v>
      </c>
      <c r="E101" s="49">
        <v>7</v>
      </c>
      <c r="F101" s="29"/>
      <c r="G101" s="29"/>
      <c r="H101" s="29"/>
      <c r="I101" s="29"/>
      <c r="J101" s="29"/>
    </row>
    <row r="102" spans="1:10" ht="39.6" customHeight="1" x14ac:dyDescent="0.25">
      <c r="A102" s="46"/>
      <c r="B102" s="47" t="s">
        <v>236</v>
      </c>
      <c r="C102" s="48" t="s">
        <v>331</v>
      </c>
      <c r="D102" s="49" t="s">
        <v>2</v>
      </c>
      <c r="E102" s="49">
        <v>48</v>
      </c>
      <c r="F102" s="29"/>
      <c r="G102" s="29"/>
      <c r="H102" s="29"/>
      <c r="I102" s="29"/>
      <c r="J102" s="29"/>
    </row>
    <row r="103" spans="1:10" ht="39.6" customHeight="1" x14ac:dyDescent="0.25">
      <c r="A103" s="46"/>
      <c r="B103" s="47" t="s">
        <v>283</v>
      </c>
      <c r="C103" s="48" t="s">
        <v>331</v>
      </c>
      <c r="D103" s="49" t="s">
        <v>2</v>
      </c>
      <c r="E103" s="49">
        <v>22</v>
      </c>
      <c r="F103" s="29"/>
      <c r="G103" s="29"/>
      <c r="H103" s="29"/>
      <c r="I103" s="29"/>
      <c r="J103" s="29"/>
    </row>
    <row r="104" spans="1:10" ht="39.6" customHeight="1" x14ac:dyDescent="0.25">
      <c r="A104" s="46"/>
      <c r="B104" s="47" t="s">
        <v>277</v>
      </c>
      <c r="C104" s="48" t="s">
        <v>331</v>
      </c>
      <c r="D104" s="49" t="s">
        <v>2</v>
      </c>
      <c r="E104" s="49">
        <v>22</v>
      </c>
      <c r="F104" s="29"/>
      <c r="G104" s="29"/>
      <c r="H104" s="29"/>
      <c r="I104" s="29"/>
      <c r="J104" s="29"/>
    </row>
    <row r="105" spans="1:10" ht="39.6" customHeight="1" x14ac:dyDescent="0.25">
      <c r="A105" s="46"/>
      <c r="B105" s="47" t="s">
        <v>233</v>
      </c>
      <c r="C105" s="48" t="s">
        <v>316</v>
      </c>
      <c r="D105" s="49" t="s">
        <v>4</v>
      </c>
      <c r="E105" s="49">
        <v>800</v>
      </c>
      <c r="F105" s="29"/>
      <c r="G105" s="29"/>
      <c r="H105" s="29"/>
      <c r="I105" s="29"/>
      <c r="J105" s="29"/>
    </row>
    <row r="106" spans="1:10" ht="39.6" customHeight="1" x14ac:dyDescent="0.25">
      <c r="A106" s="46"/>
      <c r="B106" s="47" t="s">
        <v>281</v>
      </c>
      <c r="C106" s="48" t="s">
        <v>316</v>
      </c>
      <c r="D106" s="49" t="s">
        <v>4</v>
      </c>
      <c r="E106" s="49">
        <v>400</v>
      </c>
      <c r="F106" s="29"/>
      <c r="G106" s="29"/>
      <c r="H106" s="29"/>
      <c r="I106" s="29"/>
      <c r="J106" s="29"/>
    </row>
    <row r="107" spans="1:10" ht="39.6" customHeight="1" x14ac:dyDescent="0.25">
      <c r="A107" s="46"/>
      <c r="B107" s="47" t="s">
        <v>213</v>
      </c>
      <c r="C107" s="48" t="s">
        <v>326</v>
      </c>
      <c r="D107" s="49" t="s">
        <v>4</v>
      </c>
      <c r="E107" s="49">
        <v>30</v>
      </c>
      <c r="F107" s="29"/>
      <c r="G107" s="29"/>
      <c r="H107" s="29"/>
      <c r="I107" s="29"/>
      <c r="J107" s="29"/>
    </row>
    <row r="108" spans="1:10" ht="39.6" customHeight="1" x14ac:dyDescent="0.25">
      <c r="A108" s="46"/>
      <c r="B108" s="47" t="s">
        <v>199</v>
      </c>
      <c r="C108" s="48" t="s">
        <v>321</v>
      </c>
      <c r="D108" s="49" t="s">
        <v>42</v>
      </c>
      <c r="E108" s="49">
        <v>1</v>
      </c>
      <c r="F108" s="29"/>
      <c r="G108" s="29"/>
      <c r="H108" s="29"/>
      <c r="I108" s="29"/>
      <c r="J108" s="29"/>
    </row>
    <row r="109" spans="1:10" x14ac:dyDescent="0.25">
      <c r="D109" s="54"/>
      <c r="E109" s="54"/>
    </row>
    <row r="110" spans="1:10" x14ac:dyDescent="0.25">
      <c r="D110" s="54"/>
      <c r="E110" s="54"/>
    </row>
    <row r="111" spans="1:10" x14ac:dyDescent="0.25">
      <c r="D111" s="54"/>
      <c r="E111" s="54"/>
    </row>
    <row r="112" spans="1:10" x14ac:dyDescent="0.25">
      <c r="D112" s="54"/>
      <c r="E112" s="54"/>
    </row>
    <row r="113" spans="4:5" x14ac:dyDescent="0.25">
      <c r="D113" s="54"/>
      <c r="E113" s="54"/>
    </row>
    <row r="114" spans="4:5" x14ac:dyDescent="0.25">
      <c r="D114" s="54"/>
      <c r="E114" s="54"/>
    </row>
    <row r="115" spans="4:5" x14ac:dyDescent="0.25">
      <c r="D115" s="54"/>
      <c r="E115" s="54"/>
    </row>
    <row r="116" spans="4:5" x14ac:dyDescent="0.25">
      <c r="D116" s="54"/>
      <c r="E116" s="54"/>
    </row>
    <row r="117" spans="4:5" x14ac:dyDescent="0.25">
      <c r="D117" s="54"/>
      <c r="E117" s="54"/>
    </row>
    <row r="118" spans="4:5" x14ac:dyDescent="0.25">
      <c r="D118" s="54"/>
      <c r="E118" s="54"/>
    </row>
    <row r="119" spans="4:5" x14ac:dyDescent="0.25">
      <c r="D119" s="54"/>
      <c r="E119" s="54"/>
    </row>
    <row r="120" spans="4:5" x14ac:dyDescent="0.25">
      <c r="D120" s="54"/>
      <c r="E120" s="54"/>
    </row>
    <row r="121" spans="4:5" x14ac:dyDescent="0.25">
      <c r="D121" s="54"/>
      <c r="E121" s="54"/>
    </row>
    <row r="122" spans="4:5" x14ac:dyDescent="0.25">
      <c r="D122" s="54"/>
      <c r="E122" s="54"/>
    </row>
    <row r="123" spans="4:5" x14ac:dyDescent="0.25">
      <c r="D123" s="54"/>
      <c r="E123" s="54"/>
    </row>
    <row r="124" spans="4:5" x14ac:dyDescent="0.25">
      <c r="D124" s="54"/>
      <c r="E124" s="54"/>
    </row>
    <row r="125" spans="4:5" x14ac:dyDescent="0.25">
      <c r="D125" s="54"/>
      <c r="E125" s="54"/>
    </row>
    <row r="126" spans="4:5" x14ac:dyDescent="0.25">
      <c r="D126" s="54"/>
      <c r="E126" s="54"/>
    </row>
    <row r="127" spans="4:5" x14ac:dyDescent="0.25">
      <c r="D127" s="54"/>
      <c r="E127" s="54"/>
    </row>
    <row r="128" spans="4:5" x14ac:dyDescent="0.25">
      <c r="D128" s="54"/>
      <c r="E128" s="54"/>
    </row>
    <row r="129" spans="4:5" x14ac:dyDescent="0.25">
      <c r="D129" s="54"/>
      <c r="E129" s="54"/>
    </row>
    <row r="130" spans="4:5" x14ac:dyDescent="0.25">
      <c r="D130" s="54"/>
      <c r="E130" s="54"/>
    </row>
    <row r="131" spans="4:5" x14ac:dyDescent="0.25">
      <c r="D131" s="54"/>
      <c r="E131" s="54"/>
    </row>
    <row r="132" spans="4:5" x14ac:dyDescent="0.25">
      <c r="D132" s="54"/>
      <c r="E132" s="54"/>
    </row>
    <row r="133" spans="4:5" x14ac:dyDescent="0.25">
      <c r="D133" s="54"/>
      <c r="E133" s="54"/>
    </row>
    <row r="134" spans="4:5" x14ac:dyDescent="0.25">
      <c r="D134" s="54"/>
      <c r="E134" s="54"/>
    </row>
    <row r="135" spans="4:5" x14ac:dyDescent="0.25">
      <c r="D135" s="54"/>
      <c r="E135" s="54"/>
    </row>
    <row r="136" spans="4:5" x14ac:dyDescent="0.25">
      <c r="D136" s="54"/>
      <c r="E136" s="54"/>
    </row>
    <row r="137" spans="4:5" x14ac:dyDescent="0.25">
      <c r="D137" s="54"/>
      <c r="E137" s="54"/>
    </row>
    <row r="138" spans="4:5" x14ac:dyDescent="0.25">
      <c r="D138" s="54"/>
      <c r="E138" s="54"/>
    </row>
    <row r="139" spans="4:5" x14ac:dyDescent="0.25">
      <c r="D139" s="54"/>
      <c r="E139" s="54"/>
    </row>
    <row r="140" spans="4:5" x14ac:dyDescent="0.25">
      <c r="D140" s="54"/>
      <c r="E140" s="54"/>
    </row>
    <row r="141" spans="4:5" x14ac:dyDescent="0.25">
      <c r="D141" s="54"/>
      <c r="E141" s="54"/>
    </row>
    <row r="142" spans="4:5" x14ac:dyDescent="0.25">
      <c r="D142" s="54"/>
      <c r="E142" s="54"/>
    </row>
    <row r="143" spans="4:5" x14ac:dyDescent="0.25">
      <c r="D143" s="54"/>
      <c r="E143" s="54"/>
    </row>
    <row r="144" spans="4:5" x14ac:dyDescent="0.25">
      <c r="D144" s="54"/>
      <c r="E144" s="54"/>
    </row>
    <row r="145" spans="4:5" x14ac:dyDescent="0.25">
      <c r="D145" s="54"/>
      <c r="E145" s="54"/>
    </row>
    <row r="146" spans="4:5" x14ac:dyDescent="0.25">
      <c r="D146" s="54"/>
      <c r="E146" s="54"/>
    </row>
    <row r="147" spans="4:5" x14ac:dyDescent="0.25">
      <c r="D147" s="54"/>
      <c r="E147" s="54"/>
    </row>
    <row r="148" spans="4:5" x14ac:dyDescent="0.25">
      <c r="D148" s="54"/>
      <c r="E148" s="54"/>
    </row>
    <row r="149" spans="4:5" x14ac:dyDescent="0.25">
      <c r="D149" s="54"/>
      <c r="E149" s="54"/>
    </row>
    <row r="150" spans="4:5" x14ac:dyDescent="0.25">
      <c r="D150" s="54"/>
      <c r="E150" s="54"/>
    </row>
    <row r="151" spans="4:5" x14ac:dyDescent="0.25">
      <c r="D151" s="54"/>
      <c r="E151" s="54"/>
    </row>
    <row r="152" spans="4:5" x14ac:dyDescent="0.25">
      <c r="D152" s="54"/>
      <c r="E152" s="54"/>
    </row>
    <row r="153" spans="4:5" x14ac:dyDescent="0.25">
      <c r="D153" s="54"/>
      <c r="E153" s="54"/>
    </row>
    <row r="154" spans="4:5" x14ac:dyDescent="0.25">
      <c r="D154" s="54"/>
      <c r="E154" s="54"/>
    </row>
    <row r="155" spans="4:5" x14ac:dyDescent="0.25">
      <c r="D155" s="54"/>
      <c r="E155" s="54"/>
    </row>
    <row r="156" spans="4:5" x14ac:dyDescent="0.25">
      <c r="D156" s="54"/>
      <c r="E156" s="54"/>
    </row>
    <row r="157" spans="4:5" x14ac:dyDescent="0.25">
      <c r="D157" s="54"/>
      <c r="E157" s="54"/>
    </row>
    <row r="158" spans="4:5" x14ac:dyDescent="0.25">
      <c r="D158" s="54"/>
      <c r="E158" s="54"/>
    </row>
    <row r="159" spans="4:5" x14ac:dyDescent="0.25">
      <c r="D159" s="54"/>
      <c r="E159" s="54"/>
    </row>
    <row r="160" spans="4:5" x14ac:dyDescent="0.25">
      <c r="D160" s="54"/>
      <c r="E160" s="54"/>
    </row>
    <row r="161" spans="4:5" x14ac:dyDescent="0.25">
      <c r="D161" s="54"/>
      <c r="E161" s="54"/>
    </row>
    <row r="162" spans="4:5" x14ac:dyDescent="0.25">
      <c r="D162" s="54"/>
      <c r="E162" s="54"/>
    </row>
    <row r="163" spans="4:5" x14ac:dyDescent="0.25">
      <c r="D163" s="54"/>
      <c r="E163" s="54"/>
    </row>
    <row r="164" spans="4:5" x14ac:dyDescent="0.25">
      <c r="D164" s="54"/>
      <c r="E164" s="54"/>
    </row>
    <row r="165" spans="4:5" x14ac:dyDescent="0.25">
      <c r="D165" s="54"/>
      <c r="E165" s="54"/>
    </row>
    <row r="166" spans="4:5" x14ac:dyDescent="0.25">
      <c r="D166" s="54"/>
      <c r="E166" s="54"/>
    </row>
    <row r="167" spans="4:5" x14ac:dyDescent="0.25">
      <c r="D167" s="54"/>
      <c r="E167" s="54"/>
    </row>
    <row r="168" spans="4:5" x14ac:dyDescent="0.25">
      <c r="D168" s="54"/>
      <c r="E168" s="54"/>
    </row>
    <row r="169" spans="4:5" x14ac:dyDescent="0.25">
      <c r="D169" s="54"/>
      <c r="E169" s="54"/>
    </row>
    <row r="170" spans="4:5" x14ac:dyDescent="0.25">
      <c r="D170" s="54"/>
      <c r="E170" s="54"/>
    </row>
    <row r="171" spans="4:5" x14ac:dyDescent="0.25">
      <c r="D171" s="54"/>
      <c r="E171" s="54"/>
    </row>
    <row r="172" spans="4:5" x14ac:dyDescent="0.25">
      <c r="D172" s="54"/>
      <c r="E172" s="54"/>
    </row>
    <row r="173" spans="4:5" x14ac:dyDescent="0.25">
      <c r="D173" s="54"/>
      <c r="E173" s="54"/>
    </row>
    <row r="174" spans="4:5" x14ac:dyDescent="0.25">
      <c r="D174" s="54"/>
      <c r="E174" s="54"/>
    </row>
    <row r="175" spans="4:5" x14ac:dyDescent="0.25">
      <c r="D175" s="54"/>
      <c r="E175" s="54"/>
    </row>
    <row r="176" spans="4:5" x14ac:dyDescent="0.25">
      <c r="D176" s="54"/>
      <c r="E176" s="54"/>
    </row>
    <row r="177" spans="4:5" x14ac:dyDescent="0.25">
      <c r="D177" s="54"/>
      <c r="E177" s="54"/>
    </row>
    <row r="178" spans="4:5" x14ac:dyDescent="0.25">
      <c r="D178" s="54"/>
      <c r="E178" s="54"/>
    </row>
    <row r="179" spans="4:5" x14ac:dyDescent="0.25">
      <c r="D179" s="54"/>
      <c r="E179" s="54"/>
    </row>
    <row r="180" spans="4:5" x14ac:dyDescent="0.25">
      <c r="D180" s="54"/>
      <c r="E180" s="54"/>
    </row>
    <row r="181" spans="4:5" x14ac:dyDescent="0.25">
      <c r="D181" s="54"/>
      <c r="E181" s="54"/>
    </row>
    <row r="182" spans="4:5" x14ac:dyDescent="0.25">
      <c r="D182" s="54"/>
      <c r="E182" s="54"/>
    </row>
    <row r="183" spans="4:5" x14ac:dyDescent="0.25">
      <c r="D183" s="54"/>
      <c r="E183" s="54"/>
    </row>
    <row r="184" spans="4:5" x14ac:dyDescent="0.25">
      <c r="D184" s="54"/>
      <c r="E184" s="54"/>
    </row>
    <row r="185" spans="4:5" x14ac:dyDescent="0.25">
      <c r="D185" s="54"/>
      <c r="E185" s="54"/>
    </row>
    <row r="186" spans="4:5" x14ac:dyDescent="0.25">
      <c r="D186" s="54"/>
      <c r="E186" s="54"/>
    </row>
    <row r="187" spans="4:5" x14ac:dyDescent="0.25">
      <c r="D187" s="54"/>
      <c r="E187" s="54"/>
    </row>
    <row r="188" spans="4:5" x14ac:dyDescent="0.25">
      <c r="D188" s="54"/>
      <c r="E188" s="54"/>
    </row>
    <row r="189" spans="4:5" x14ac:dyDescent="0.25">
      <c r="D189" s="54"/>
      <c r="E189" s="54"/>
    </row>
    <row r="190" spans="4:5" x14ac:dyDescent="0.25">
      <c r="D190" s="54"/>
      <c r="E190" s="54"/>
    </row>
    <row r="191" spans="4:5" x14ac:dyDescent="0.25">
      <c r="D191" s="54"/>
      <c r="E191" s="54"/>
    </row>
    <row r="192" spans="4:5" x14ac:dyDescent="0.25">
      <c r="D192" s="54"/>
      <c r="E192" s="54"/>
    </row>
    <row r="193" spans="4:5" x14ac:dyDescent="0.25">
      <c r="D193" s="54"/>
      <c r="E193" s="54"/>
    </row>
    <row r="194" spans="4:5" x14ac:dyDescent="0.25">
      <c r="D194" s="54"/>
      <c r="E194" s="54"/>
    </row>
    <row r="195" spans="4:5" x14ac:dyDescent="0.25">
      <c r="D195" s="54"/>
      <c r="E195" s="54"/>
    </row>
    <row r="196" spans="4:5" x14ac:dyDescent="0.25">
      <c r="D196" s="54"/>
      <c r="E196" s="54"/>
    </row>
    <row r="197" spans="4:5" x14ac:dyDescent="0.25">
      <c r="D197" s="54"/>
      <c r="E197" s="54"/>
    </row>
    <row r="198" spans="4:5" x14ac:dyDescent="0.25">
      <c r="D198" s="54"/>
      <c r="E198" s="54"/>
    </row>
    <row r="199" spans="4:5" x14ac:dyDescent="0.25">
      <c r="D199" s="54"/>
      <c r="E199" s="54"/>
    </row>
    <row r="200" spans="4:5" x14ac:dyDescent="0.25">
      <c r="D200" s="54"/>
      <c r="E200" s="54"/>
    </row>
    <row r="201" spans="4:5" x14ac:dyDescent="0.25">
      <c r="D201" s="54"/>
      <c r="E201" s="54"/>
    </row>
    <row r="202" spans="4:5" x14ac:dyDescent="0.25">
      <c r="D202" s="54"/>
      <c r="E202" s="54"/>
    </row>
    <row r="203" spans="4:5" x14ac:dyDescent="0.25">
      <c r="D203" s="54"/>
      <c r="E203" s="54"/>
    </row>
    <row r="204" spans="4:5" x14ac:dyDescent="0.25">
      <c r="D204" s="54"/>
      <c r="E204" s="54"/>
    </row>
    <row r="205" spans="4:5" x14ac:dyDescent="0.25">
      <c r="D205" s="54"/>
      <c r="E205" s="54"/>
    </row>
    <row r="206" spans="4:5" x14ac:dyDescent="0.25">
      <c r="D206" s="54"/>
      <c r="E206" s="54"/>
    </row>
    <row r="207" spans="4:5" x14ac:dyDescent="0.25">
      <c r="D207" s="54"/>
      <c r="E207" s="54"/>
    </row>
    <row r="208" spans="4:5" x14ac:dyDescent="0.25">
      <c r="D208" s="54"/>
      <c r="E208" s="54"/>
    </row>
    <row r="209" spans="4:5" x14ac:dyDescent="0.25">
      <c r="D209" s="54"/>
      <c r="E209" s="54"/>
    </row>
    <row r="210" spans="4:5" x14ac:dyDescent="0.25">
      <c r="D210" s="54"/>
      <c r="E210" s="54"/>
    </row>
    <row r="211" spans="4:5" x14ac:dyDescent="0.25">
      <c r="D211" s="54"/>
      <c r="E211" s="54"/>
    </row>
    <row r="212" spans="4:5" x14ac:dyDescent="0.25">
      <c r="D212" s="54"/>
      <c r="E212" s="54"/>
    </row>
    <row r="213" spans="4:5" x14ac:dyDescent="0.25">
      <c r="D213" s="54"/>
      <c r="E213" s="54"/>
    </row>
    <row r="214" spans="4:5" x14ac:dyDescent="0.25">
      <c r="D214" s="54"/>
      <c r="E214" s="54"/>
    </row>
    <row r="215" spans="4:5" x14ac:dyDescent="0.25">
      <c r="D215" s="54"/>
      <c r="E215" s="54"/>
    </row>
    <row r="216" spans="4:5" x14ac:dyDescent="0.25">
      <c r="D216" s="54"/>
      <c r="E216" s="54"/>
    </row>
    <row r="217" spans="4:5" x14ac:dyDescent="0.25">
      <c r="D217" s="54"/>
      <c r="E217" s="54"/>
    </row>
    <row r="218" spans="4:5" x14ac:dyDescent="0.25">
      <c r="D218" s="54"/>
      <c r="E218" s="54"/>
    </row>
    <row r="219" spans="4:5" x14ac:dyDescent="0.25">
      <c r="D219" s="54"/>
      <c r="E219" s="54"/>
    </row>
    <row r="220" spans="4:5" x14ac:dyDescent="0.25">
      <c r="D220" s="54"/>
      <c r="E220" s="54"/>
    </row>
    <row r="221" spans="4:5" x14ac:dyDescent="0.25">
      <c r="D221" s="54"/>
      <c r="E221" s="54"/>
    </row>
    <row r="222" spans="4:5" x14ac:dyDescent="0.25">
      <c r="D222" s="54"/>
      <c r="E222" s="54"/>
    </row>
    <row r="223" spans="4:5" x14ac:dyDescent="0.25">
      <c r="D223" s="54"/>
      <c r="E223" s="54"/>
    </row>
    <row r="224" spans="4:5" x14ac:dyDescent="0.25">
      <c r="D224" s="54"/>
      <c r="E224" s="54"/>
    </row>
    <row r="225" spans="4:5" x14ac:dyDescent="0.25">
      <c r="D225" s="54"/>
      <c r="E225" s="54"/>
    </row>
    <row r="226" spans="4:5" x14ac:dyDescent="0.25">
      <c r="D226" s="54"/>
      <c r="E226" s="54"/>
    </row>
    <row r="227" spans="4:5" x14ac:dyDescent="0.25">
      <c r="D227" s="54"/>
      <c r="E227" s="54"/>
    </row>
    <row r="228" spans="4:5" x14ac:dyDescent="0.25">
      <c r="D228" s="54"/>
      <c r="E228" s="54"/>
    </row>
    <row r="229" spans="4:5" x14ac:dyDescent="0.25">
      <c r="D229" s="54"/>
      <c r="E229" s="54"/>
    </row>
    <row r="230" spans="4:5" x14ac:dyDescent="0.25">
      <c r="D230" s="54"/>
      <c r="E230" s="54"/>
    </row>
    <row r="231" spans="4:5" x14ac:dyDescent="0.25">
      <c r="D231" s="54"/>
      <c r="E231" s="54"/>
    </row>
    <row r="232" spans="4:5" x14ac:dyDescent="0.25">
      <c r="D232" s="54"/>
      <c r="E232" s="54"/>
    </row>
    <row r="233" spans="4:5" x14ac:dyDescent="0.25">
      <c r="D233" s="54"/>
      <c r="E233" s="54"/>
    </row>
    <row r="234" spans="4:5" x14ac:dyDescent="0.25">
      <c r="D234" s="54"/>
      <c r="E234" s="54"/>
    </row>
    <row r="235" spans="4:5" x14ac:dyDescent="0.25">
      <c r="D235" s="54"/>
      <c r="E235" s="54"/>
    </row>
    <row r="236" spans="4:5" x14ac:dyDescent="0.25">
      <c r="D236" s="54"/>
      <c r="E236" s="54"/>
    </row>
    <row r="237" spans="4:5" x14ac:dyDescent="0.25">
      <c r="D237" s="54"/>
      <c r="E237" s="54"/>
    </row>
    <row r="238" spans="4:5" x14ac:dyDescent="0.25">
      <c r="D238" s="54"/>
      <c r="E238" s="54"/>
    </row>
    <row r="239" spans="4:5" x14ac:dyDescent="0.25">
      <c r="D239" s="54"/>
      <c r="E239" s="54"/>
    </row>
    <row r="240" spans="4:5" x14ac:dyDescent="0.25">
      <c r="D240" s="54"/>
      <c r="E240" s="54"/>
    </row>
    <row r="241" spans="4:5" x14ac:dyDescent="0.25">
      <c r="D241" s="54"/>
      <c r="E241" s="54"/>
    </row>
    <row r="242" spans="4:5" x14ac:dyDescent="0.25">
      <c r="D242" s="54"/>
      <c r="E242" s="54"/>
    </row>
    <row r="243" spans="4:5" x14ac:dyDescent="0.25">
      <c r="D243" s="54"/>
      <c r="E243" s="54"/>
    </row>
    <row r="244" spans="4:5" x14ac:dyDescent="0.25">
      <c r="D244" s="54"/>
      <c r="E244" s="54"/>
    </row>
    <row r="245" spans="4:5" x14ac:dyDescent="0.25">
      <c r="D245" s="54"/>
      <c r="E245" s="54"/>
    </row>
    <row r="246" spans="4:5" x14ac:dyDescent="0.25">
      <c r="D246" s="54"/>
      <c r="E246" s="54"/>
    </row>
    <row r="247" spans="4:5" x14ac:dyDescent="0.25">
      <c r="D247" s="54"/>
      <c r="E247" s="54"/>
    </row>
    <row r="248" spans="4:5" x14ac:dyDescent="0.25">
      <c r="D248" s="54"/>
      <c r="E248" s="54"/>
    </row>
    <row r="249" spans="4:5" x14ac:dyDescent="0.25">
      <c r="D249" s="54"/>
      <c r="E249" s="54"/>
    </row>
    <row r="250" spans="4:5" x14ac:dyDescent="0.25">
      <c r="D250" s="54"/>
      <c r="E250" s="54"/>
    </row>
    <row r="251" spans="4:5" x14ac:dyDescent="0.25">
      <c r="D251" s="54"/>
      <c r="E251" s="54"/>
    </row>
    <row r="252" spans="4:5" x14ac:dyDescent="0.25">
      <c r="D252" s="54"/>
      <c r="E252" s="54"/>
    </row>
    <row r="253" spans="4:5" x14ac:dyDescent="0.25">
      <c r="D253" s="54"/>
      <c r="E253" s="54"/>
    </row>
    <row r="254" spans="4:5" x14ac:dyDescent="0.25">
      <c r="D254" s="54"/>
      <c r="E254" s="54"/>
    </row>
    <row r="255" spans="4:5" x14ac:dyDescent="0.25">
      <c r="D255" s="54"/>
      <c r="E255" s="54"/>
    </row>
    <row r="256" spans="4:5" x14ac:dyDescent="0.25">
      <c r="D256" s="54"/>
      <c r="E256" s="54"/>
    </row>
    <row r="257" spans="4:5" x14ac:dyDescent="0.25">
      <c r="D257" s="54"/>
      <c r="E257" s="54"/>
    </row>
    <row r="258" spans="4:5" x14ac:dyDescent="0.25">
      <c r="D258" s="54"/>
      <c r="E258" s="54"/>
    </row>
    <row r="259" spans="4:5" x14ac:dyDescent="0.25">
      <c r="D259" s="54"/>
      <c r="E259" s="54"/>
    </row>
    <row r="260" spans="4:5" x14ac:dyDescent="0.25">
      <c r="D260" s="54"/>
      <c r="E260" s="54"/>
    </row>
    <row r="261" spans="4:5" x14ac:dyDescent="0.25">
      <c r="D261" s="54"/>
      <c r="E261" s="54"/>
    </row>
    <row r="262" spans="4:5" x14ac:dyDescent="0.25">
      <c r="D262" s="54"/>
      <c r="E262" s="54"/>
    </row>
    <row r="263" spans="4:5" x14ac:dyDescent="0.25">
      <c r="D263" s="54"/>
      <c r="E263" s="54"/>
    </row>
    <row r="264" spans="4:5" x14ac:dyDescent="0.25">
      <c r="D264" s="54"/>
      <c r="E264" s="54"/>
    </row>
    <row r="265" spans="4:5" x14ac:dyDescent="0.25">
      <c r="D265" s="54"/>
      <c r="E265" s="54"/>
    </row>
    <row r="266" spans="4:5" x14ac:dyDescent="0.25">
      <c r="D266" s="54"/>
      <c r="E266" s="54"/>
    </row>
    <row r="267" spans="4:5" x14ac:dyDescent="0.25">
      <c r="D267" s="54"/>
      <c r="E267" s="54"/>
    </row>
    <row r="268" spans="4:5" x14ac:dyDescent="0.25">
      <c r="D268" s="54"/>
      <c r="E268" s="54"/>
    </row>
    <row r="269" spans="4:5" x14ac:dyDescent="0.25">
      <c r="D269" s="54"/>
      <c r="E269" s="54"/>
    </row>
    <row r="270" spans="4:5" x14ac:dyDescent="0.25">
      <c r="D270" s="54"/>
      <c r="E270" s="54"/>
    </row>
  </sheetData>
  <mergeCells count="1">
    <mergeCell ref="B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658E-BA23-496B-9A0F-64BECE2EC65A}">
  <dimension ref="A1:J297"/>
  <sheetViews>
    <sheetView tabSelected="1" zoomScale="90" zoomScaleNormal="90" workbookViewId="0">
      <selection activeCell="F5" sqref="F5:J136"/>
    </sheetView>
  </sheetViews>
  <sheetFormatPr defaultColWidth="14.5703125" defaultRowHeight="15" x14ac:dyDescent="0.25"/>
  <cols>
    <col min="1" max="1" width="6.28515625" style="52" customWidth="1"/>
    <col min="2" max="2" width="44.5703125" customWidth="1"/>
    <col min="3" max="3" width="40.140625" style="53" customWidth="1"/>
    <col min="4" max="4" width="10.7109375" style="55" customWidth="1"/>
    <col min="5" max="5" width="9" style="55" customWidth="1"/>
    <col min="6" max="6" width="13.140625" style="53" customWidth="1"/>
    <col min="7" max="7" width="14.28515625" style="53" customWidth="1"/>
    <col min="8" max="8" width="12.85546875" style="53" customWidth="1"/>
    <col min="9" max="10" width="12.7109375" style="53" customWidth="1"/>
    <col min="11" max="20" width="8.140625" customWidth="1"/>
  </cols>
  <sheetData>
    <row r="1" spans="1:10" s="3" customFormat="1" ht="23.25" x14ac:dyDescent="0.25">
      <c r="B1" s="65" t="s">
        <v>258</v>
      </c>
      <c r="C1" s="65"/>
      <c r="D1" s="65"/>
      <c r="E1" s="65"/>
      <c r="F1" s="65"/>
      <c r="G1" s="65"/>
      <c r="H1" s="65"/>
      <c r="I1" s="65"/>
      <c r="J1" s="65"/>
    </row>
    <row r="2" spans="1:10" s="40" customFormat="1" ht="39.6" customHeight="1" thickBot="1" x14ac:dyDescent="0.3">
      <c r="A2" s="14" t="s">
        <v>35</v>
      </c>
      <c r="B2" s="14" t="s">
        <v>36</v>
      </c>
      <c r="C2" s="14" t="s">
        <v>41</v>
      </c>
      <c r="D2" s="14" t="s">
        <v>0</v>
      </c>
      <c r="E2" s="14" t="s">
        <v>1</v>
      </c>
      <c r="F2" s="15" t="s">
        <v>6</v>
      </c>
      <c r="G2" s="15" t="s">
        <v>3</v>
      </c>
      <c r="H2" s="14" t="s">
        <v>7</v>
      </c>
      <c r="I2" s="14" t="s">
        <v>8</v>
      </c>
      <c r="J2" s="14" t="s">
        <v>9</v>
      </c>
    </row>
    <row r="3" spans="1:10" ht="33.200000000000003" customHeight="1" thickBot="1" x14ac:dyDescent="0.35">
      <c r="A3" s="36"/>
      <c r="B3" s="37"/>
      <c r="C3" s="38"/>
      <c r="D3" s="38"/>
      <c r="E3" s="38"/>
      <c r="F3" s="39"/>
      <c r="G3" s="39"/>
      <c r="H3" s="39">
        <f>H4+H15+H25+H41+H51+H61+H66+H77+H80+H91+H99+H104+H122</f>
        <v>0</v>
      </c>
      <c r="I3" s="39">
        <f>I4+I15+I25+I41+I51+I61+I66+I77+I80+I91+I99+I104+I122</f>
        <v>0</v>
      </c>
      <c r="J3" s="39">
        <f>J4+J15+J25+J41+J51+J61+J66+J77+J80+J91+J99+J104+J122</f>
        <v>0</v>
      </c>
    </row>
    <row r="4" spans="1:10" ht="45" customHeight="1" thickTop="1" thickBot="1" x14ac:dyDescent="0.3">
      <c r="A4" s="41">
        <v>1</v>
      </c>
      <c r="B4" s="42" t="s">
        <v>179</v>
      </c>
      <c r="C4" s="43"/>
      <c r="D4" s="44"/>
      <c r="E4" s="44"/>
      <c r="F4" s="44"/>
      <c r="G4" s="44"/>
      <c r="H4" s="45">
        <f>SUM(H5:H14)</f>
        <v>0</v>
      </c>
      <c r="I4" s="45">
        <f t="shared" ref="I4:J4" si="0">SUM(I5:I14)</f>
        <v>0</v>
      </c>
      <c r="J4" s="45">
        <f t="shared" si="0"/>
        <v>0</v>
      </c>
    </row>
    <row r="5" spans="1:10" ht="39.75" customHeight="1" thickTop="1" x14ac:dyDescent="0.25">
      <c r="A5" s="46"/>
      <c r="B5" s="47" t="s">
        <v>237</v>
      </c>
      <c r="C5" s="56" t="s">
        <v>310</v>
      </c>
      <c r="D5" s="49" t="s">
        <v>42</v>
      </c>
      <c r="E5" s="49">
        <v>1</v>
      </c>
      <c r="F5" s="29"/>
      <c r="G5" s="29"/>
      <c r="H5" s="29"/>
      <c r="I5" s="29"/>
      <c r="J5" s="29"/>
    </row>
    <row r="6" spans="1:10" ht="39.75" customHeight="1" x14ac:dyDescent="0.25">
      <c r="A6" s="46"/>
      <c r="B6" s="47" t="s">
        <v>238</v>
      </c>
      <c r="C6" s="56" t="s">
        <v>310</v>
      </c>
      <c r="D6" s="49" t="s">
        <v>42</v>
      </c>
      <c r="E6" s="49">
        <v>1</v>
      </c>
      <c r="F6" s="29"/>
      <c r="G6" s="29"/>
      <c r="H6" s="29"/>
      <c r="I6" s="29"/>
      <c r="J6" s="29"/>
    </row>
    <row r="7" spans="1:10" ht="39.75" customHeight="1" x14ac:dyDescent="0.25">
      <c r="A7" s="46"/>
      <c r="B7" s="47" t="s">
        <v>309</v>
      </c>
      <c r="C7" s="56" t="s">
        <v>310</v>
      </c>
      <c r="D7" s="49" t="s">
        <v>42</v>
      </c>
      <c r="E7" s="49">
        <v>1</v>
      </c>
      <c r="F7" s="29"/>
      <c r="G7" s="29"/>
      <c r="H7" s="29"/>
      <c r="I7" s="29"/>
      <c r="J7" s="29"/>
    </row>
    <row r="8" spans="1:10" ht="39.75" customHeight="1" x14ac:dyDescent="0.25">
      <c r="A8" s="46"/>
      <c r="B8" s="50" t="s">
        <v>239</v>
      </c>
      <c r="C8" s="56" t="s">
        <v>310</v>
      </c>
      <c r="D8" s="49" t="s">
        <v>42</v>
      </c>
      <c r="E8" s="49">
        <v>1</v>
      </c>
      <c r="F8" s="29"/>
      <c r="G8" s="29"/>
      <c r="H8" s="29"/>
      <c r="I8" s="29"/>
      <c r="J8" s="29"/>
    </row>
    <row r="9" spans="1:10" ht="39.75" customHeight="1" x14ac:dyDescent="0.25">
      <c r="A9" s="46"/>
      <c r="B9" s="50" t="s">
        <v>240</v>
      </c>
      <c r="C9" s="56" t="s">
        <v>310</v>
      </c>
      <c r="D9" s="49" t="s">
        <v>42</v>
      </c>
      <c r="E9" s="49">
        <v>5</v>
      </c>
      <c r="F9" s="29"/>
      <c r="G9" s="29"/>
      <c r="H9" s="29"/>
      <c r="I9" s="29"/>
      <c r="J9" s="29"/>
    </row>
    <row r="10" spans="1:10" ht="39.75" customHeight="1" x14ac:dyDescent="0.25">
      <c r="A10" s="46"/>
      <c r="B10" s="50" t="s">
        <v>241</v>
      </c>
      <c r="C10" s="56" t="s">
        <v>310</v>
      </c>
      <c r="D10" s="49" t="s">
        <v>42</v>
      </c>
      <c r="E10" s="49">
        <v>6</v>
      </c>
      <c r="F10" s="29"/>
      <c r="G10" s="29"/>
      <c r="H10" s="29"/>
      <c r="I10" s="29"/>
      <c r="J10" s="29"/>
    </row>
    <row r="11" spans="1:10" ht="39.75" customHeight="1" x14ac:dyDescent="0.25">
      <c r="A11" s="46"/>
      <c r="B11" s="50" t="s">
        <v>242</v>
      </c>
      <c r="C11" s="56" t="s">
        <v>310</v>
      </c>
      <c r="D11" s="49" t="s">
        <v>42</v>
      </c>
      <c r="E11" s="49">
        <v>5</v>
      </c>
      <c r="F11" s="29"/>
      <c r="G11" s="29"/>
      <c r="H11" s="29"/>
      <c r="I11" s="29"/>
      <c r="J11" s="29"/>
    </row>
    <row r="12" spans="1:10" ht="39.75" customHeight="1" x14ac:dyDescent="0.25">
      <c r="A12" s="46"/>
      <c r="B12" s="50" t="s">
        <v>290</v>
      </c>
      <c r="C12" s="56" t="s">
        <v>310</v>
      </c>
      <c r="D12" s="49" t="s">
        <v>42</v>
      </c>
      <c r="E12" s="49">
        <v>2</v>
      </c>
      <c r="F12" s="29"/>
      <c r="G12" s="29"/>
      <c r="H12" s="29"/>
      <c r="I12" s="29"/>
      <c r="J12" s="29"/>
    </row>
    <row r="13" spans="1:10" ht="39.75" customHeight="1" x14ac:dyDescent="0.25">
      <c r="A13" s="46"/>
      <c r="B13" s="50" t="s">
        <v>291</v>
      </c>
      <c r="C13" s="56" t="s">
        <v>310</v>
      </c>
      <c r="D13" s="49" t="s">
        <v>42</v>
      </c>
      <c r="E13" s="49">
        <v>1</v>
      </c>
      <c r="F13" s="29"/>
      <c r="G13" s="29"/>
      <c r="H13" s="29"/>
      <c r="I13" s="29"/>
      <c r="J13" s="29"/>
    </row>
    <row r="14" spans="1:10" ht="39.75" customHeight="1" thickBot="1" x14ac:dyDescent="0.3">
      <c r="A14" s="46"/>
      <c r="B14" s="50" t="s">
        <v>292</v>
      </c>
      <c r="C14" s="56" t="s">
        <v>310</v>
      </c>
      <c r="D14" s="49" t="s">
        <v>42</v>
      </c>
      <c r="E14" s="49">
        <v>1</v>
      </c>
      <c r="F14" s="29"/>
      <c r="G14" s="29"/>
      <c r="H14" s="29"/>
      <c r="I14" s="29"/>
      <c r="J14" s="29"/>
    </row>
    <row r="15" spans="1:10" ht="45" customHeight="1" thickTop="1" thickBot="1" x14ac:dyDescent="0.3">
      <c r="A15" s="41">
        <v>2</v>
      </c>
      <c r="B15" s="42" t="s">
        <v>183</v>
      </c>
      <c r="C15" s="43"/>
      <c r="D15" s="44"/>
      <c r="E15" s="44"/>
      <c r="F15" s="44"/>
      <c r="G15" s="44"/>
      <c r="H15" s="45"/>
      <c r="I15" s="45"/>
      <c r="J15" s="45"/>
    </row>
    <row r="16" spans="1:10" ht="39.75" customHeight="1" thickTop="1" x14ac:dyDescent="0.25">
      <c r="A16" s="46"/>
      <c r="B16" s="47" t="s">
        <v>184</v>
      </c>
      <c r="C16" s="48" t="s">
        <v>311</v>
      </c>
      <c r="D16" s="49" t="s">
        <v>4</v>
      </c>
      <c r="E16" s="49">
        <v>7800</v>
      </c>
      <c r="F16" s="29"/>
      <c r="G16" s="29"/>
      <c r="H16" s="29"/>
      <c r="I16" s="29"/>
      <c r="J16" s="29"/>
    </row>
    <row r="17" spans="1:10" ht="39.75" customHeight="1" x14ac:dyDescent="0.25">
      <c r="A17" s="46"/>
      <c r="B17" s="47" t="s">
        <v>185</v>
      </c>
      <c r="C17" s="48" t="s">
        <v>311</v>
      </c>
      <c r="D17" s="49" t="s">
        <v>4</v>
      </c>
      <c r="E17" s="49">
        <v>10650</v>
      </c>
      <c r="F17" s="29"/>
      <c r="G17" s="29"/>
      <c r="H17" s="29"/>
      <c r="I17" s="29"/>
      <c r="J17" s="29"/>
    </row>
    <row r="18" spans="1:10" ht="39.75" customHeight="1" x14ac:dyDescent="0.25">
      <c r="A18" s="46"/>
      <c r="B18" s="47" t="s">
        <v>186</v>
      </c>
      <c r="C18" s="48" t="s">
        <v>311</v>
      </c>
      <c r="D18" s="49" t="s">
        <v>4</v>
      </c>
      <c r="E18" s="49">
        <v>260</v>
      </c>
      <c r="F18" s="29"/>
      <c r="G18" s="29"/>
      <c r="H18" s="29"/>
      <c r="I18" s="29"/>
      <c r="J18" s="29"/>
    </row>
    <row r="19" spans="1:10" ht="39.75" customHeight="1" x14ac:dyDescent="0.25">
      <c r="A19" s="46"/>
      <c r="B19" s="47" t="s">
        <v>187</v>
      </c>
      <c r="C19" s="48" t="s">
        <v>311</v>
      </c>
      <c r="D19" s="49" t="s">
        <v>4</v>
      </c>
      <c r="E19" s="49">
        <v>280</v>
      </c>
      <c r="F19" s="29"/>
      <c r="G19" s="29"/>
      <c r="H19" s="29"/>
      <c r="I19" s="29"/>
      <c r="J19" s="29"/>
    </row>
    <row r="20" spans="1:10" ht="39.75" customHeight="1" x14ac:dyDescent="0.25">
      <c r="A20" s="46"/>
      <c r="B20" s="47" t="s">
        <v>188</v>
      </c>
      <c r="C20" s="48" t="s">
        <v>311</v>
      </c>
      <c r="D20" s="49" t="s">
        <v>4</v>
      </c>
      <c r="E20" s="49">
        <v>760</v>
      </c>
      <c r="F20" s="29"/>
      <c r="G20" s="29"/>
      <c r="H20" s="29"/>
      <c r="I20" s="29"/>
      <c r="J20" s="29"/>
    </row>
    <row r="21" spans="1:10" ht="39.75" customHeight="1" x14ac:dyDescent="0.25">
      <c r="A21" s="46"/>
      <c r="B21" s="47" t="s">
        <v>297</v>
      </c>
      <c r="C21" s="48" t="s">
        <v>311</v>
      </c>
      <c r="D21" s="49" t="s">
        <v>4</v>
      </c>
      <c r="E21" s="49">
        <v>10</v>
      </c>
      <c r="F21" s="29"/>
      <c r="G21" s="29"/>
      <c r="H21" s="29"/>
      <c r="I21" s="29"/>
      <c r="J21" s="29"/>
    </row>
    <row r="22" spans="1:10" ht="39.75" customHeight="1" x14ac:dyDescent="0.25">
      <c r="A22" s="46"/>
      <c r="B22" s="47" t="s">
        <v>243</v>
      </c>
      <c r="C22" s="48" t="s">
        <v>311</v>
      </c>
      <c r="D22" s="49" t="s">
        <v>4</v>
      </c>
      <c r="E22" s="49">
        <v>500</v>
      </c>
      <c r="F22" s="29"/>
      <c r="G22" s="29"/>
      <c r="H22" s="29"/>
      <c r="I22" s="29"/>
      <c r="J22" s="29"/>
    </row>
    <row r="23" spans="1:10" ht="39.75" customHeight="1" x14ac:dyDescent="0.25">
      <c r="A23" s="46"/>
      <c r="B23" s="47" t="s">
        <v>244</v>
      </c>
      <c r="C23" s="48" t="s">
        <v>311</v>
      </c>
      <c r="D23" s="49" t="s">
        <v>4</v>
      </c>
      <c r="E23" s="49">
        <v>200</v>
      </c>
      <c r="F23" s="29"/>
      <c r="G23" s="29"/>
      <c r="H23" s="29"/>
      <c r="I23" s="29"/>
      <c r="J23" s="29"/>
    </row>
    <row r="24" spans="1:10" ht="39.75" customHeight="1" thickBot="1" x14ac:dyDescent="0.3">
      <c r="A24" s="46"/>
      <c r="B24" s="47" t="s">
        <v>298</v>
      </c>
      <c r="C24" s="48" t="s">
        <v>311</v>
      </c>
      <c r="D24" s="49" t="s">
        <v>4</v>
      </c>
      <c r="E24" s="49">
        <v>10</v>
      </c>
      <c r="F24" s="29"/>
      <c r="G24" s="29"/>
      <c r="H24" s="29"/>
      <c r="I24" s="29"/>
      <c r="J24" s="29"/>
    </row>
    <row r="25" spans="1:10" ht="45" customHeight="1" thickTop="1" thickBot="1" x14ac:dyDescent="0.3">
      <c r="A25" s="41">
        <v>3</v>
      </c>
      <c r="B25" s="42" t="s">
        <v>189</v>
      </c>
      <c r="C25" s="43"/>
      <c r="D25" s="44"/>
      <c r="E25" s="44"/>
      <c r="F25" s="44"/>
      <c r="G25" s="44"/>
      <c r="H25" s="45"/>
      <c r="I25" s="45"/>
      <c r="J25" s="45"/>
    </row>
    <row r="26" spans="1:10" ht="39.75" customHeight="1" thickTop="1" x14ac:dyDescent="0.25">
      <c r="A26" s="46"/>
      <c r="B26" s="47" t="s">
        <v>264</v>
      </c>
      <c r="C26" s="48" t="s">
        <v>312</v>
      </c>
      <c r="D26" s="49" t="s">
        <v>2</v>
      </c>
      <c r="E26" s="49">
        <v>628</v>
      </c>
      <c r="F26" s="29"/>
      <c r="G26" s="29"/>
      <c r="H26" s="29"/>
      <c r="I26" s="29"/>
      <c r="J26" s="29"/>
    </row>
    <row r="27" spans="1:10" ht="39.75" customHeight="1" x14ac:dyDescent="0.25">
      <c r="A27" s="46"/>
      <c r="B27" s="47" t="s">
        <v>265</v>
      </c>
      <c r="C27" s="48" t="s">
        <v>312</v>
      </c>
      <c r="D27" s="49" t="s">
        <v>2</v>
      </c>
      <c r="E27" s="49">
        <v>319</v>
      </c>
      <c r="F27" s="29"/>
      <c r="G27" s="29"/>
      <c r="H27" s="29"/>
      <c r="I27" s="29"/>
      <c r="J27" s="29"/>
    </row>
    <row r="28" spans="1:10" ht="39.75" customHeight="1" x14ac:dyDescent="0.25">
      <c r="A28" s="46"/>
      <c r="B28" s="47" t="s">
        <v>266</v>
      </c>
      <c r="C28" s="48" t="s">
        <v>312</v>
      </c>
      <c r="D28" s="49" t="s">
        <v>2</v>
      </c>
      <c r="E28" s="49">
        <v>24</v>
      </c>
      <c r="F28" s="29"/>
      <c r="G28" s="29"/>
      <c r="H28" s="29"/>
      <c r="I28" s="29"/>
      <c r="J28" s="29"/>
    </row>
    <row r="29" spans="1:10" ht="39.75" customHeight="1" x14ac:dyDescent="0.25">
      <c r="A29" s="46"/>
      <c r="B29" s="47" t="s">
        <v>270</v>
      </c>
      <c r="C29" s="48" t="s">
        <v>312</v>
      </c>
      <c r="D29" s="49" t="s">
        <v>2</v>
      </c>
      <c r="E29" s="49">
        <v>16</v>
      </c>
      <c r="F29" s="29"/>
      <c r="G29" s="29"/>
      <c r="H29" s="29"/>
      <c r="I29" s="29"/>
      <c r="J29" s="29"/>
    </row>
    <row r="30" spans="1:10" ht="39.75" customHeight="1" x14ac:dyDescent="0.25">
      <c r="A30" s="46"/>
      <c r="B30" s="47" t="s">
        <v>271</v>
      </c>
      <c r="C30" s="48" t="s">
        <v>312</v>
      </c>
      <c r="D30" s="49" t="s">
        <v>2</v>
      </c>
      <c r="E30" s="49">
        <v>4</v>
      </c>
      <c r="F30" s="29"/>
      <c r="G30" s="29"/>
      <c r="H30" s="29"/>
      <c r="I30" s="29"/>
      <c r="J30" s="29"/>
    </row>
    <row r="31" spans="1:10" ht="39.75" customHeight="1" x14ac:dyDescent="0.25">
      <c r="A31" s="46"/>
      <c r="B31" s="47" t="s">
        <v>190</v>
      </c>
      <c r="C31" s="48" t="s">
        <v>312</v>
      </c>
      <c r="D31" s="49" t="s">
        <v>2</v>
      </c>
      <c r="E31" s="49">
        <v>35</v>
      </c>
      <c r="F31" s="29"/>
      <c r="G31" s="29"/>
      <c r="H31" s="29"/>
      <c r="I31" s="29"/>
      <c r="J31" s="29"/>
    </row>
    <row r="32" spans="1:10" ht="39.75" customHeight="1" x14ac:dyDescent="0.25">
      <c r="A32" s="46"/>
      <c r="B32" s="47" t="s">
        <v>191</v>
      </c>
      <c r="C32" s="48" t="s">
        <v>312</v>
      </c>
      <c r="D32" s="49" t="s">
        <v>2</v>
      </c>
      <c r="E32" s="49">
        <v>29</v>
      </c>
      <c r="F32" s="29"/>
      <c r="G32" s="29"/>
      <c r="H32" s="29"/>
      <c r="I32" s="29"/>
      <c r="J32" s="29"/>
    </row>
    <row r="33" spans="1:10" ht="39.75" customHeight="1" x14ac:dyDescent="0.25">
      <c r="A33" s="46"/>
      <c r="B33" s="47" t="s">
        <v>267</v>
      </c>
      <c r="C33" s="48" t="s">
        <v>312</v>
      </c>
      <c r="D33" s="49" t="s">
        <v>2</v>
      </c>
      <c r="E33" s="49">
        <v>20</v>
      </c>
      <c r="F33" s="29"/>
      <c r="G33" s="29"/>
      <c r="H33" s="29"/>
      <c r="I33" s="29"/>
      <c r="J33" s="29"/>
    </row>
    <row r="34" spans="1:10" ht="39.75" customHeight="1" x14ac:dyDescent="0.25">
      <c r="A34" s="46"/>
      <c r="B34" s="47" t="s">
        <v>268</v>
      </c>
      <c r="C34" s="48" t="s">
        <v>312</v>
      </c>
      <c r="D34" s="49" t="s">
        <v>2</v>
      </c>
      <c r="E34" s="49">
        <v>9</v>
      </c>
      <c r="F34" s="29"/>
      <c r="G34" s="29"/>
      <c r="H34" s="29"/>
      <c r="I34" s="29"/>
      <c r="J34" s="29"/>
    </row>
    <row r="35" spans="1:10" ht="39.75" customHeight="1" x14ac:dyDescent="0.25">
      <c r="A35" s="46"/>
      <c r="B35" s="47" t="s">
        <v>192</v>
      </c>
      <c r="C35" s="48" t="s">
        <v>312</v>
      </c>
      <c r="D35" s="49" t="s">
        <v>2</v>
      </c>
      <c r="E35" s="49">
        <v>28</v>
      </c>
      <c r="F35" s="29"/>
      <c r="G35" s="29"/>
      <c r="H35" s="29"/>
      <c r="I35" s="29"/>
      <c r="J35" s="29"/>
    </row>
    <row r="36" spans="1:10" ht="39.75" customHeight="1" x14ac:dyDescent="0.25">
      <c r="A36" s="46"/>
      <c r="B36" s="47" t="s">
        <v>269</v>
      </c>
      <c r="C36" s="48" t="s">
        <v>312</v>
      </c>
      <c r="D36" s="49" t="s">
        <v>2</v>
      </c>
      <c r="E36" s="49">
        <v>10</v>
      </c>
      <c r="F36" s="29"/>
      <c r="G36" s="29"/>
      <c r="H36" s="29"/>
      <c r="I36" s="29"/>
      <c r="J36" s="29"/>
    </row>
    <row r="37" spans="1:10" ht="39.75" customHeight="1" x14ac:dyDescent="0.25">
      <c r="A37" s="46"/>
      <c r="B37" s="47" t="s">
        <v>245</v>
      </c>
      <c r="C37" s="48" t="s">
        <v>312</v>
      </c>
      <c r="D37" s="49" t="s">
        <v>2</v>
      </c>
      <c r="E37" s="49">
        <v>18</v>
      </c>
      <c r="F37" s="29"/>
      <c r="G37" s="29"/>
      <c r="H37" s="29"/>
      <c r="I37" s="29"/>
      <c r="J37" s="29"/>
    </row>
    <row r="38" spans="1:10" ht="39.75" customHeight="1" x14ac:dyDescent="0.25">
      <c r="A38" s="46"/>
      <c r="B38" s="47" t="s">
        <v>193</v>
      </c>
      <c r="C38" s="48" t="s">
        <v>312</v>
      </c>
      <c r="D38" s="49" t="s">
        <v>2</v>
      </c>
      <c r="E38" s="49">
        <v>25</v>
      </c>
      <c r="F38" s="29"/>
      <c r="G38" s="29"/>
      <c r="H38" s="29"/>
      <c r="I38" s="29"/>
      <c r="J38" s="29"/>
    </row>
    <row r="39" spans="1:10" ht="39.75" customHeight="1" x14ac:dyDescent="0.25">
      <c r="A39" s="46"/>
      <c r="B39" s="47" t="s">
        <v>194</v>
      </c>
      <c r="C39" s="48" t="s">
        <v>312</v>
      </c>
      <c r="D39" s="49" t="s">
        <v>2</v>
      </c>
      <c r="E39" s="49">
        <v>5</v>
      </c>
      <c r="F39" s="29"/>
      <c r="G39" s="29"/>
      <c r="H39" s="29"/>
      <c r="I39" s="29"/>
      <c r="J39" s="29"/>
    </row>
    <row r="40" spans="1:10" ht="39.75" customHeight="1" thickBot="1" x14ac:dyDescent="0.3">
      <c r="A40" s="46"/>
      <c r="B40" s="51" t="s">
        <v>195</v>
      </c>
      <c r="C40" s="48"/>
      <c r="D40" s="49" t="s">
        <v>2</v>
      </c>
      <c r="E40" s="49">
        <v>59</v>
      </c>
      <c r="F40" s="29"/>
      <c r="G40" s="29"/>
      <c r="H40" s="29"/>
      <c r="I40" s="29"/>
      <c r="J40" s="29"/>
    </row>
    <row r="41" spans="1:10" ht="45" customHeight="1" thickTop="1" thickBot="1" x14ac:dyDescent="0.3">
      <c r="A41" s="41">
        <v>4</v>
      </c>
      <c r="B41" s="42" t="s">
        <v>196</v>
      </c>
      <c r="C41" s="43"/>
      <c r="D41" s="44"/>
      <c r="E41" s="44"/>
      <c r="F41" s="44"/>
      <c r="G41" s="44"/>
      <c r="H41" s="45"/>
      <c r="I41" s="45"/>
      <c r="J41" s="45"/>
    </row>
    <row r="42" spans="1:10" ht="39.75" customHeight="1" thickTop="1" x14ac:dyDescent="0.25">
      <c r="A42" s="46"/>
      <c r="B42" s="47" t="s">
        <v>272</v>
      </c>
      <c r="C42" s="48" t="s">
        <v>313</v>
      </c>
      <c r="D42" s="49" t="s">
        <v>2</v>
      </c>
      <c r="E42" s="49">
        <v>231</v>
      </c>
      <c r="F42" s="29"/>
      <c r="G42" s="29"/>
      <c r="H42" s="29"/>
      <c r="I42" s="29"/>
      <c r="J42" s="29"/>
    </row>
    <row r="43" spans="1:10" ht="39.75" customHeight="1" x14ac:dyDescent="0.25">
      <c r="A43" s="46"/>
      <c r="B43" s="47" t="s">
        <v>273</v>
      </c>
      <c r="C43" s="48" t="s">
        <v>313</v>
      </c>
      <c r="D43" s="49" t="s">
        <v>2</v>
      </c>
      <c r="E43" s="49">
        <v>99</v>
      </c>
      <c r="F43" s="29"/>
      <c r="G43" s="29"/>
      <c r="H43" s="29"/>
      <c r="I43" s="29"/>
      <c r="J43" s="29"/>
    </row>
    <row r="44" spans="1:10" ht="39.75" customHeight="1" x14ac:dyDescent="0.25">
      <c r="A44" s="46"/>
      <c r="B44" s="47" t="s">
        <v>274</v>
      </c>
      <c r="C44" s="48" t="s">
        <v>313</v>
      </c>
      <c r="D44" s="49" t="s">
        <v>2</v>
      </c>
      <c r="E44" s="49">
        <v>297</v>
      </c>
      <c r="F44" s="29"/>
      <c r="G44" s="29"/>
      <c r="H44" s="29"/>
      <c r="I44" s="29"/>
      <c r="J44" s="29"/>
    </row>
    <row r="45" spans="1:10" ht="39.75" customHeight="1" x14ac:dyDescent="0.25">
      <c r="A45" s="46"/>
      <c r="B45" s="47" t="s">
        <v>198</v>
      </c>
      <c r="C45" s="48" t="s">
        <v>313</v>
      </c>
      <c r="D45" s="49" t="s">
        <v>2</v>
      </c>
      <c r="E45" s="49">
        <v>660</v>
      </c>
      <c r="F45" s="29"/>
      <c r="G45" s="29"/>
      <c r="H45" s="29"/>
      <c r="I45" s="29"/>
      <c r="J45" s="29"/>
    </row>
    <row r="46" spans="1:10" ht="39.75" customHeight="1" x14ac:dyDescent="0.25">
      <c r="A46" s="46"/>
      <c r="B46" s="47" t="s">
        <v>275</v>
      </c>
      <c r="C46" s="48" t="s">
        <v>313</v>
      </c>
      <c r="D46" s="49" t="s">
        <v>2</v>
      </c>
      <c r="E46" s="49">
        <v>132</v>
      </c>
      <c r="F46" s="29"/>
      <c r="G46" s="29"/>
      <c r="H46" s="29"/>
      <c r="I46" s="29"/>
      <c r="J46" s="29"/>
    </row>
    <row r="47" spans="1:10" ht="39.75" customHeight="1" x14ac:dyDescent="0.25">
      <c r="A47" s="46"/>
      <c r="B47" s="47" t="s">
        <v>197</v>
      </c>
      <c r="C47" s="48" t="s">
        <v>314</v>
      </c>
      <c r="D47" s="49" t="s">
        <v>2</v>
      </c>
      <c r="E47" s="49">
        <v>20</v>
      </c>
      <c r="F47" s="29"/>
      <c r="G47" s="29"/>
      <c r="H47" s="29"/>
      <c r="I47" s="29"/>
      <c r="J47" s="29"/>
    </row>
    <row r="48" spans="1:10" ht="39.75" customHeight="1" x14ac:dyDescent="0.25">
      <c r="A48" s="46"/>
      <c r="B48" s="47" t="s">
        <v>246</v>
      </c>
      <c r="C48" s="48" t="s">
        <v>315</v>
      </c>
      <c r="D48" s="49" t="s">
        <v>2</v>
      </c>
      <c r="E48" s="49">
        <v>15</v>
      </c>
      <c r="F48" s="29"/>
      <c r="G48" s="29"/>
      <c r="H48" s="29"/>
      <c r="I48" s="29"/>
      <c r="J48" s="29"/>
    </row>
    <row r="49" spans="1:10" ht="39.75" customHeight="1" x14ac:dyDescent="0.25">
      <c r="A49" s="46"/>
      <c r="B49" s="47" t="s">
        <v>308</v>
      </c>
      <c r="C49" s="48" t="s">
        <v>313</v>
      </c>
      <c r="D49" s="49" t="s">
        <v>2</v>
      </c>
      <c r="E49" s="49">
        <v>13</v>
      </c>
      <c r="F49" s="29"/>
      <c r="G49" s="29"/>
      <c r="H49" s="29"/>
      <c r="I49" s="29"/>
      <c r="J49" s="29"/>
    </row>
    <row r="50" spans="1:10" ht="39.75" customHeight="1" thickBot="1" x14ac:dyDescent="0.3">
      <c r="A50" s="46"/>
      <c r="B50" s="47" t="s">
        <v>307</v>
      </c>
      <c r="C50" s="48" t="s">
        <v>313</v>
      </c>
      <c r="D50" s="49" t="s">
        <v>2</v>
      </c>
      <c r="E50" s="49">
        <v>13</v>
      </c>
      <c r="F50" s="29"/>
      <c r="G50" s="29"/>
      <c r="H50" s="29"/>
      <c r="I50" s="29"/>
      <c r="J50" s="29"/>
    </row>
    <row r="51" spans="1:10" ht="45" customHeight="1" thickTop="1" thickBot="1" x14ac:dyDescent="0.3">
      <c r="A51" s="41">
        <v>5</v>
      </c>
      <c r="B51" s="42" t="s">
        <v>278</v>
      </c>
      <c r="C51" s="43"/>
      <c r="D51" s="44"/>
      <c r="E51" s="44"/>
      <c r="F51" s="44"/>
      <c r="G51" s="44"/>
      <c r="H51" s="45"/>
      <c r="I51" s="45"/>
      <c r="J51" s="45"/>
    </row>
    <row r="52" spans="1:10" ht="39.75" customHeight="1" thickTop="1" x14ac:dyDescent="0.25">
      <c r="A52" s="46"/>
      <c r="B52" s="47" t="s">
        <v>289</v>
      </c>
      <c r="C52" s="48" t="s">
        <v>312</v>
      </c>
      <c r="D52" s="49" t="s">
        <v>2</v>
      </c>
      <c r="E52" s="49">
        <v>42</v>
      </c>
      <c r="F52" s="29"/>
      <c r="G52" s="29"/>
      <c r="H52" s="29"/>
      <c r="I52" s="29"/>
      <c r="J52" s="29"/>
    </row>
    <row r="53" spans="1:10" ht="39.75" customHeight="1" x14ac:dyDescent="0.25">
      <c r="A53" s="46"/>
      <c r="B53" s="47" t="s">
        <v>279</v>
      </c>
      <c r="C53" s="48" t="s">
        <v>312</v>
      </c>
      <c r="D53" s="49" t="s">
        <v>2</v>
      </c>
      <c r="E53" s="49">
        <v>76</v>
      </c>
      <c r="F53" s="29"/>
      <c r="G53" s="29"/>
      <c r="H53" s="29"/>
      <c r="I53" s="29"/>
      <c r="J53" s="29"/>
    </row>
    <row r="54" spans="1:10" ht="39.75" customHeight="1" x14ac:dyDescent="0.25">
      <c r="A54" s="46"/>
      <c r="B54" s="47" t="s">
        <v>303</v>
      </c>
      <c r="C54" s="48" t="s">
        <v>312</v>
      </c>
      <c r="D54" s="49" t="s">
        <v>2</v>
      </c>
      <c r="E54" s="49">
        <v>190</v>
      </c>
      <c r="F54" s="29"/>
      <c r="G54" s="29"/>
      <c r="H54" s="29"/>
      <c r="I54" s="29"/>
      <c r="J54" s="29"/>
    </row>
    <row r="55" spans="1:10" ht="39.75" customHeight="1" x14ac:dyDescent="0.25">
      <c r="A55" s="46"/>
      <c r="B55" s="47" t="s">
        <v>280</v>
      </c>
      <c r="C55" s="48" t="s">
        <v>312</v>
      </c>
      <c r="D55" s="49" t="s">
        <v>2</v>
      </c>
      <c r="E55" s="49">
        <v>21</v>
      </c>
      <c r="F55" s="29"/>
      <c r="G55" s="29"/>
      <c r="H55" s="29"/>
      <c r="I55" s="29"/>
      <c r="J55" s="29"/>
    </row>
    <row r="56" spans="1:10" ht="39.75" customHeight="1" x14ac:dyDescent="0.25">
      <c r="A56" s="46"/>
      <c r="B56" s="47" t="s">
        <v>286</v>
      </c>
      <c r="C56" s="48" t="s">
        <v>312</v>
      </c>
      <c r="D56" s="49" t="s">
        <v>2</v>
      </c>
      <c r="E56" s="49">
        <v>21</v>
      </c>
      <c r="F56" s="29"/>
      <c r="G56" s="29"/>
      <c r="H56" s="29"/>
      <c r="I56" s="29"/>
      <c r="J56" s="29"/>
    </row>
    <row r="57" spans="1:10" ht="39.75" customHeight="1" x14ac:dyDescent="0.25">
      <c r="A57" s="46"/>
      <c r="B57" s="47" t="s">
        <v>287</v>
      </c>
      <c r="C57" s="48" t="s">
        <v>312</v>
      </c>
      <c r="D57" s="49" t="s">
        <v>2</v>
      </c>
      <c r="E57" s="49">
        <v>21</v>
      </c>
      <c r="F57" s="29"/>
      <c r="G57" s="29"/>
      <c r="H57" s="29"/>
      <c r="I57" s="29"/>
      <c r="J57" s="29"/>
    </row>
    <row r="58" spans="1:10" ht="39.75" customHeight="1" x14ac:dyDescent="0.25">
      <c r="A58" s="46"/>
      <c r="B58" s="47" t="s">
        <v>302</v>
      </c>
      <c r="C58" s="48" t="s">
        <v>312</v>
      </c>
      <c r="D58" s="49" t="s">
        <v>2</v>
      </c>
      <c r="E58" s="49">
        <v>21</v>
      </c>
      <c r="F58" s="29"/>
      <c r="G58" s="29"/>
      <c r="H58" s="29"/>
      <c r="I58" s="29"/>
      <c r="J58" s="29"/>
    </row>
    <row r="59" spans="1:10" ht="39.75" customHeight="1" x14ac:dyDescent="0.25">
      <c r="A59" s="46"/>
      <c r="B59" s="47" t="s">
        <v>232</v>
      </c>
      <c r="C59" s="48" t="s">
        <v>316</v>
      </c>
      <c r="D59" s="49" t="s">
        <v>4</v>
      </c>
      <c r="E59" s="49">
        <v>5250</v>
      </c>
      <c r="F59" s="29"/>
      <c r="G59" s="29"/>
      <c r="H59" s="29"/>
      <c r="I59" s="29"/>
      <c r="J59" s="29"/>
    </row>
    <row r="60" spans="1:10" ht="39.75" customHeight="1" thickBot="1" x14ac:dyDescent="0.3">
      <c r="A60" s="46"/>
      <c r="B60" s="47" t="s">
        <v>199</v>
      </c>
      <c r="C60" s="48" t="s">
        <v>312</v>
      </c>
      <c r="D60" s="49" t="s">
        <v>42</v>
      </c>
      <c r="E60" s="49">
        <v>1</v>
      </c>
      <c r="F60" s="29"/>
      <c r="G60" s="29"/>
      <c r="H60" s="29"/>
      <c r="I60" s="29"/>
      <c r="J60" s="29"/>
    </row>
    <row r="61" spans="1:10" ht="45" customHeight="1" thickTop="1" thickBot="1" x14ac:dyDescent="0.3">
      <c r="A61" s="41">
        <v>6</v>
      </c>
      <c r="B61" s="42" t="s">
        <v>200</v>
      </c>
      <c r="C61" s="43"/>
      <c r="D61" s="44"/>
      <c r="E61" s="44"/>
      <c r="F61" s="44"/>
      <c r="G61" s="44"/>
      <c r="H61" s="45"/>
      <c r="I61" s="45"/>
      <c r="J61" s="45"/>
    </row>
    <row r="62" spans="1:10" ht="39.75" customHeight="1" thickTop="1" x14ac:dyDescent="0.25">
      <c r="A62" s="46"/>
      <c r="B62" s="47" t="s">
        <v>201</v>
      </c>
      <c r="C62" s="48" t="s">
        <v>317</v>
      </c>
      <c r="D62" s="49" t="s">
        <v>4</v>
      </c>
      <c r="E62" s="49">
        <v>35</v>
      </c>
      <c r="F62" s="29"/>
      <c r="G62" s="29"/>
      <c r="H62" s="29"/>
      <c r="I62" s="29"/>
      <c r="J62" s="29"/>
    </row>
    <row r="63" spans="1:10" ht="36.950000000000003" customHeight="1" x14ac:dyDescent="0.25">
      <c r="A63" s="46"/>
      <c r="B63" s="50" t="s">
        <v>202</v>
      </c>
      <c r="C63" s="48" t="s">
        <v>317</v>
      </c>
      <c r="D63" s="49" t="s">
        <v>2</v>
      </c>
      <c r="E63" s="49">
        <v>1</v>
      </c>
      <c r="F63" s="29"/>
      <c r="G63" s="29"/>
      <c r="H63" s="29"/>
      <c r="I63" s="29"/>
      <c r="J63" s="29"/>
    </row>
    <row r="64" spans="1:10" ht="36.950000000000003" customHeight="1" x14ac:dyDescent="0.25">
      <c r="A64" s="46"/>
      <c r="B64" s="50" t="s">
        <v>203</v>
      </c>
      <c r="C64" s="48" t="s">
        <v>317</v>
      </c>
      <c r="D64" s="49" t="s">
        <v>4</v>
      </c>
      <c r="E64" s="49">
        <v>165</v>
      </c>
      <c r="F64" s="29"/>
      <c r="G64" s="29"/>
      <c r="H64" s="29"/>
      <c r="I64" s="29"/>
      <c r="J64" s="29"/>
    </row>
    <row r="65" spans="1:10" ht="36.950000000000003" customHeight="1" thickBot="1" x14ac:dyDescent="0.3">
      <c r="A65" s="46"/>
      <c r="B65" s="50" t="s">
        <v>204</v>
      </c>
      <c r="C65" s="48" t="s">
        <v>317</v>
      </c>
      <c r="D65" s="49" t="s">
        <v>2</v>
      </c>
      <c r="E65" s="49">
        <v>10</v>
      </c>
      <c r="F65" s="29"/>
      <c r="G65" s="29"/>
      <c r="H65" s="29"/>
      <c r="I65" s="29"/>
      <c r="J65" s="29"/>
    </row>
    <row r="66" spans="1:10" ht="45" customHeight="1" thickTop="1" thickBot="1" x14ac:dyDescent="0.3">
      <c r="A66" s="41">
        <v>7</v>
      </c>
      <c r="B66" s="42" t="s">
        <v>205</v>
      </c>
      <c r="C66" s="43"/>
      <c r="D66" s="44"/>
      <c r="E66" s="44"/>
      <c r="F66" s="44"/>
      <c r="G66" s="44"/>
      <c r="H66" s="45"/>
      <c r="I66" s="45"/>
      <c r="J66" s="45"/>
    </row>
    <row r="67" spans="1:10" ht="39.75" customHeight="1" thickTop="1" x14ac:dyDescent="0.25">
      <c r="A67" s="46"/>
      <c r="B67" s="47" t="s">
        <v>293</v>
      </c>
      <c r="C67" s="48" t="s">
        <v>318</v>
      </c>
      <c r="D67" s="49" t="s">
        <v>4</v>
      </c>
      <c r="E67" s="49">
        <v>927</v>
      </c>
      <c r="F67" s="29"/>
      <c r="G67" s="29"/>
      <c r="H67" s="29"/>
      <c r="I67" s="29"/>
      <c r="J67" s="29"/>
    </row>
    <row r="68" spans="1:10" ht="39.75" customHeight="1" x14ac:dyDescent="0.25">
      <c r="A68" s="46"/>
      <c r="B68" s="47" t="s">
        <v>294</v>
      </c>
      <c r="C68" s="48" t="s">
        <v>318</v>
      </c>
      <c r="D68" s="49" t="s">
        <v>4</v>
      </c>
      <c r="E68" s="49">
        <v>486</v>
      </c>
      <c r="F68" s="29"/>
      <c r="G68" s="29"/>
      <c r="H68" s="29"/>
      <c r="I68" s="29"/>
      <c r="J68" s="29"/>
    </row>
    <row r="69" spans="1:10" ht="39.75" customHeight="1" x14ac:dyDescent="0.25">
      <c r="A69" s="46"/>
      <c r="B69" s="47" t="s">
        <v>295</v>
      </c>
      <c r="C69" s="48" t="s">
        <v>318</v>
      </c>
      <c r="D69" s="49" t="s">
        <v>4</v>
      </c>
      <c r="E69" s="49">
        <v>180</v>
      </c>
      <c r="F69" s="29"/>
      <c r="G69" s="29"/>
      <c r="H69" s="29"/>
      <c r="I69" s="29"/>
      <c r="J69" s="29"/>
    </row>
    <row r="70" spans="1:10" ht="39.75" customHeight="1" x14ac:dyDescent="0.25">
      <c r="A70" s="46"/>
      <c r="B70" s="47" t="s">
        <v>304</v>
      </c>
      <c r="C70" s="48" t="s">
        <v>318</v>
      </c>
      <c r="D70" s="49" t="s">
        <v>4</v>
      </c>
      <c r="E70" s="49">
        <v>9</v>
      </c>
      <c r="F70" s="29"/>
      <c r="G70" s="29"/>
      <c r="H70" s="29"/>
      <c r="I70" s="29"/>
      <c r="J70" s="29"/>
    </row>
    <row r="71" spans="1:10" ht="39.75" customHeight="1" x14ac:dyDescent="0.25">
      <c r="A71" s="46"/>
      <c r="B71" s="47" t="s">
        <v>305</v>
      </c>
      <c r="C71" s="48" t="s">
        <v>318</v>
      </c>
      <c r="D71" s="49" t="s">
        <v>4</v>
      </c>
      <c r="E71" s="49">
        <v>15</v>
      </c>
      <c r="F71" s="29"/>
      <c r="G71" s="29"/>
      <c r="H71" s="29"/>
      <c r="I71" s="29"/>
      <c r="J71" s="29"/>
    </row>
    <row r="72" spans="1:10" ht="39.75" customHeight="1" x14ac:dyDescent="0.25">
      <c r="A72" s="46"/>
      <c r="B72" s="47" t="s">
        <v>300</v>
      </c>
      <c r="C72" s="48" t="s">
        <v>318</v>
      </c>
      <c r="D72" s="49" t="s">
        <v>4</v>
      </c>
      <c r="E72" s="49">
        <v>18</v>
      </c>
      <c r="F72" s="29"/>
      <c r="G72" s="29"/>
      <c r="H72" s="29"/>
      <c r="I72" s="29"/>
      <c r="J72" s="29"/>
    </row>
    <row r="73" spans="1:10" ht="39.75" customHeight="1" x14ac:dyDescent="0.25">
      <c r="A73" s="46"/>
      <c r="B73" s="47" t="s">
        <v>296</v>
      </c>
      <c r="C73" s="48" t="s">
        <v>318</v>
      </c>
      <c r="D73" s="49" t="s">
        <v>4</v>
      </c>
      <c r="E73" s="49">
        <v>27</v>
      </c>
      <c r="F73" s="29"/>
      <c r="G73" s="29"/>
      <c r="H73" s="29"/>
      <c r="I73" s="29"/>
      <c r="J73" s="29"/>
    </row>
    <row r="74" spans="1:10" ht="39.75" customHeight="1" x14ac:dyDescent="0.25">
      <c r="A74" s="46"/>
      <c r="B74" s="47" t="s">
        <v>306</v>
      </c>
      <c r="C74" s="48" t="s">
        <v>318</v>
      </c>
      <c r="D74" s="49" t="s">
        <v>4</v>
      </c>
      <c r="E74" s="49">
        <v>3</v>
      </c>
      <c r="F74" s="29"/>
      <c r="G74" s="29"/>
      <c r="H74" s="29"/>
      <c r="I74" s="29"/>
      <c r="J74" s="29"/>
    </row>
    <row r="75" spans="1:10" ht="39.75" customHeight="1" x14ac:dyDescent="0.25">
      <c r="A75" s="46"/>
      <c r="B75" s="47" t="s">
        <v>301</v>
      </c>
      <c r="C75" s="48" t="s">
        <v>318</v>
      </c>
      <c r="D75" s="49" t="s">
        <v>4</v>
      </c>
      <c r="E75" s="49">
        <v>6</v>
      </c>
      <c r="F75" s="29"/>
      <c r="G75" s="29"/>
      <c r="H75" s="29"/>
      <c r="I75" s="29"/>
      <c r="J75" s="29"/>
    </row>
    <row r="76" spans="1:10" ht="39.75" customHeight="1" thickBot="1" x14ac:dyDescent="0.3">
      <c r="A76" s="46"/>
      <c r="B76" s="47" t="s">
        <v>247</v>
      </c>
      <c r="C76" s="48" t="s">
        <v>318</v>
      </c>
      <c r="D76" s="49" t="s">
        <v>4</v>
      </c>
      <c r="E76" s="49">
        <v>15</v>
      </c>
      <c r="F76" s="29"/>
      <c r="G76" s="29"/>
      <c r="H76" s="29"/>
      <c r="I76" s="29"/>
      <c r="J76" s="29"/>
    </row>
    <row r="77" spans="1:10" ht="45" customHeight="1" thickTop="1" thickBot="1" x14ac:dyDescent="0.3">
      <c r="A77" s="41">
        <v>8</v>
      </c>
      <c r="B77" s="42" t="s">
        <v>206</v>
      </c>
      <c r="C77" s="43"/>
      <c r="D77" s="44"/>
      <c r="E77" s="44"/>
      <c r="F77" s="44"/>
      <c r="G77" s="44"/>
      <c r="H77" s="45"/>
      <c r="I77" s="45"/>
      <c r="J77" s="45"/>
    </row>
    <row r="78" spans="1:10" ht="39.75" customHeight="1" thickTop="1" x14ac:dyDescent="0.25">
      <c r="A78" s="46"/>
      <c r="B78" s="47" t="s">
        <v>207</v>
      </c>
      <c r="C78" s="48" t="s">
        <v>319</v>
      </c>
      <c r="D78" s="49" t="s">
        <v>4</v>
      </c>
      <c r="E78" s="49">
        <v>5400</v>
      </c>
      <c r="F78" s="29"/>
      <c r="G78" s="29"/>
      <c r="H78" s="29"/>
      <c r="I78" s="29"/>
      <c r="J78" s="29"/>
    </row>
    <row r="79" spans="1:10" ht="39.75" customHeight="1" thickBot="1" x14ac:dyDescent="0.3">
      <c r="A79" s="46"/>
      <c r="B79" s="47" t="s">
        <v>248</v>
      </c>
      <c r="C79" s="48" t="s">
        <v>319</v>
      </c>
      <c r="D79" s="49" t="s">
        <v>4</v>
      </c>
      <c r="E79" s="49">
        <v>450</v>
      </c>
      <c r="F79" s="29"/>
      <c r="G79" s="29"/>
      <c r="H79" s="29"/>
      <c r="I79" s="29"/>
      <c r="J79" s="29"/>
    </row>
    <row r="80" spans="1:10" ht="45" customHeight="1" thickTop="1" thickBot="1" x14ac:dyDescent="0.3">
      <c r="A80" s="41">
        <v>9</v>
      </c>
      <c r="B80" s="42" t="s">
        <v>208</v>
      </c>
      <c r="C80" s="43"/>
      <c r="D80" s="44"/>
      <c r="E80" s="44"/>
      <c r="F80" s="44"/>
      <c r="G80" s="44"/>
      <c r="H80" s="45"/>
      <c r="I80" s="45"/>
      <c r="J80" s="45"/>
    </row>
    <row r="81" spans="1:10" ht="39.75" customHeight="1" thickTop="1" x14ac:dyDescent="0.25">
      <c r="A81" s="46"/>
      <c r="B81" s="47" t="s">
        <v>209</v>
      </c>
      <c r="C81" s="48" t="s">
        <v>320</v>
      </c>
      <c r="D81" s="49" t="s">
        <v>42</v>
      </c>
      <c r="E81" s="49">
        <v>1</v>
      </c>
      <c r="F81" s="29"/>
      <c r="G81" s="29"/>
      <c r="H81" s="29"/>
      <c r="I81" s="29"/>
      <c r="J81" s="29"/>
    </row>
    <row r="82" spans="1:10" ht="39.75" customHeight="1" x14ac:dyDescent="0.25">
      <c r="A82" s="46"/>
      <c r="B82" s="47" t="s">
        <v>210</v>
      </c>
      <c r="C82" s="48" t="s">
        <v>322</v>
      </c>
      <c r="D82" s="49" t="s">
        <v>42</v>
      </c>
      <c r="E82" s="49">
        <v>1</v>
      </c>
      <c r="F82" s="29"/>
      <c r="G82" s="29"/>
      <c r="H82" s="29"/>
      <c r="I82" s="29"/>
      <c r="J82" s="29"/>
    </row>
    <row r="83" spans="1:10" ht="39.75" customHeight="1" x14ac:dyDescent="0.25">
      <c r="A83" s="46"/>
      <c r="B83" s="47" t="s">
        <v>211</v>
      </c>
      <c r="C83" s="48" t="s">
        <v>320</v>
      </c>
      <c r="D83" s="49" t="s">
        <v>2</v>
      </c>
      <c r="E83" s="49">
        <v>5</v>
      </c>
      <c r="F83" s="29"/>
      <c r="G83" s="29"/>
      <c r="H83" s="29"/>
      <c r="I83" s="29"/>
      <c r="J83" s="29"/>
    </row>
    <row r="84" spans="1:10" ht="39.75" customHeight="1" x14ac:dyDescent="0.25">
      <c r="A84" s="46"/>
      <c r="B84" s="47" t="s">
        <v>212</v>
      </c>
      <c r="C84" s="48" t="s">
        <v>313</v>
      </c>
      <c r="D84" s="49" t="s">
        <v>2</v>
      </c>
      <c r="E84" s="49">
        <v>260</v>
      </c>
      <c r="F84" s="29"/>
      <c r="G84" s="29"/>
      <c r="H84" s="29"/>
      <c r="I84" s="29"/>
      <c r="J84" s="29"/>
    </row>
    <row r="85" spans="1:10" ht="39.75" customHeight="1" x14ac:dyDescent="0.25">
      <c r="A85" s="46"/>
      <c r="B85" s="47" t="s">
        <v>249</v>
      </c>
      <c r="C85" s="48" t="s">
        <v>323</v>
      </c>
      <c r="D85" s="49" t="s">
        <v>42</v>
      </c>
      <c r="E85" s="49">
        <v>1</v>
      </c>
      <c r="F85" s="29"/>
      <c r="G85" s="29"/>
      <c r="H85" s="29"/>
      <c r="I85" s="29"/>
      <c r="J85" s="29"/>
    </row>
    <row r="86" spans="1:10" ht="39.75" customHeight="1" x14ac:dyDescent="0.25">
      <c r="A86" s="46"/>
      <c r="B86" s="47" t="s">
        <v>250</v>
      </c>
      <c r="C86" s="48" t="s">
        <v>324</v>
      </c>
      <c r="D86" s="49" t="s">
        <v>42</v>
      </c>
      <c r="E86" s="49">
        <v>1</v>
      </c>
      <c r="F86" s="29"/>
      <c r="G86" s="29"/>
      <c r="H86" s="29"/>
      <c r="I86" s="29"/>
      <c r="J86" s="29"/>
    </row>
    <row r="87" spans="1:10" ht="39.75" customHeight="1" x14ac:dyDescent="0.25">
      <c r="A87" s="46"/>
      <c r="B87" s="47" t="s">
        <v>251</v>
      </c>
      <c r="C87" s="48" t="s">
        <v>325</v>
      </c>
      <c r="D87" s="49" t="s">
        <v>2</v>
      </c>
      <c r="E87" s="49">
        <v>1</v>
      </c>
      <c r="F87" s="29"/>
      <c r="G87" s="29"/>
      <c r="H87" s="29"/>
      <c r="I87" s="29"/>
      <c r="J87" s="29"/>
    </row>
    <row r="88" spans="1:10" ht="39.75" customHeight="1" x14ac:dyDescent="0.25">
      <c r="A88" s="46"/>
      <c r="B88" s="47" t="s">
        <v>288</v>
      </c>
      <c r="C88" s="48" t="s">
        <v>313</v>
      </c>
      <c r="D88" s="49" t="s">
        <v>2</v>
      </c>
      <c r="E88" s="49">
        <v>2</v>
      </c>
      <c r="F88" s="29"/>
      <c r="G88" s="29"/>
      <c r="H88" s="29"/>
      <c r="I88" s="29"/>
      <c r="J88" s="29"/>
    </row>
    <row r="89" spans="1:10" ht="39.75" customHeight="1" x14ac:dyDescent="0.25">
      <c r="A89" s="46"/>
      <c r="B89" s="47" t="s">
        <v>213</v>
      </c>
      <c r="C89" s="48" t="s">
        <v>326</v>
      </c>
      <c r="D89" s="49" t="s">
        <v>4</v>
      </c>
      <c r="E89" s="49">
        <v>12700</v>
      </c>
      <c r="F89" s="29"/>
      <c r="G89" s="29"/>
      <c r="H89" s="29"/>
      <c r="I89" s="29"/>
      <c r="J89" s="29"/>
    </row>
    <row r="90" spans="1:10" ht="39.75" customHeight="1" thickBot="1" x14ac:dyDescent="0.3">
      <c r="A90" s="46"/>
      <c r="B90" s="47" t="s">
        <v>199</v>
      </c>
      <c r="C90" s="48" t="s">
        <v>321</v>
      </c>
      <c r="D90" s="49" t="s">
        <v>42</v>
      </c>
      <c r="E90" s="49">
        <v>1</v>
      </c>
      <c r="F90" s="29"/>
      <c r="G90" s="29"/>
      <c r="H90" s="29"/>
      <c r="I90" s="29"/>
      <c r="J90" s="29"/>
    </row>
    <row r="91" spans="1:10" ht="45" customHeight="1" thickTop="1" thickBot="1" x14ac:dyDescent="0.3">
      <c r="A91" s="41">
        <v>10</v>
      </c>
      <c r="B91" s="42" t="s">
        <v>214</v>
      </c>
      <c r="C91" s="43"/>
      <c r="D91" s="44"/>
      <c r="E91" s="44"/>
      <c r="F91" s="44"/>
      <c r="G91" s="44"/>
      <c r="H91" s="45"/>
      <c r="I91" s="45"/>
      <c r="J91" s="45"/>
    </row>
    <row r="92" spans="1:10" ht="39.6" customHeight="1" thickTop="1" x14ac:dyDescent="0.25">
      <c r="A92" s="46"/>
      <c r="B92" s="47" t="s">
        <v>209</v>
      </c>
      <c r="C92" s="48" t="s">
        <v>327</v>
      </c>
      <c r="D92" s="49" t="s">
        <v>42</v>
      </c>
      <c r="E92" s="49">
        <v>1</v>
      </c>
      <c r="F92" s="29"/>
      <c r="G92" s="29"/>
      <c r="H92" s="29"/>
      <c r="I92" s="29"/>
      <c r="J92" s="29"/>
    </row>
    <row r="93" spans="1:10" ht="39.6" customHeight="1" x14ac:dyDescent="0.25">
      <c r="A93" s="46"/>
      <c r="B93" s="47" t="s">
        <v>210</v>
      </c>
      <c r="C93" s="48" t="s">
        <v>322</v>
      </c>
      <c r="D93" s="49" t="s">
        <v>42</v>
      </c>
      <c r="E93" s="49">
        <v>1</v>
      </c>
      <c r="F93" s="29"/>
      <c r="G93" s="29"/>
      <c r="H93" s="29"/>
      <c r="I93" s="29"/>
      <c r="J93" s="29"/>
    </row>
    <row r="94" spans="1:10" ht="39.6" customHeight="1" x14ac:dyDescent="0.25">
      <c r="A94" s="46"/>
      <c r="B94" s="47" t="s">
        <v>215</v>
      </c>
      <c r="C94" s="48" t="s">
        <v>327</v>
      </c>
      <c r="D94" s="49" t="s">
        <v>42</v>
      </c>
      <c r="E94" s="49">
        <v>2</v>
      </c>
      <c r="F94" s="29"/>
      <c r="G94" s="29"/>
      <c r="H94" s="29"/>
      <c r="I94" s="29"/>
      <c r="J94" s="29"/>
    </row>
    <row r="95" spans="1:10" ht="39.6" customHeight="1" x14ac:dyDescent="0.25">
      <c r="A95" s="46"/>
      <c r="B95" s="47" t="s">
        <v>216</v>
      </c>
      <c r="C95" s="48" t="s">
        <v>327</v>
      </c>
      <c r="D95" s="49" t="s">
        <v>42</v>
      </c>
      <c r="E95" s="49">
        <v>1</v>
      </c>
      <c r="F95" s="29"/>
      <c r="G95" s="29"/>
      <c r="H95" s="29"/>
      <c r="I95" s="29"/>
      <c r="J95" s="29"/>
    </row>
    <row r="96" spans="1:10" ht="39.75" customHeight="1" x14ac:dyDescent="0.25">
      <c r="A96" s="46"/>
      <c r="B96" s="47" t="s">
        <v>217</v>
      </c>
      <c r="C96" s="48" t="s">
        <v>313</v>
      </c>
      <c r="D96" s="49" t="s">
        <v>2</v>
      </c>
      <c r="E96" s="49">
        <v>54</v>
      </c>
      <c r="F96" s="29"/>
      <c r="G96" s="29"/>
      <c r="H96" s="29"/>
      <c r="I96" s="29"/>
      <c r="J96" s="29"/>
    </row>
    <row r="97" spans="1:10" ht="39.6" customHeight="1" x14ac:dyDescent="0.25">
      <c r="A97" s="46"/>
      <c r="B97" s="47" t="s">
        <v>218</v>
      </c>
      <c r="C97" s="48" t="s">
        <v>316</v>
      </c>
      <c r="D97" s="49" t="s">
        <v>4</v>
      </c>
      <c r="E97" s="49">
        <v>3060</v>
      </c>
      <c r="F97" s="29"/>
      <c r="G97" s="29"/>
      <c r="H97" s="29"/>
      <c r="I97" s="29"/>
      <c r="J97" s="29"/>
    </row>
    <row r="98" spans="1:10" ht="39.6" customHeight="1" thickBot="1" x14ac:dyDescent="0.3">
      <c r="A98" s="46"/>
      <c r="B98" s="47" t="s">
        <v>199</v>
      </c>
      <c r="C98" s="48" t="s">
        <v>321</v>
      </c>
      <c r="D98" s="49" t="s">
        <v>42</v>
      </c>
      <c r="E98" s="49">
        <v>1</v>
      </c>
      <c r="F98" s="29"/>
      <c r="G98" s="29"/>
      <c r="H98" s="29"/>
      <c r="I98" s="29"/>
      <c r="J98" s="29"/>
    </row>
    <row r="99" spans="1:10" ht="45" customHeight="1" thickTop="1" thickBot="1" x14ac:dyDescent="0.3">
      <c r="A99" s="41">
        <v>11</v>
      </c>
      <c r="B99" s="42" t="s">
        <v>219</v>
      </c>
      <c r="C99" s="43"/>
      <c r="D99" s="44"/>
      <c r="E99" s="44"/>
      <c r="F99" s="44"/>
      <c r="G99" s="44"/>
      <c r="H99" s="45"/>
      <c r="I99" s="45"/>
      <c r="J99" s="45"/>
    </row>
    <row r="100" spans="1:10" ht="39.6" customHeight="1" thickTop="1" x14ac:dyDescent="0.25">
      <c r="A100" s="46"/>
      <c r="B100" s="47" t="s">
        <v>209</v>
      </c>
      <c r="C100" s="48" t="s">
        <v>320</v>
      </c>
      <c r="D100" s="49" t="s">
        <v>42</v>
      </c>
      <c r="E100" s="49">
        <v>1</v>
      </c>
      <c r="F100" s="29"/>
      <c r="G100" s="29"/>
      <c r="H100" s="29"/>
      <c r="I100" s="29"/>
      <c r="J100" s="29"/>
    </row>
    <row r="101" spans="1:10" ht="39.6" customHeight="1" x14ac:dyDescent="0.25">
      <c r="A101" s="46"/>
      <c r="B101" s="47" t="s">
        <v>220</v>
      </c>
      <c r="C101" s="48" t="s">
        <v>320</v>
      </c>
      <c r="D101" s="49" t="s">
        <v>2</v>
      </c>
      <c r="E101" s="49">
        <v>39</v>
      </c>
      <c r="F101" s="29"/>
      <c r="G101" s="29"/>
      <c r="H101" s="29"/>
      <c r="I101" s="29"/>
      <c r="J101" s="29"/>
    </row>
    <row r="102" spans="1:10" ht="39.6" customHeight="1" x14ac:dyDescent="0.25">
      <c r="A102" s="46"/>
      <c r="B102" s="47" t="s">
        <v>213</v>
      </c>
      <c r="C102" s="48" t="s">
        <v>326</v>
      </c>
      <c r="D102" s="49" t="s">
        <v>4</v>
      </c>
      <c r="E102" s="49">
        <v>1485</v>
      </c>
      <c r="F102" s="29"/>
      <c r="G102" s="29"/>
      <c r="H102" s="29"/>
      <c r="I102" s="29"/>
      <c r="J102" s="29"/>
    </row>
    <row r="103" spans="1:10" ht="39.6" customHeight="1" thickBot="1" x14ac:dyDescent="0.3">
      <c r="A103" s="46"/>
      <c r="B103" s="47" t="s">
        <v>199</v>
      </c>
      <c r="C103" s="48" t="s">
        <v>321</v>
      </c>
      <c r="D103" s="49" t="s">
        <v>42</v>
      </c>
      <c r="E103" s="49">
        <v>1</v>
      </c>
      <c r="F103" s="29"/>
      <c r="G103" s="29"/>
      <c r="H103" s="29"/>
      <c r="I103" s="29"/>
      <c r="J103" s="29"/>
    </row>
    <row r="104" spans="1:10" ht="45" customHeight="1" thickTop="1" thickBot="1" x14ac:dyDescent="0.3">
      <c r="A104" s="41">
        <v>12</v>
      </c>
      <c r="B104" s="42" t="s">
        <v>221</v>
      </c>
      <c r="C104" s="43"/>
      <c r="D104" s="44"/>
      <c r="E104" s="44"/>
      <c r="F104" s="44"/>
      <c r="G104" s="44"/>
      <c r="H104" s="45"/>
      <c r="I104" s="45"/>
      <c r="J104" s="45"/>
    </row>
    <row r="105" spans="1:10" ht="39.6" customHeight="1" thickTop="1" x14ac:dyDescent="0.25">
      <c r="A105" s="46"/>
      <c r="B105" s="47" t="s">
        <v>222</v>
      </c>
      <c r="C105" s="48" t="s">
        <v>328</v>
      </c>
      <c r="D105" s="49" t="s">
        <v>42</v>
      </c>
      <c r="E105" s="49">
        <v>1</v>
      </c>
      <c r="F105" s="29"/>
      <c r="G105" s="29"/>
      <c r="H105" s="29"/>
      <c r="I105" s="29"/>
      <c r="J105" s="29"/>
    </row>
    <row r="106" spans="1:10" ht="39.6" customHeight="1" x14ac:dyDescent="0.25">
      <c r="A106" s="46"/>
      <c r="B106" s="47" t="s">
        <v>223</v>
      </c>
      <c r="C106" s="48" t="s">
        <v>328</v>
      </c>
      <c r="D106" s="49" t="s">
        <v>2</v>
      </c>
      <c r="E106" s="49">
        <v>73</v>
      </c>
      <c r="F106" s="29"/>
      <c r="G106" s="29"/>
      <c r="H106" s="29"/>
      <c r="I106" s="29"/>
      <c r="J106" s="29"/>
    </row>
    <row r="107" spans="1:10" ht="39.6" customHeight="1" x14ac:dyDescent="0.25">
      <c r="A107" s="46"/>
      <c r="B107" s="47" t="s">
        <v>224</v>
      </c>
      <c r="C107" s="48" t="s">
        <v>328</v>
      </c>
      <c r="D107" s="49" t="s">
        <v>2</v>
      </c>
      <c r="E107" s="49">
        <v>50</v>
      </c>
      <c r="F107" s="29"/>
      <c r="G107" s="29"/>
      <c r="H107" s="29"/>
      <c r="I107" s="29"/>
      <c r="J107" s="29"/>
    </row>
    <row r="108" spans="1:10" ht="39.6" customHeight="1" x14ac:dyDescent="0.25">
      <c r="A108" s="46"/>
      <c r="B108" s="47" t="s">
        <v>225</v>
      </c>
      <c r="C108" s="48" t="s">
        <v>328</v>
      </c>
      <c r="D108" s="49" t="s">
        <v>2</v>
      </c>
      <c r="E108" s="49">
        <v>16</v>
      </c>
      <c r="F108" s="29"/>
      <c r="G108" s="29"/>
      <c r="H108" s="29"/>
      <c r="I108" s="29"/>
      <c r="J108" s="29"/>
    </row>
    <row r="109" spans="1:10" ht="39.6" customHeight="1" x14ac:dyDescent="0.25">
      <c r="A109" s="46"/>
      <c r="B109" s="47" t="s">
        <v>226</v>
      </c>
      <c r="C109" s="48" t="s">
        <v>328</v>
      </c>
      <c r="D109" s="49" t="s">
        <v>2</v>
      </c>
      <c r="E109" s="49">
        <v>139</v>
      </c>
      <c r="F109" s="29"/>
      <c r="G109" s="29"/>
      <c r="H109" s="29"/>
      <c r="I109" s="29"/>
      <c r="J109" s="29"/>
    </row>
    <row r="110" spans="1:10" ht="39.6" customHeight="1" x14ac:dyDescent="0.25">
      <c r="A110" s="46"/>
      <c r="B110" s="47" t="s">
        <v>227</v>
      </c>
      <c r="C110" s="48" t="s">
        <v>328</v>
      </c>
      <c r="D110" s="49" t="s">
        <v>2</v>
      </c>
      <c r="E110" s="49">
        <v>19</v>
      </c>
      <c r="F110" s="29"/>
      <c r="G110" s="29"/>
      <c r="H110" s="29"/>
      <c r="I110" s="29"/>
      <c r="J110" s="29"/>
    </row>
    <row r="111" spans="1:10" ht="39.6" customHeight="1" x14ac:dyDescent="0.25">
      <c r="A111" s="46"/>
      <c r="B111" s="50" t="s">
        <v>228</v>
      </c>
      <c r="C111" s="48" t="s">
        <v>328</v>
      </c>
      <c r="D111" s="49" t="s">
        <v>2</v>
      </c>
      <c r="E111" s="49">
        <v>36</v>
      </c>
      <c r="F111" s="29"/>
      <c r="G111" s="29"/>
      <c r="H111" s="29"/>
      <c r="I111" s="29"/>
      <c r="J111" s="29"/>
    </row>
    <row r="112" spans="1:10" ht="39.6" customHeight="1" x14ac:dyDescent="0.25">
      <c r="A112" s="46"/>
      <c r="B112" s="47" t="s">
        <v>229</v>
      </c>
      <c r="C112" s="48" t="s">
        <v>328</v>
      </c>
      <c r="D112" s="49" t="s">
        <v>2</v>
      </c>
      <c r="E112" s="49">
        <v>17</v>
      </c>
      <c r="F112" s="29"/>
      <c r="G112" s="29"/>
      <c r="H112" s="29"/>
      <c r="I112" s="29"/>
      <c r="J112" s="29"/>
    </row>
    <row r="113" spans="1:10" ht="39.6" customHeight="1" x14ac:dyDescent="0.25">
      <c r="A113" s="46"/>
      <c r="B113" s="47" t="s">
        <v>230</v>
      </c>
      <c r="C113" s="48" t="s">
        <v>328</v>
      </c>
      <c r="D113" s="49" t="s">
        <v>2</v>
      </c>
      <c r="E113" s="49">
        <v>18</v>
      </c>
      <c r="F113" s="29"/>
      <c r="G113" s="29"/>
      <c r="H113" s="29"/>
      <c r="I113" s="29"/>
      <c r="J113" s="29"/>
    </row>
    <row r="114" spans="1:10" ht="39.6" customHeight="1" x14ac:dyDescent="0.25">
      <c r="A114" s="46"/>
      <c r="B114" s="50" t="s">
        <v>231</v>
      </c>
      <c r="C114" s="48" t="s">
        <v>328</v>
      </c>
      <c r="D114" s="49" t="s">
        <v>2</v>
      </c>
      <c r="E114" s="49">
        <v>27</v>
      </c>
      <c r="F114" s="29"/>
      <c r="G114" s="29"/>
      <c r="H114" s="29"/>
      <c r="I114" s="29"/>
      <c r="J114" s="29"/>
    </row>
    <row r="115" spans="1:10" ht="39.6" customHeight="1" x14ac:dyDescent="0.25">
      <c r="A115" s="46"/>
      <c r="B115" s="50" t="s">
        <v>252</v>
      </c>
      <c r="C115" s="48" t="s">
        <v>329</v>
      </c>
      <c r="D115" s="49" t="s">
        <v>42</v>
      </c>
      <c r="E115" s="49">
        <v>1</v>
      </c>
      <c r="F115" s="29"/>
      <c r="G115" s="29"/>
      <c r="H115" s="29"/>
      <c r="I115" s="29"/>
      <c r="J115" s="29"/>
    </row>
    <row r="116" spans="1:10" ht="39.6" customHeight="1" x14ac:dyDescent="0.25">
      <c r="A116" s="46"/>
      <c r="B116" s="50" t="s">
        <v>253</v>
      </c>
      <c r="C116" s="48" t="s">
        <v>329</v>
      </c>
      <c r="D116" s="49" t="s">
        <v>2</v>
      </c>
      <c r="E116" s="49">
        <v>6</v>
      </c>
      <c r="F116" s="29"/>
      <c r="G116" s="29"/>
      <c r="H116" s="29"/>
      <c r="I116" s="29"/>
      <c r="J116" s="29"/>
    </row>
    <row r="117" spans="1:10" ht="39.6" customHeight="1" x14ac:dyDescent="0.25">
      <c r="A117" s="46"/>
      <c r="B117" s="50" t="s">
        <v>254</v>
      </c>
      <c r="C117" s="48" t="s">
        <v>328</v>
      </c>
      <c r="D117" s="49" t="s">
        <v>2</v>
      </c>
      <c r="E117" s="49">
        <v>7</v>
      </c>
      <c r="F117" s="29"/>
      <c r="G117" s="29"/>
      <c r="H117" s="29"/>
      <c r="I117" s="29"/>
      <c r="J117" s="29"/>
    </row>
    <row r="118" spans="1:10" ht="39.6" customHeight="1" x14ac:dyDescent="0.25">
      <c r="A118" s="46"/>
      <c r="B118" s="50" t="s">
        <v>255</v>
      </c>
      <c r="C118" s="48" t="s">
        <v>330</v>
      </c>
      <c r="D118" s="49" t="s">
        <v>2</v>
      </c>
      <c r="E118" s="49">
        <v>10</v>
      </c>
      <c r="F118" s="29"/>
      <c r="G118" s="29"/>
      <c r="H118" s="29"/>
      <c r="I118" s="29"/>
      <c r="J118" s="29"/>
    </row>
    <row r="119" spans="1:10" ht="39.6" customHeight="1" x14ac:dyDescent="0.25">
      <c r="A119" s="46"/>
      <c r="B119" s="47" t="s">
        <v>232</v>
      </c>
      <c r="C119" s="48" t="s">
        <v>316</v>
      </c>
      <c r="D119" s="49" t="s">
        <v>4</v>
      </c>
      <c r="E119" s="49">
        <v>2240</v>
      </c>
      <c r="F119" s="29"/>
      <c r="G119" s="29"/>
      <c r="H119" s="29"/>
      <c r="I119" s="29"/>
      <c r="J119" s="29"/>
    </row>
    <row r="120" spans="1:10" ht="39.6" customHeight="1" x14ac:dyDescent="0.25">
      <c r="A120" s="46"/>
      <c r="B120" s="50" t="s">
        <v>256</v>
      </c>
      <c r="C120" s="48" t="s">
        <v>316</v>
      </c>
      <c r="D120" s="49" t="s">
        <v>4</v>
      </c>
      <c r="E120" s="49">
        <v>605</v>
      </c>
      <c r="F120" s="29"/>
      <c r="G120" s="29"/>
      <c r="H120" s="29"/>
      <c r="I120" s="29"/>
      <c r="J120" s="29"/>
    </row>
    <row r="121" spans="1:10" ht="39.6" customHeight="1" thickBot="1" x14ac:dyDescent="0.3">
      <c r="A121" s="46"/>
      <c r="B121" s="47" t="s">
        <v>199</v>
      </c>
      <c r="C121" s="48" t="s">
        <v>316</v>
      </c>
      <c r="D121" s="49" t="s">
        <v>42</v>
      </c>
      <c r="E121" s="49">
        <v>1</v>
      </c>
      <c r="F121" s="29"/>
      <c r="G121" s="29"/>
      <c r="H121" s="29"/>
      <c r="I121" s="29"/>
      <c r="J121" s="29"/>
    </row>
    <row r="122" spans="1:10" ht="45" customHeight="1" thickTop="1" thickBot="1" x14ac:dyDescent="0.3">
      <c r="A122" s="41">
        <v>14</v>
      </c>
      <c r="B122" s="42" t="s">
        <v>234</v>
      </c>
      <c r="C122" s="43"/>
      <c r="D122" s="44"/>
      <c r="E122" s="44"/>
      <c r="F122" s="44"/>
      <c r="G122" s="44"/>
      <c r="H122" s="45"/>
      <c r="I122" s="45"/>
      <c r="J122" s="45"/>
    </row>
    <row r="123" spans="1:10" ht="39.6" customHeight="1" thickTop="1" x14ac:dyDescent="0.25">
      <c r="A123" s="46"/>
      <c r="B123" s="47" t="s">
        <v>209</v>
      </c>
      <c r="C123" s="48" t="s">
        <v>331</v>
      </c>
      <c r="D123" s="49" t="s">
        <v>42</v>
      </c>
      <c r="E123" s="49">
        <v>1</v>
      </c>
      <c r="F123" s="29"/>
      <c r="G123" s="29"/>
      <c r="H123" s="29"/>
      <c r="I123" s="29"/>
      <c r="J123" s="29"/>
    </row>
    <row r="124" spans="1:10" ht="39.6" customHeight="1" x14ac:dyDescent="0.25">
      <c r="A124" s="46"/>
      <c r="B124" s="47" t="s">
        <v>210</v>
      </c>
      <c r="C124" s="48" t="s">
        <v>322</v>
      </c>
      <c r="D124" s="49" t="s">
        <v>42</v>
      </c>
      <c r="E124" s="49">
        <v>1</v>
      </c>
      <c r="F124" s="29"/>
      <c r="G124" s="29"/>
      <c r="H124" s="29"/>
      <c r="I124" s="29"/>
      <c r="J124" s="29"/>
    </row>
    <row r="125" spans="1:10" ht="39.6" customHeight="1" x14ac:dyDescent="0.25">
      <c r="A125" s="46"/>
      <c r="B125" s="47" t="s">
        <v>284</v>
      </c>
      <c r="C125" s="48" t="s">
        <v>331</v>
      </c>
      <c r="D125" s="49" t="s">
        <v>42</v>
      </c>
      <c r="E125" s="49">
        <v>1</v>
      </c>
      <c r="F125" s="29"/>
      <c r="G125" s="29"/>
      <c r="H125" s="29"/>
      <c r="I125" s="29"/>
      <c r="J125" s="29"/>
    </row>
    <row r="126" spans="1:10" ht="39.6" customHeight="1" x14ac:dyDescent="0.25">
      <c r="A126" s="46"/>
      <c r="B126" s="47" t="s">
        <v>285</v>
      </c>
      <c r="C126" s="48" t="s">
        <v>331</v>
      </c>
      <c r="D126" s="49" t="s">
        <v>42</v>
      </c>
      <c r="E126" s="49">
        <v>1</v>
      </c>
      <c r="F126" s="29"/>
      <c r="G126" s="29"/>
      <c r="H126" s="29"/>
      <c r="I126" s="29"/>
      <c r="J126" s="29"/>
    </row>
    <row r="127" spans="1:10" ht="39.6" customHeight="1" x14ac:dyDescent="0.25">
      <c r="A127" s="46"/>
      <c r="B127" s="47" t="s">
        <v>235</v>
      </c>
      <c r="C127" s="48" t="s">
        <v>331</v>
      </c>
      <c r="D127" s="49" t="s">
        <v>2</v>
      </c>
      <c r="E127" s="49">
        <v>14</v>
      </c>
      <c r="F127" s="29"/>
      <c r="G127" s="29"/>
      <c r="H127" s="29"/>
      <c r="I127" s="29"/>
      <c r="J127" s="29"/>
    </row>
    <row r="128" spans="1:10" ht="39.6" customHeight="1" x14ac:dyDescent="0.25">
      <c r="A128" s="46"/>
      <c r="B128" s="47" t="s">
        <v>236</v>
      </c>
      <c r="C128" s="48" t="s">
        <v>331</v>
      </c>
      <c r="D128" s="49" t="s">
        <v>2</v>
      </c>
      <c r="E128" s="49">
        <v>58</v>
      </c>
      <c r="F128" s="29"/>
      <c r="G128" s="29"/>
      <c r="H128" s="29"/>
      <c r="I128" s="29"/>
      <c r="J128" s="29"/>
    </row>
    <row r="129" spans="1:10" ht="39.6" customHeight="1" x14ac:dyDescent="0.25">
      <c r="A129" s="46"/>
      <c r="B129" s="47" t="s">
        <v>283</v>
      </c>
      <c r="C129" s="48" t="s">
        <v>331</v>
      </c>
      <c r="D129" s="49" t="s">
        <v>2</v>
      </c>
      <c r="E129" s="49">
        <v>32</v>
      </c>
      <c r="F129" s="29"/>
      <c r="G129" s="29"/>
      <c r="H129" s="29"/>
      <c r="I129" s="29"/>
      <c r="J129" s="29"/>
    </row>
    <row r="130" spans="1:10" ht="39.6" customHeight="1" x14ac:dyDescent="0.25">
      <c r="A130" s="46"/>
      <c r="B130" s="50" t="s">
        <v>276</v>
      </c>
      <c r="C130" s="48" t="s">
        <v>331</v>
      </c>
      <c r="D130" s="49" t="s">
        <v>2</v>
      </c>
      <c r="E130" s="49">
        <v>18</v>
      </c>
      <c r="F130" s="29"/>
      <c r="G130" s="29"/>
      <c r="H130" s="29"/>
      <c r="I130" s="29"/>
      <c r="J130" s="29"/>
    </row>
    <row r="131" spans="1:10" ht="39.6" customHeight="1" x14ac:dyDescent="0.25">
      <c r="A131" s="46"/>
      <c r="B131" s="47" t="s">
        <v>277</v>
      </c>
      <c r="C131" s="48" t="s">
        <v>331</v>
      </c>
      <c r="D131" s="49" t="s">
        <v>2</v>
      </c>
      <c r="E131" s="49">
        <v>32</v>
      </c>
      <c r="F131" s="29"/>
      <c r="G131" s="29"/>
      <c r="H131" s="29"/>
      <c r="I131" s="29"/>
      <c r="J131" s="29"/>
    </row>
    <row r="132" spans="1:10" ht="39.6" customHeight="1" x14ac:dyDescent="0.25">
      <c r="A132" s="46"/>
      <c r="B132" s="47" t="s">
        <v>233</v>
      </c>
      <c r="C132" s="48" t="s">
        <v>316</v>
      </c>
      <c r="D132" s="49" t="s">
        <v>4</v>
      </c>
      <c r="E132" s="49">
        <v>1150</v>
      </c>
      <c r="F132" s="29"/>
      <c r="G132" s="29"/>
      <c r="H132" s="29"/>
      <c r="I132" s="29"/>
      <c r="J132" s="29"/>
    </row>
    <row r="133" spans="1:10" ht="39.6" customHeight="1" x14ac:dyDescent="0.25">
      <c r="A133" s="46"/>
      <c r="B133" s="47" t="s">
        <v>281</v>
      </c>
      <c r="C133" s="48" t="s">
        <v>316</v>
      </c>
      <c r="D133" s="49" t="s">
        <v>4</v>
      </c>
      <c r="E133" s="49">
        <v>500</v>
      </c>
      <c r="F133" s="29"/>
      <c r="G133" s="29"/>
      <c r="H133" s="29"/>
      <c r="I133" s="29"/>
      <c r="J133" s="29"/>
    </row>
    <row r="134" spans="1:10" ht="39.6" customHeight="1" x14ac:dyDescent="0.25">
      <c r="A134" s="46"/>
      <c r="B134" s="47" t="s">
        <v>213</v>
      </c>
      <c r="C134" s="48" t="s">
        <v>326</v>
      </c>
      <c r="D134" s="49" t="s">
        <v>4</v>
      </c>
      <c r="E134" s="49">
        <v>50</v>
      </c>
      <c r="F134" s="29"/>
      <c r="G134" s="29"/>
      <c r="H134" s="29"/>
      <c r="I134" s="29"/>
      <c r="J134" s="29"/>
    </row>
    <row r="135" spans="1:10" ht="39.6" customHeight="1" x14ac:dyDescent="0.25">
      <c r="A135" s="46"/>
      <c r="B135" s="47" t="s">
        <v>199</v>
      </c>
      <c r="C135" s="48" t="s">
        <v>321</v>
      </c>
      <c r="D135" s="49" t="s">
        <v>42</v>
      </c>
      <c r="E135" s="49">
        <v>1</v>
      </c>
      <c r="F135" s="29"/>
      <c r="G135" s="29"/>
      <c r="H135" s="29"/>
      <c r="I135" s="29"/>
      <c r="J135" s="29"/>
    </row>
    <row r="136" spans="1:10" x14ac:dyDescent="0.25">
      <c r="D136" s="54"/>
      <c r="E136" s="54"/>
    </row>
    <row r="137" spans="1:10" x14ac:dyDescent="0.25">
      <c r="D137" s="54"/>
      <c r="E137" s="54"/>
    </row>
    <row r="138" spans="1:10" x14ac:dyDescent="0.25">
      <c r="D138" s="54"/>
      <c r="E138" s="54"/>
    </row>
    <row r="139" spans="1:10" x14ac:dyDescent="0.25">
      <c r="D139" s="54"/>
      <c r="E139" s="54"/>
    </row>
    <row r="140" spans="1:10" x14ac:dyDescent="0.25">
      <c r="D140" s="54"/>
      <c r="E140" s="54"/>
    </row>
    <row r="141" spans="1:10" x14ac:dyDescent="0.25">
      <c r="D141" s="54"/>
      <c r="E141" s="54"/>
    </row>
    <row r="142" spans="1:10" x14ac:dyDescent="0.25">
      <c r="D142" s="54"/>
      <c r="E142" s="54"/>
    </row>
    <row r="143" spans="1:10" x14ac:dyDescent="0.25">
      <c r="D143" s="54"/>
      <c r="E143" s="54"/>
    </row>
    <row r="144" spans="1:10" x14ac:dyDescent="0.25">
      <c r="D144" s="54"/>
      <c r="E144" s="54"/>
    </row>
    <row r="145" spans="4:5" x14ac:dyDescent="0.25">
      <c r="D145" s="54"/>
      <c r="E145" s="54"/>
    </row>
    <row r="146" spans="4:5" x14ac:dyDescent="0.25">
      <c r="D146" s="54"/>
      <c r="E146" s="54"/>
    </row>
    <row r="147" spans="4:5" x14ac:dyDescent="0.25">
      <c r="D147" s="54"/>
      <c r="E147" s="54"/>
    </row>
    <row r="148" spans="4:5" x14ac:dyDescent="0.25">
      <c r="D148" s="54"/>
      <c r="E148" s="54"/>
    </row>
    <row r="149" spans="4:5" x14ac:dyDescent="0.25">
      <c r="D149" s="54"/>
      <c r="E149" s="54"/>
    </row>
    <row r="150" spans="4:5" x14ac:dyDescent="0.25">
      <c r="D150" s="54"/>
      <c r="E150" s="54"/>
    </row>
    <row r="151" spans="4:5" x14ac:dyDescent="0.25">
      <c r="D151" s="54"/>
      <c r="E151" s="54"/>
    </row>
    <row r="152" spans="4:5" x14ac:dyDescent="0.25">
      <c r="D152" s="54"/>
      <c r="E152" s="54"/>
    </row>
    <row r="153" spans="4:5" x14ac:dyDescent="0.25">
      <c r="D153" s="54"/>
      <c r="E153" s="54"/>
    </row>
    <row r="154" spans="4:5" x14ac:dyDescent="0.25">
      <c r="D154" s="54"/>
      <c r="E154" s="54"/>
    </row>
    <row r="155" spans="4:5" x14ac:dyDescent="0.25">
      <c r="D155" s="54"/>
      <c r="E155" s="54"/>
    </row>
    <row r="156" spans="4:5" x14ac:dyDescent="0.25">
      <c r="D156" s="54"/>
      <c r="E156" s="54"/>
    </row>
    <row r="157" spans="4:5" x14ac:dyDescent="0.25">
      <c r="D157" s="54"/>
      <c r="E157" s="54"/>
    </row>
    <row r="158" spans="4:5" x14ac:dyDescent="0.25">
      <c r="D158" s="54"/>
      <c r="E158" s="54"/>
    </row>
    <row r="159" spans="4:5" x14ac:dyDescent="0.25">
      <c r="D159" s="54"/>
      <c r="E159" s="54"/>
    </row>
    <row r="160" spans="4:5" x14ac:dyDescent="0.25">
      <c r="D160" s="54"/>
      <c r="E160" s="54"/>
    </row>
    <row r="161" spans="4:5" x14ac:dyDescent="0.25">
      <c r="D161" s="54"/>
      <c r="E161" s="54"/>
    </row>
    <row r="162" spans="4:5" x14ac:dyDescent="0.25">
      <c r="D162" s="54"/>
      <c r="E162" s="54"/>
    </row>
    <row r="163" spans="4:5" x14ac:dyDescent="0.25">
      <c r="D163" s="54"/>
      <c r="E163" s="54"/>
    </row>
    <row r="164" spans="4:5" x14ac:dyDescent="0.25">
      <c r="D164" s="54"/>
      <c r="E164" s="54"/>
    </row>
    <row r="165" spans="4:5" x14ac:dyDescent="0.25">
      <c r="D165" s="54"/>
      <c r="E165" s="54"/>
    </row>
    <row r="166" spans="4:5" x14ac:dyDescent="0.25">
      <c r="D166" s="54"/>
      <c r="E166" s="54"/>
    </row>
    <row r="167" spans="4:5" x14ac:dyDescent="0.25">
      <c r="D167" s="54"/>
      <c r="E167" s="54"/>
    </row>
    <row r="168" spans="4:5" x14ac:dyDescent="0.25">
      <c r="D168" s="54"/>
      <c r="E168" s="54"/>
    </row>
    <row r="169" spans="4:5" x14ac:dyDescent="0.25">
      <c r="D169" s="54"/>
      <c r="E169" s="54"/>
    </row>
    <row r="170" spans="4:5" x14ac:dyDescent="0.25">
      <c r="D170" s="54"/>
      <c r="E170" s="54"/>
    </row>
    <row r="171" spans="4:5" x14ac:dyDescent="0.25">
      <c r="D171" s="54"/>
      <c r="E171" s="54"/>
    </row>
    <row r="172" spans="4:5" x14ac:dyDescent="0.25">
      <c r="D172" s="54"/>
      <c r="E172" s="54"/>
    </row>
    <row r="173" spans="4:5" x14ac:dyDescent="0.25">
      <c r="D173" s="54"/>
      <c r="E173" s="54"/>
    </row>
    <row r="174" spans="4:5" x14ac:dyDescent="0.25">
      <c r="D174" s="54"/>
      <c r="E174" s="54"/>
    </row>
    <row r="175" spans="4:5" x14ac:dyDescent="0.25">
      <c r="D175" s="54"/>
      <c r="E175" s="54"/>
    </row>
    <row r="176" spans="4:5" x14ac:dyDescent="0.25">
      <c r="D176" s="54"/>
      <c r="E176" s="54"/>
    </row>
    <row r="177" spans="4:5" x14ac:dyDescent="0.25">
      <c r="D177" s="54"/>
      <c r="E177" s="54"/>
    </row>
    <row r="178" spans="4:5" x14ac:dyDescent="0.25">
      <c r="D178" s="54"/>
      <c r="E178" s="54"/>
    </row>
    <row r="179" spans="4:5" x14ac:dyDescent="0.25">
      <c r="D179" s="54"/>
      <c r="E179" s="54"/>
    </row>
    <row r="180" spans="4:5" x14ac:dyDescent="0.25">
      <c r="D180" s="54"/>
      <c r="E180" s="54"/>
    </row>
    <row r="181" spans="4:5" x14ac:dyDescent="0.25">
      <c r="D181" s="54"/>
      <c r="E181" s="54"/>
    </row>
    <row r="182" spans="4:5" x14ac:dyDescent="0.25">
      <c r="D182" s="54"/>
      <c r="E182" s="54"/>
    </row>
    <row r="183" spans="4:5" x14ac:dyDescent="0.25">
      <c r="D183" s="54"/>
      <c r="E183" s="54"/>
    </row>
    <row r="184" spans="4:5" x14ac:dyDescent="0.25">
      <c r="D184" s="54"/>
      <c r="E184" s="54"/>
    </row>
    <row r="185" spans="4:5" x14ac:dyDescent="0.25">
      <c r="D185" s="54"/>
      <c r="E185" s="54"/>
    </row>
    <row r="186" spans="4:5" x14ac:dyDescent="0.25">
      <c r="D186" s="54"/>
      <c r="E186" s="54"/>
    </row>
    <row r="187" spans="4:5" x14ac:dyDescent="0.25">
      <c r="D187" s="54"/>
      <c r="E187" s="54"/>
    </row>
    <row r="188" spans="4:5" x14ac:dyDescent="0.25">
      <c r="D188" s="54"/>
      <c r="E188" s="54"/>
    </row>
    <row r="189" spans="4:5" x14ac:dyDescent="0.25">
      <c r="D189" s="54"/>
      <c r="E189" s="54"/>
    </row>
    <row r="190" spans="4:5" x14ac:dyDescent="0.25">
      <c r="D190" s="54"/>
      <c r="E190" s="54"/>
    </row>
    <row r="191" spans="4:5" x14ac:dyDescent="0.25">
      <c r="D191" s="54"/>
      <c r="E191" s="54"/>
    </row>
    <row r="192" spans="4:5" x14ac:dyDescent="0.25">
      <c r="D192" s="54"/>
      <c r="E192" s="54"/>
    </row>
    <row r="193" spans="4:5" x14ac:dyDescent="0.25">
      <c r="D193" s="54"/>
      <c r="E193" s="54"/>
    </row>
    <row r="194" spans="4:5" x14ac:dyDescent="0.25">
      <c r="D194" s="54"/>
      <c r="E194" s="54"/>
    </row>
    <row r="195" spans="4:5" x14ac:dyDescent="0.25">
      <c r="D195" s="54"/>
      <c r="E195" s="54"/>
    </row>
    <row r="196" spans="4:5" x14ac:dyDescent="0.25">
      <c r="D196" s="54"/>
      <c r="E196" s="54"/>
    </row>
    <row r="197" spans="4:5" x14ac:dyDescent="0.25">
      <c r="D197" s="54"/>
      <c r="E197" s="54"/>
    </row>
    <row r="198" spans="4:5" x14ac:dyDescent="0.25">
      <c r="D198" s="54"/>
      <c r="E198" s="54"/>
    </row>
    <row r="199" spans="4:5" x14ac:dyDescent="0.25">
      <c r="D199" s="54"/>
      <c r="E199" s="54"/>
    </row>
    <row r="200" spans="4:5" x14ac:dyDescent="0.25">
      <c r="D200" s="54"/>
      <c r="E200" s="54"/>
    </row>
    <row r="201" spans="4:5" x14ac:dyDescent="0.25">
      <c r="D201" s="54"/>
      <c r="E201" s="54"/>
    </row>
    <row r="202" spans="4:5" x14ac:dyDescent="0.25">
      <c r="D202" s="54"/>
      <c r="E202" s="54"/>
    </row>
    <row r="203" spans="4:5" x14ac:dyDescent="0.25">
      <c r="D203" s="54"/>
      <c r="E203" s="54"/>
    </row>
    <row r="204" spans="4:5" x14ac:dyDescent="0.25">
      <c r="D204" s="54"/>
      <c r="E204" s="54"/>
    </row>
    <row r="205" spans="4:5" x14ac:dyDescent="0.25">
      <c r="D205" s="54"/>
      <c r="E205" s="54"/>
    </row>
    <row r="206" spans="4:5" x14ac:dyDescent="0.25">
      <c r="D206" s="54"/>
      <c r="E206" s="54"/>
    </row>
    <row r="207" spans="4:5" x14ac:dyDescent="0.25">
      <c r="D207" s="54"/>
      <c r="E207" s="54"/>
    </row>
    <row r="208" spans="4:5" x14ac:dyDescent="0.25">
      <c r="D208" s="54"/>
      <c r="E208" s="54"/>
    </row>
    <row r="209" spans="4:5" x14ac:dyDescent="0.25">
      <c r="D209" s="54"/>
      <c r="E209" s="54"/>
    </row>
    <row r="210" spans="4:5" x14ac:dyDescent="0.25">
      <c r="D210" s="54"/>
      <c r="E210" s="54"/>
    </row>
    <row r="211" spans="4:5" x14ac:dyDescent="0.25">
      <c r="D211" s="54"/>
      <c r="E211" s="54"/>
    </row>
    <row r="212" spans="4:5" x14ac:dyDescent="0.25">
      <c r="D212" s="54"/>
      <c r="E212" s="54"/>
    </row>
    <row r="213" spans="4:5" x14ac:dyDescent="0.25">
      <c r="D213" s="54"/>
      <c r="E213" s="54"/>
    </row>
    <row r="214" spans="4:5" x14ac:dyDescent="0.25">
      <c r="D214" s="54"/>
      <c r="E214" s="54"/>
    </row>
    <row r="215" spans="4:5" x14ac:dyDescent="0.25">
      <c r="D215" s="54"/>
      <c r="E215" s="54"/>
    </row>
    <row r="216" spans="4:5" x14ac:dyDescent="0.25">
      <c r="D216" s="54"/>
      <c r="E216" s="54"/>
    </row>
    <row r="217" spans="4:5" x14ac:dyDescent="0.25">
      <c r="D217" s="54"/>
      <c r="E217" s="54"/>
    </row>
    <row r="218" spans="4:5" x14ac:dyDescent="0.25">
      <c r="D218" s="54"/>
      <c r="E218" s="54"/>
    </row>
    <row r="219" spans="4:5" x14ac:dyDescent="0.25">
      <c r="D219" s="54"/>
      <c r="E219" s="54"/>
    </row>
    <row r="220" spans="4:5" x14ac:dyDescent="0.25">
      <c r="D220" s="54"/>
      <c r="E220" s="54"/>
    </row>
    <row r="221" spans="4:5" x14ac:dyDescent="0.25">
      <c r="D221" s="54"/>
      <c r="E221" s="54"/>
    </row>
    <row r="222" spans="4:5" x14ac:dyDescent="0.25">
      <c r="D222" s="54"/>
      <c r="E222" s="54"/>
    </row>
    <row r="223" spans="4:5" x14ac:dyDescent="0.25">
      <c r="D223" s="54"/>
      <c r="E223" s="54"/>
    </row>
    <row r="224" spans="4:5" x14ac:dyDescent="0.25">
      <c r="D224" s="54"/>
      <c r="E224" s="54"/>
    </row>
    <row r="225" spans="4:5" x14ac:dyDescent="0.25">
      <c r="D225" s="54"/>
      <c r="E225" s="54"/>
    </row>
    <row r="226" spans="4:5" x14ac:dyDescent="0.25">
      <c r="D226" s="54"/>
      <c r="E226" s="54"/>
    </row>
    <row r="227" spans="4:5" x14ac:dyDescent="0.25">
      <c r="D227" s="54"/>
      <c r="E227" s="54"/>
    </row>
    <row r="228" spans="4:5" x14ac:dyDescent="0.25">
      <c r="D228" s="54"/>
      <c r="E228" s="54"/>
    </row>
    <row r="229" spans="4:5" x14ac:dyDescent="0.25">
      <c r="D229" s="54"/>
      <c r="E229" s="54"/>
    </row>
    <row r="230" spans="4:5" x14ac:dyDescent="0.25">
      <c r="D230" s="54"/>
      <c r="E230" s="54"/>
    </row>
    <row r="231" spans="4:5" x14ac:dyDescent="0.25">
      <c r="D231" s="54"/>
      <c r="E231" s="54"/>
    </row>
    <row r="232" spans="4:5" x14ac:dyDescent="0.25">
      <c r="D232" s="54"/>
      <c r="E232" s="54"/>
    </row>
    <row r="233" spans="4:5" x14ac:dyDescent="0.25">
      <c r="D233" s="54"/>
      <c r="E233" s="54"/>
    </row>
    <row r="234" spans="4:5" x14ac:dyDescent="0.25">
      <c r="D234" s="54"/>
      <c r="E234" s="54"/>
    </row>
    <row r="235" spans="4:5" x14ac:dyDescent="0.25">
      <c r="D235" s="54"/>
      <c r="E235" s="54"/>
    </row>
    <row r="236" spans="4:5" x14ac:dyDescent="0.25">
      <c r="D236" s="54"/>
      <c r="E236" s="54"/>
    </row>
    <row r="237" spans="4:5" x14ac:dyDescent="0.25">
      <c r="D237" s="54"/>
      <c r="E237" s="54"/>
    </row>
    <row r="238" spans="4:5" x14ac:dyDescent="0.25">
      <c r="D238" s="54"/>
      <c r="E238" s="54"/>
    </row>
    <row r="239" spans="4:5" x14ac:dyDescent="0.25">
      <c r="D239" s="54"/>
      <c r="E239" s="54"/>
    </row>
    <row r="240" spans="4:5" x14ac:dyDescent="0.25">
      <c r="D240" s="54"/>
      <c r="E240" s="54"/>
    </row>
    <row r="241" spans="4:5" x14ac:dyDescent="0.25">
      <c r="D241" s="54"/>
      <c r="E241" s="54"/>
    </row>
    <row r="242" spans="4:5" x14ac:dyDescent="0.25">
      <c r="D242" s="54"/>
      <c r="E242" s="54"/>
    </row>
    <row r="243" spans="4:5" x14ac:dyDescent="0.25">
      <c r="D243" s="54"/>
      <c r="E243" s="54"/>
    </row>
    <row r="244" spans="4:5" x14ac:dyDescent="0.25">
      <c r="D244" s="54"/>
      <c r="E244" s="54"/>
    </row>
    <row r="245" spans="4:5" x14ac:dyDescent="0.25">
      <c r="D245" s="54"/>
      <c r="E245" s="54"/>
    </row>
    <row r="246" spans="4:5" x14ac:dyDescent="0.25">
      <c r="D246" s="54"/>
      <c r="E246" s="54"/>
    </row>
    <row r="247" spans="4:5" x14ac:dyDescent="0.25">
      <c r="D247" s="54"/>
      <c r="E247" s="54"/>
    </row>
    <row r="248" spans="4:5" x14ac:dyDescent="0.25">
      <c r="D248" s="54"/>
      <c r="E248" s="54"/>
    </row>
    <row r="249" spans="4:5" x14ac:dyDescent="0.25">
      <c r="D249" s="54"/>
      <c r="E249" s="54"/>
    </row>
    <row r="250" spans="4:5" x14ac:dyDescent="0.25">
      <c r="D250" s="54"/>
      <c r="E250" s="54"/>
    </row>
    <row r="251" spans="4:5" x14ac:dyDescent="0.25">
      <c r="D251" s="54"/>
      <c r="E251" s="54"/>
    </row>
    <row r="252" spans="4:5" x14ac:dyDescent="0.25">
      <c r="D252" s="54"/>
      <c r="E252" s="54"/>
    </row>
    <row r="253" spans="4:5" x14ac:dyDescent="0.25">
      <c r="D253" s="54"/>
      <c r="E253" s="54"/>
    </row>
    <row r="254" spans="4:5" x14ac:dyDescent="0.25">
      <c r="D254" s="54"/>
      <c r="E254" s="54"/>
    </row>
    <row r="255" spans="4:5" x14ac:dyDescent="0.25">
      <c r="D255" s="54"/>
      <c r="E255" s="54"/>
    </row>
    <row r="256" spans="4:5" x14ac:dyDescent="0.25">
      <c r="D256" s="54"/>
      <c r="E256" s="54"/>
    </row>
    <row r="257" spans="4:5" x14ac:dyDescent="0.25">
      <c r="D257" s="54"/>
      <c r="E257" s="54"/>
    </row>
    <row r="258" spans="4:5" x14ac:dyDescent="0.25">
      <c r="D258" s="54"/>
      <c r="E258" s="54"/>
    </row>
    <row r="259" spans="4:5" x14ac:dyDescent="0.25">
      <c r="D259" s="54"/>
      <c r="E259" s="54"/>
    </row>
    <row r="260" spans="4:5" x14ac:dyDescent="0.25">
      <c r="D260" s="54"/>
      <c r="E260" s="54"/>
    </row>
    <row r="261" spans="4:5" x14ac:dyDescent="0.25">
      <c r="D261" s="54"/>
      <c r="E261" s="54"/>
    </row>
    <row r="262" spans="4:5" x14ac:dyDescent="0.25">
      <c r="D262" s="54"/>
      <c r="E262" s="54"/>
    </row>
    <row r="263" spans="4:5" x14ac:dyDescent="0.25">
      <c r="D263" s="54"/>
      <c r="E263" s="54"/>
    </row>
    <row r="264" spans="4:5" x14ac:dyDescent="0.25">
      <c r="D264" s="54"/>
      <c r="E264" s="54"/>
    </row>
    <row r="265" spans="4:5" x14ac:dyDescent="0.25">
      <c r="D265" s="54"/>
      <c r="E265" s="54"/>
    </row>
    <row r="266" spans="4:5" x14ac:dyDescent="0.25">
      <c r="D266" s="54"/>
      <c r="E266" s="54"/>
    </row>
    <row r="267" spans="4:5" x14ac:dyDescent="0.25">
      <c r="D267" s="54"/>
      <c r="E267" s="54"/>
    </row>
    <row r="268" spans="4:5" x14ac:dyDescent="0.25">
      <c r="D268" s="54"/>
      <c r="E268" s="54"/>
    </row>
    <row r="269" spans="4:5" x14ac:dyDescent="0.25">
      <c r="D269" s="54"/>
      <c r="E269" s="54"/>
    </row>
    <row r="270" spans="4:5" x14ac:dyDescent="0.25">
      <c r="D270" s="54"/>
      <c r="E270" s="54"/>
    </row>
    <row r="271" spans="4:5" x14ac:dyDescent="0.25">
      <c r="D271" s="54"/>
      <c r="E271" s="54"/>
    </row>
    <row r="272" spans="4:5" x14ac:dyDescent="0.25">
      <c r="D272" s="54"/>
      <c r="E272" s="54"/>
    </row>
    <row r="273" spans="4:5" x14ac:dyDescent="0.25">
      <c r="D273" s="54"/>
      <c r="E273" s="54"/>
    </row>
    <row r="274" spans="4:5" x14ac:dyDescent="0.25">
      <c r="D274" s="54"/>
      <c r="E274" s="54"/>
    </row>
    <row r="275" spans="4:5" x14ac:dyDescent="0.25">
      <c r="D275" s="54"/>
      <c r="E275" s="54"/>
    </row>
    <row r="276" spans="4:5" x14ac:dyDescent="0.25">
      <c r="D276" s="54"/>
      <c r="E276" s="54"/>
    </row>
    <row r="277" spans="4:5" x14ac:dyDescent="0.25">
      <c r="D277" s="54"/>
      <c r="E277" s="54"/>
    </row>
    <row r="278" spans="4:5" x14ac:dyDescent="0.25">
      <c r="D278" s="54"/>
      <c r="E278" s="54"/>
    </row>
    <row r="279" spans="4:5" x14ac:dyDescent="0.25">
      <c r="D279" s="54"/>
      <c r="E279" s="54"/>
    </row>
    <row r="280" spans="4:5" x14ac:dyDescent="0.25">
      <c r="D280" s="54"/>
      <c r="E280" s="54"/>
    </row>
    <row r="281" spans="4:5" x14ac:dyDescent="0.25">
      <c r="D281" s="54"/>
      <c r="E281" s="54"/>
    </row>
    <row r="282" spans="4:5" x14ac:dyDescent="0.25">
      <c r="D282" s="54"/>
      <c r="E282" s="54"/>
    </row>
    <row r="283" spans="4:5" x14ac:dyDescent="0.25">
      <c r="D283" s="54"/>
      <c r="E283" s="54"/>
    </row>
    <row r="284" spans="4:5" x14ac:dyDescent="0.25">
      <c r="D284" s="54"/>
      <c r="E284" s="54"/>
    </row>
    <row r="285" spans="4:5" x14ac:dyDescent="0.25">
      <c r="D285" s="54"/>
      <c r="E285" s="54"/>
    </row>
    <row r="286" spans="4:5" x14ac:dyDescent="0.25">
      <c r="D286" s="54"/>
      <c r="E286" s="54"/>
    </row>
    <row r="287" spans="4:5" x14ac:dyDescent="0.25">
      <c r="D287" s="54"/>
      <c r="E287" s="54"/>
    </row>
    <row r="288" spans="4:5" x14ac:dyDescent="0.25">
      <c r="D288" s="54"/>
      <c r="E288" s="54"/>
    </row>
    <row r="289" spans="4:5" x14ac:dyDescent="0.25">
      <c r="D289" s="54"/>
      <c r="E289" s="54"/>
    </row>
    <row r="290" spans="4:5" x14ac:dyDescent="0.25">
      <c r="D290" s="54"/>
      <c r="E290" s="54"/>
    </row>
    <row r="291" spans="4:5" x14ac:dyDescent="0.25">
      <c r="D291" s="54"/>
      <c r="E291" s="54"/>
    </row>
    <row r="292" spans="4:5" x14ac:dyDescent="0.25">
      <c r="D292" s="54"/>
      <c r="E292" s="54"/>
    </row>
    <row r="293" spans="4:5" x14ac:dyDescent="0.25">
      <c r="D293" s="54"/>
      <c r="E293" s="54"/>
    </row>
    <row r="294" spans="4:5" x14ac:dyDescent="0.25">
      <c r="D294" s="54"/>
      <c r="E294" s="54"/>
    </row>
    <row r="295" spans="4:5" x14ac:dyDescent="0.25">
      <c r="D295" s="54"/>
      <c r="E295" s="54"/>
    </row>
    <row r="296" spans="4:5" x14ac:dyDescent="0.25">
      <c r="D296" s="54"/>
      <c r="E296" s="54"/>
    </row>
    <row r="297" spans="4:5" x14ac:dyDescent="0.25">
      <c r="D297" s="54"/>
      <c r="E297" s="54"/>
    </row>
  </sheetData>
  <mergeCells count="1">
    <mergeCell ref="B1:J1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keşif</vt:lpstr>
      <vt:lpstr>mekanik G BLOK</vt:lpstr>
      <vt:lpstr>mekanik F BLOK</vt:lpstr>
      <vt:lpstr>elektrik G BLOK</vt:lpstr>
      <vt:lpstr>elektrik F BLOK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Halil Akman</dc:creator>
  <cp:lastModifiedBy>akilliphone Berkant</cp:lastModifiedBy>
  <cp:lastPrinted>2025-03-16T15:08:30Z</cp:lastPrinted>
  <dcterms:created xsi:type="dcterms:W3CDTF">2024-12-26T09:31:34Z</dcterms:created>
  <dcterms:modified xsi:type="dcterms:W3CDTF">2026-07-21T18:43:33Z</dcterms:modified>
</cp:coreProperties>
</file>