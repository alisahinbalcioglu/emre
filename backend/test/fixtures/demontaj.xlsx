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basar\Desktop\TEKLİF VERİLEN PROJELER\TAMEK\"/>
    </mc:Choice>
  </mc:AlternateContent>
  <xr:revisionPtr revIDLastSave="0" documentId="13_ncr:1_{C8FB2B6F-8D60-4F82-9855-7470DDC6C1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J43" i="1"/>
  <c r="J42" i="1"/>
  <c r="K42" i="1" s="1"/>
  <c r="J41" i="1"/>
  <c r="K41" i="1" s="1"/>
  <c r="J40" i="1"/>
  <c r="K40" i="1" s="1"/>
  <c r="J39" i="1"/>
  <c r="K39" i="1" s="1"/>
  <c r="J38" i="1"/>
  <c r="K38" i="1" s="1"/>
  <c r="J37" i="1"/>
  <c r="K37" i="1" s="1"/>
  <c r="J36" i="1"/>
  <c r="K36" i="1" s="1"/>
  <c r="J35" i="1"/>
  <c r="K35" i="1" s="1"/>
  <c r="J34" i="1"/>
  <c r="K34" i="1" s="1"/>
  <c r="J33" i="1"/>
  <c r="K33" i="1" s="1"/>
  <c r="J32" i="1"/>
  <c r="K32" i="1" s="1"/>
  <c r="J31" i="1"/>
  <c r="K31" i="1" s="1"/>
  <c r="J30" i="1"/>
  <c r="K30" i="1" s="1"/>
  <c r="J29" i="1"/>
  <c r="K29" i="1" s="1"/>
  <c r="J28" i="1"/>
  <c r="K28" i="1" s="1"/>
  <c r="J27" i="1"/>
  <c r="K27" i="1" s="1"/>
  <c r="J26" i="1"/>
  <c r="K26" i="1" s="1"/>
  <c r="J25" i="1"/>
  <c r="K25" i="1" s="1"/>
  <c r="J24" i="1"/>
  <c r="K24" i="1" s="1"/>
  <c r="J23" i="1"/>
  <c r="K23" i="1" s="1"/>
  <c r="J22" i="1"/>
  <c r="K22" i="1" s="1"/>
  <c r="J21" i="1"/>
  <c r="K21" i="1" s="1"/>
  <c r="J20" i="1"/>
  <c r="K20" i="1" s="1"/>
  <c r="J19" i="1"/>
  <c r="K19" i="1" s="1"/>
  <c r="J18" i="1"/>
  <c r="K18" i="1" s="1"/>
  <c r="J17" i="1"/>
  <c r="K17" i="1" s="1"/>
  <c r="J16" i="1"/>
  <c r="K16" i="1" s="1"/>
  <c r="J15" i="1"/>
  <c r="K15" i="1" s="1"/>
  <c r="J14" i="1"/>
  <c r="K14" i="1" s="1"/>
  <c r="K13" i="1"/>
  <c r="J13" i="1"/>
  <c r="J12" i="1"/>
  <c r="K12" i="1" s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K5" i="1"/>
  <c r="J5" i="1"/>
  <c r="J4" i="1"/>
  <c r="K4" i="1" s="1"/>
  <c r="J3" i="1"/>
  <c r="K3" i="1" s="1"/>
  <c r="J2" i="1"/>
  <c r="K2" i="1" s="1"/>
  <c r="K1" i="1" l="1"/>
</calcChain>
</file>

<file path=xl/sharedStrings.xml><?xml version="1.0" encoding="utf-8"?>
<sst xmlns="http://schemas.openxmlformats.org/spreadsheetml/2006/main" count="130" uniqueCount="90">
  <si>
    <t>A2</t>
  </si>
  <si>
    <t>MEKANİK DEMONTAJ İŞLERİ</t>
  </si>
  <si>
    <t>D_ÖBF.38</t>
  </si>
  <si>
    <t>Polyester Su Deposu (10 m³)</t>
  </si>
  <si>
    <t>Adet</t>
  </si>
  <si>
    <t>D_ÖBF.39</t>
  </si>
  <si>
    <t>Polyester Su Deposu (15 m³)</t>
  </si>
  <si>
    <t>D_ÖBF.40</t>
  </si>
  <si>
    <t xml:space="preserve">Hidrofor,
2x6 m³/h (12m3) -  Hm = 60 / 75 mSS, 2 Asıl 1 Yedek, 300 Lt. genleşme tankı ile birlikte </t>
  </si>
  <si>
    <t>Set</t>
  </si>
  <si>
    <t>D_ÖBF.41</t>
  </si>
  <si>
    <t>Emniyet Ventili,
1" 10 Bar Tam kalkışlı  emniyet ventili</t>
  </si>
  <si>
    <t>D_ÖBF.42</t>
  </si>
  <si>
    <t xml:space="preserve">Elektrikli Boyler 1.500 Lt. </t>
  </si>
  <si>
    <t>D_ÖBF.43</t>
  </si>
  <si>
    <t xml:space="preserve">Boyler Re-Sirkilasyon  Pompası  1,0 m³/h -1 mSS       </t>
  </si>
  <si>
    <t>D_ÖBF.44</t>
  </si>
  <si>
    <t>Tezgah Altı Termosifon</t>
  </si>
  <si>
    <t>D_ÖBF.45</t>
  </si>
  <si>
    <t>Klor Dozaj Sistemi Tank : 100 Lt., Kapasite : 10Lt/h</t>
  </si>
  <si>
    <t>D_ÖBF.46</t>
  </si>
  <si>
    <t>OTOMATIK KUM FILTRESI 10 m3/saat</t>
  </si>
  <si>
    <t>D_ÖBF.47</t>
  </si>
  <si>
    <t>OTOMATIK AKTIF KARBON FILTRESI 10 m3/saat</t>
  </si>
  <si>
    <t>D_ÖBF.48</t>
  </si>
  <si>
    <t>Soğuk Su Sebili
48 lt. soğuk su, 1000 lt/gün kapasiteli, 
5 Mikron Spun, GAC Karbon kartuş, Blok karbon kartuş, inline coconut filtreleri olan</t>
  </si>
  <si>
    <t>D_ÖBF.49</t>
  </si>
  <si>
    <t>Manometre-Termometre</t>
  </si>
  <si>
    <t>D_ÖBF.50</t>
  </si>
  <si>
    <t>12 Kg’lık Arabalı Kuru Kimyevi Tozlu Yangın Söndürme Cihazı</t>
  </si>
  <si>
    <t>D_ÖBF.51</t>
  </si>
  <si>
    <t>Yangın Dolabı ve Tüpü</t>
  </si>
  <si>
    <t>D_ÖBF.52</t>
  </si>
  <si>
    <t xml:space="preserve">Elektrikli Yangın Pompası (2+1) , Panosu ve Vana grubu </t>
  </si>
  <si>
    <t>D_ÖBF.53</t>
  </si>
  <si>
    <t>Ayaklı Lavabo sifon ve mini musluk grubu</t>
  </si>
  <si>
    <t>D_ÖBF.54</t>
  </si>
  <si>
    <t xml:space="preserve">Buzdolabı </t>
  </si>
  <si>
    <t>D_ÖBF.55</t>
  </si>
  <si>
    <t>Çamaşır Makinesi</t>
  </si>
  <si>
    <t>D_ÖBF.56</t>
  </si>
  <si>
    <t>Kurutma Makinesi</t>
  </si>
  <si>
    <t>D_ÖBF.57</t>
  </si>
  <si>
    <t>Yumuşatma Tankları ve Vana grubu</t>
  </si>
  <si>
    <t>D_ÖBF.58</t>
  </si>
  <si>
    <t>Su deposu tesisatlarının demonte edilip vana gruplarının teslim edilmesi</t>
  </si>
  <si>
    <t>D_ÖBF.59</t>
  </si>
  <si>
    <t>Tesisat demontesi sonrası sistemin mevcut hatta yeniden entegre edilmesi, gerekli noktaların körlenmesi</t>
  </si>
  <si>
    <t>D_ÖBF.60</t>
  </si>
  <si>
    <t>32 adet işçi koğuşundaki klima dış ünitesi ve bağlantıların demontajı (12000 BTU) (Gree Yetkili Servisi tarafından demonte ve monte edilmelidir)</t>
  </si>
  <si>
    <t>D_ÖBF.61</t>
  </si>
  <si>
    <t>1 adet Yemekhane klima dış ünitesi ve bağlantıların demontajı (24000 BTU) (Gree Yetkili Servisi tarafından demonte ve monte edilmelidir)</t>
  </si>
  <si>
    <t>D_ÖBF.62</t>
  </si>
  <si>
    <t>2 adet Yemekhane Salon Tipi klima dış ünitesi ve bağlantıların demontajı (48000 BTU) (Gree Yetkili Servisi tarafından demonte ve monte edilmelidir)</t>
  </si>
  <si>
    <t>D_ÖBF.63</t>
  </si>
  <si>
    <t>1 adet Ofisler klima dış ünitesi ve bağlantıların demontajı (9000 BTU) (Gree Yetkili Servisi tarafından demonte ve monte edilmelidir)</t>
  </si>
  <si>
    <t>D_ÖBF.64</t>
  </si>
  <si>
    <t>2 adet Ofisler klima dış ünitesi ve bağlantıların demontajı (18000 BTU) (Gree Yetkili Servisi tarafından demonte ve monte edilmelidir)</t>
  </si>
  <si>
    <t>D_ÖBF.65</t>
  </si>
  <si>
    <t>15 adet Ofisler klima dış ünitesi ve bağlantıların demontajı (12000 BTU) (Gree Yetkili Servisi tarafından demonte ve monte edilmelidir)</t>
  </si>
  <si>
    <t>D_ÖBF.66</t>
  </si>
  <si>
    <t>1 adet Saha konteynırı klima iç ve dış ünitesi ve bağlantıların demontajı (12000 BTU) (Gree Yetkili Servisi tarafından demonte ve monte edilmelidir)</t>
  </si>
  <si>
    <t>D_ÖBF.67</t>
  </si>
  <si>
    <t>2 adet Saha konteynırı klima iç ve dış ünitesi ve bağlantıların demontajı (9000 BTU) (Gree Yetkili Servisi tarafından demonte ve monte edilmelidir)</t>
  </si>
  <si>
    <t>D_ÖBF.68</t>
  </si>
  <si>
    <t>2'' Küresel Vana</t>
  </si>
  <si>
    <t>D_ÖBF.69</t>
  </si>
  <si>
    <t>2'' Çekvana</t>
  </si>
  <si>
    <t>D_ÖBF.70</t>
  </si>
  <si>
    <t>2'' Pislik Tutucu</t>
  </si>
  <si>
    <t>D_ÖBF.71</t>
  </si>
  <si>
    <t>3/4'' Küresel Vana</t>
  </si>
  <si>
    <t>D_ÖBF.72</t>
  </si>
  <si>
    <t>11/2'' Küresel Vana</t>
  </si>
  <si>
    <t>D_ÖBF.73</t>
  </si>
  <si>
    <t>11/2'' Çekvana</t>
  </si>
  <si>
    <t>D_ÖBF.74</t>
  </si>
  <si>
    <t>11/2'' Pislik Tutucu</t>
  </si>
  <si>
    <t>D_ÖBF.75</t>
  </si>
  <si>
    <t>11/4'' Küresel Vana</t>
  </si>
  <si>
    <t>D_ÖBF.76</t>
  </si>
  <si>
    <t>1'' Küresel Vana</t>
  </si>
  <si>
    <t>D_ÖBF.77</t>
  </si>
  <si>
    <t>1'' Çekvana</t>
  </si>
  <si>
    <t>D_ÖBF.78</t>
  </si>
  <si>
    <t>1'' Pislik Tutucu</t>
  </si>
  <si>
    <t>D_ÖBF.79</t>
  </si>
  <si>
    <t xml:space="preserve">11/2'' Elektrikli Flatör </t>
  </si>
  <si>
    <t>NOT:</t>
  </si>
  <si>
    <t>TUTAR CİHAZLARIN SADECE DEMONTAJI İÇİN VERİLMİŞTİR. MALZEMELER TAŞINMASI (SU DEPOSU, BOYLER , POMPA ,BUZ DOLABI VS . ) VİNÇ VE NAKLİYE TUTARA DAHİL DEĞİLDİR.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</si>
</sst>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b/>
      <sz val="12"/>
      <color theme="1"/>
      <name val="Arial Narrow"/>
      <charset val="134"/>
    </font>
    <font>
      <sz val="12"/>
      <color theme="1"/>
      <name val="Arial Narrow"/>
      <charset val="134"/>
    </font>
    <font>
      <sz val="12"/>
      <name val="Arial Narrow"/>
      <charset val="134"/>
    </font>
    <font>
      <sz val="11"/>
      <color theme="1"/>
      <name val="Calibri"/>
      <charset val="162"/>
      <scheme val="minor"/>
    </font>
    <font>
      <sz val="10"/>
      <name val="Arial"/>
      <charset val="134"/>
    </font>
    <font>
      <b/>
      <sz val="11"/>
      <color theme="1"/>
      <name val="Calibri"/>
      <family val="2"/>
      <charset val="162"/>
      <scheme val="minor"/>
    </font>
    <font>
      <b/>
      <sz val="12"/>
      <name val="Arial Narrow"/>
      <family val="2"/>
      <charset val="162"/>
    </font>
    <font>
      <sz val="12"/>
      <name val="Arial Narrow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>
      <alignment vertical="center"/>
    </xf>
    <xf numFmtId="0" fontId="4" fillId="0" borderId="0"/>
    <xf numFmtId="0" fontId="5" fillId="0" borderId="0"/>
  </cellStyleXfs>
  <cellXfs count="20">
    <xf numFmtId="0" fontId="0" fillId="0" borderId="0" xfId="0">
      <alignment vertical="center"/>
    </xf>
    <xf numFmtId="0" fontId="1" fillId="2" borderId="1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4" fontId="2" fillId="2" borderId="1" xfId="2" applyNumberFormat="1" applyFont="1" applyFill="1" applyBorder="1" applyAlignment="1">
      <alignment horizontal="center" vertical="center"/>
    </xf>
    <xf numFmtId="4" fontId="2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>
      <alignment vertical="center"/>
    </xf>
    <xf numFmtId="4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" fontId="3" fillId="0" borderId="1" xfId="0" applyNumberFormat="1" applyFont="1" applyBorder="1" applyAlignment="1">
      <alignment horizontal="center" vertical="center"/>
    </xf>
    <xf numFmtId="4" fontId="2" fillId="2" borderId="1" xfId="2" applyNumberFormat="1" applyFont="1" applyFill="1" applyBorder="1" applyAlignment="1">
      <alignment horizontal="center" vertical="center" wrapText="1"/>
    </xf>
    <xf numFmtId="4" fontId="3" fillId="0" borderId="1" xfId="2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0" borderId="1" xfId="0" applyFont="1" applyBorder="1" applyAlignment="1">
      <alignment vertical="center" wrapText="1"/>
    </xf>
  </cellXfs>
  <cellStyles count="3">
    <cellStyle name="Normal" xfId="0" builtinId="0"/>
    <cellStyle name="Normal 3" xfId="2" xr:uid="{00000000-0005-0000-0000-000032000000}"/>
    <cellStyle name="Normal 3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A2" workbookViewId="0">
      <selection activeCell="N41" sqref="N41"/>
    </sheetView>
  </sheetViews>
  <sheetFormatPr defaultColWidth="9.140625" defaultRowHeight="15"/>
  <cols>
    <col min="3" max="3" width="26.85546875" customWidth="1"/>
    <col min="11" max="11" width="12.85546875" customWidth="1"/>
  </cols>
  <sheetData>
    <row r="1" spans="1:11" ht="15.75">
      <c r="A1" s="1"/>
      <c r="B1" s="2" t="s">
        <v>0</v>
      </c>
      <c r="C1" s="3" t="s">
        <v>1</v>
      </c>
      <c r="D1" s="2"/>
      <c r="E1" s="4"/>
      <c r="F1" s="5"/>
      <c r="G1" s="6"/>
      <c r="H1" s="6"/>
      <c r="I1" s="6"/>
      <c r="J1" s="14"/>
      <c r="K1" s="14">
        <f>SUM(K2:K43)</f>
        <v>432950</v>
      </c>
    </row>
    <row r="2" spans="1:11" ht="31.5">
      <c r="A2" s="7">
        <v>37</v>
      </c>
      <c r="B2" s="8" t="s">
        <v>2</v>
      </c>
      <c r="C2" s="9" t="s">
        <v>3</v>
      </c>
      <c r="D2" s="8"/>
      <c r="E2" s="10" t="s">
        <v>4</v>
      </c>
      <c r="F2" s="11">
        <v>2</v>
      </c>
      <c r="G2" s="12">
        <v>1250</v>
      </c>
      <c r="H2" s="12"/>
      <c r="I2" s="12"/>
      <c r="J2" s="15">
        <f t="shared" ref="J2:J43" si="0">ROUND(SUM(G2:I2),2)</f>
        <v>1250</v>
      </c>
      <c r="K2" s="15">
        <f t="shared" ref="K2:K43" si="1">ROUND(F2*J2,2)</f>
        <v>2500</v>
      </c>
    </row>
    <row r="3" spans="1:11" ht="31.5">
      <c r="A3" s="7">
        <v>38</v>
      </c>
      <c r="B3" s="8" t="s">
        <v>5</v>
      </c>
      <c r="C3" s="9" t="s">
        <v>6</v>
      </c>
      <c r="D3" s="8"/>
      <c r="E3" s="10" t="s">
        <v>4</v>
      </c>
      <c r="F3" s="11">
        <v>1</v>
      </c>
      <c r="G3" s="12">
        <v>1250</v>
      </c>
      <c r="H3" s="12"/>
      <c r="I3" s="12"/>
      <c r="J3" s="15">
        <f t="shared" si="0"/>
        <v>1250</v>
      </c>
      <c r="K3" s="15">
        <f t="shared" si="1"/>
        <v>1250</v>
      </c>
    </row>
    <row r="4" spans="1:11" ht="63">
      <c r="A4" s="7">
        <v>39</v>
      </c>
      <c r="B4" s="8" t="s">
        <v>7</v>
      </c>
      <c r="C4" s="19" t="s">
        <v>8</v>
      </c>
      <c r="D4" s="8"/>
      <c r="E4" s="13" t="s">
        <v>9</v>
      </c>
      <c r="F4" s="11">
        <v>1</v>
      </c>
      <c r="G4" s="12">
        <v>5500</v>
      </c>
      <c r="H4" s="12"/>
      <c r="I4" s="12"/>
      <c r="J4" s="15">
        <f t="shared" si="0"/>
        <v>5500</v>
      </c>
      <c r="K4" s="15">
        <f t="shared" si="1"/>
        <v>5500</v>
      </c>
    </row>
    <row r="5" spans="1:11" ht="47.25">
      <c r="A5" s="7">
        <v>40</v>
      </c>
      <c r="B5" s="8" t="s">
        <v>10</v>
      </c>
      <c r="C5" s="9" t="s">
        <v>11</v>
      </c>
      <c r="D5" s="8"/>
      <c r="E5" s="10" t="s">
        <v>4</v>
      </c>
      <c r="F5" s="11">
        <v>4</v>
      </c>
      <c r="G5" s="12">
        <v>750</v>
      </c>
      <c r="H5" s="12"/>
      <c r="I5" s="12"/>
      <c r="J5" s="15">
        <f t="shared" si="0"/>
        <v>750</v>
      </c>
      <c r="K5" s="15">
        <f t="shared" si="1"/>
        <v>3000</v>
      </c>
    </row>
    <row r="6" spans="1:11" ht="31.5">
      <c r="A6" s="7">
        <v>41</v>
      </c>
      <c r="B6" s="8" t="s">
        <v>12</v>
      </c>
      <c r="C6" s="9" t="s">
        <v>13</v>
      </c>
      <c r="D6" s="8"/>
      <c r="E6" s="10" t="s">
        <v>4</v>
      </c>
      <c r="F6" s="11">
        <v>2</v>
      </c>
      <c r="G6" s="12">
        <v>4500</v>
      </c>
      <c r="H6" s="12"/>
      <c r="I6" s="12"/>
      <c r="J6" s="15">
        <f t="shared" si="0"/>
        <v>4500</v>
      </c>
      <c r="K6" s="15">
        <f t="shared" si="1"/>
        <v>9000</v>
      </c>
    </row>
    <row r="7" spans="1:11" ht="31.5">
      <c r="A7" s="7">
        <v>42</v>
      </c>
      <c r="B7" s="8" t="s">
        <v>14</v>
      </c>
      <c r="C7" s="9" t="s">
        <v>15</v>
      </c>
      <c r="D7" s="8"/>
      <c r="E7" s="10" t="s">
        <v>4</v>
      </c>
      <c r="F7" s="11">
        <v>1</v>
      </c>
      <c r="G7" s="12">
        <v>1250</v>
      </c>
      <c r="H7" s="12"/>
      <c r="I7" s="12"/>
      <c r="J7" s="15">
        <f t="shared" si="0"/>
        <v>1250</v>
      </c>
      <c r="K7" s="15">
        <f t="shared" si="1"/>
        <v>1250</v>
      </c>
    </row>
    <row r="8" spans="1:11" ht="31.5">
      <c r="A8" s="7">
        <v>43</v>
      </c>
      <c r="B8" s="8" t="s">
        <v>16</v>
      </c>
      <c r="C8" s="9" t="s">
        <v>17</v>
      </c>
      <c r="D8" s="8"/>
      <c r="E8" s="10" t="s">
        <v>4</v>
      </c>
      <c r="F8" s="11">
        <v>1</v>
      </c>
      <c r="G8" s="12">
        <v>1250</v>
      </c>
      <c r="H8" s="12"/>
      <c r="I8" s="12"/>
      <c r="J8" s="15">
        <f t="shared" si="0"/>
        <v>1250</v>
      </c>
      <c r="K8" s="15">
        <f t="shared" si="1"/>
        <v>1250</v>
      </c>
    </row>
    <row r="9" spans="1:11" ht="31.5">
      <c r="A9" s="7">
        <v>44</v>
      </c>
      <c r="B9" s="8" t="s">
        <v>18</v>
      </c>
      <c r="C9" s="9" t="s">
        <v>19</v>
      </c>
      <c r="D9" s="8"/>
      <c r="E9" s="13" t="s">
        <v>9</v>
      </c>
      <c r="F9" s="11">
        <v>1</v>
      </c>
      <c r="G9" s="12">
        <v>4500</v>
      </c>
      <c r="H9" s="12"/>
      <c r="I9" s="12"/>
      <c r="J9" s="15">
        <f t="shared" si="0"/>
        <v>4500</v>
      </c>
      <c r="K9" s="15">
        <f t="shared" si="1"/>
        <v>4500</v>
      </c>
    </row>
    <row r="10" spans="1:11" ht="31.5">
      <c r="A10" s="7">
        <v>45</v>
      </c>
      <c r="B10" s="8" t="s">
        <v>20</v>
      </c>
      <c r="C10" s="9" t="s">
        <v>21</v>
      </c>
      <c r="D10" s="8"/>
      <c r="E10" s="10" t="s">
        <v>4</v>
      </c>
      <c r="F10" s="11">
        <v>1</v>
      </c>
      <c r="G10" s="12">
        <v>1250</v>
      </c>
      <c r="H10" s="12"/>
      <c r="I10" s="12"/>
      <c r="J10" s="15">
        <f t="shared" si="0"/>
        <v>1250</v>
      </c>
      <c r="K10" s="15">
        <f t="shared" si="1"/>
        <v>1250</v>
      </c>
    </row>
    <row r="11" spans="1:11" ht="31.5">
      <c r="A11" s="7">
        <v>46</v>
      </c>
      <c r="B11" s="8" t="s">
        <v>22</v>
      </c>
      <c r="C11" s="9" t="s">
        <v>23</v>
      </c>
      <c r="D11" s="8"/>
      <c r="E11" s="10" t="s">
        <v>4</v>
      </c>
      <c r="F11" s="11">
        <v>1</v>
      </c>
      <c r="G11" s="12">
        <v>4500</v>
      </c>
      <c r="H11" s="12"/>
      <c r="I11" s="12"/>
      <c r="J11" s="15">
        <f t="shared" si="0"/>
        <v>4500</v>
      </c>
      <c r="K11" s="15">
        <f t="shared" si="1"/>
        <v>4500</v>
      </c>
    </row>
    <row r="12" spans="1:11" ht="94.5">
      <c r="A12" s="7">
        <v>47</v>
      </c>
      <c r="B12" s="8" t="s">
        <v>24</v>
      </c>
      <c r="C12" s="19" t="s">
        <v>25</v>
      </c>
      <c r="D12" s="8"/>
      <c r="E12" s="10" t="s">
        <v>4</v>
      </c>
      <c r="F12" s="11">
        <v>2</v>
      </c>
      <c r="G12" s="12">
        <v>4500</v>
      </c>
      <c r="H12" s="12"/>
      <c r="I12" s="12"/>
      <c r="J12" s="15">
        <f t="shared" si="0"/>
        <v>4500</v>
      </c>
      <c r="K12" s="15">
        <f t="shared" si="1"/>
        <v>9000</v>
      </c>
    </row>
    <row r="13" spans="1:11" ht="31.5">
      <c r="A13" s="7">
        <v>48</v>
      </c>
      <c r="B13" s="8" t="s">
        <v>26</v>
      </c>
      <c r="C13" s="9" t="s">
        <v>27</v>
      </c>
      <c r="D13" s="8"/>
      <c r="E13" s="10" t="s">
        <v>4</v>
      </c>
      <c r="F13" s="11">
        <v>4</v>
      </c>
      <c r="G13" s="12">
        <v>250</v>
      </c>
      <c r="H13" s="12"/>
      <c r="I13" s="12"/>
      <c r="J13" s="15">
        <f t="shared" si="0"/>
        <v>250</v>
      </c>
      <c r="K13" s="15">
        <f t="shared" si="1"/>
        <v>1000</v>
      </c>
    </row>
    <row r="14" spans="1:11" ht="47.25">
      <c r="A14" s="7">
        <v>49</v>
      </c>
      <c r="B14" s="8" t="s">
        <v>28</v>
      </c>
      <c r="C14" s="9" t="s">
        <v>29</v>
      </c>
      <c r="D14" s="8"/>
      <c r="E14" s="10" t="s">
        <v>4</v>
      </c>
      <c r="F14" s="11">
        <v>3</v>
      </c>
      <c r="G14" s="12">
        <v>250</v>
      </c>
      <c r="H14" s="12"/>
      <c r="I14" s="12"/>
      <c r="J14" s="15">
        <f t="shared" si="0"/>
        <v>250</v>
      </c>
      <c r="K14" s="15">
        <f t="shared" si="1"/>
        <v>750</v>
      </c>
    </row>
    <row r="15" spans="1:11" ht="31.5">
      <c r="A15" s="7">
        <v>50</v>
      </c>
      <c r="B15" s="8" t="s">
        <v>30</v>
      </c>
      <c r="C15" s="9" t="s">
        <v>31</v>
      </c>
      <c r="D15" s="8"/>
      <c r="E15" s="10" t="s">
        <v>4</v>
      </c>
      <c r="F15" s="11">
        <v>2</v>
      </c>
      <c r="G15" s="12">
        <v>1250</v>
      </c>
      <c r="H15" s="12"/>
      <c r="I15" s="12"/>
      <c r="J15" s="15">
        <f t="shared" si="0"/>
        <v>1250</v>
      </c>
      <c r="K15" s="15">
        <f t="shared" si="1"/>
        <v>2500</v>
      </c>
    </row>
    <row r="16" spans="1:11" ht="47.25">
      <c r="A16" s="7">
        <v>51</v>
      </c>
      <c r="B16" s="8" t="s">
        <v>32</v>
      </c>
      <c r="C16" s="9" t="s">
        <v>33</v>
      </c>
      <c r="D16" s="8"/>
      <c r="E16" s="13" t="s">
        <v>9</v>
      </c>
      <c r="F16" s="11">
        <v>1</v>
      </c>
      <c r="G16" s="12">
        <v>12500</v>
      </c>
      <c r="H16" s="12"/>
      <c r="I16" s="12"/>
      <c r="J16" s="15">
        <f t="shared" si="0"/>
        <v>12500</v>
      </c>
      <c r="K16" s="15">
        <f t="shared" si="1"/>
        <v>12500</v>
      </c>
    </row>
    <row r="17" spans="1:11" ht="31.5">
      <c r="A17" s="7">
        <v>52</v>
      </c>
      <c r="B17" s="8" t="s">
        <v>34</v>
      </c>
      <c r="C17" s="9" t="s">
        <v>35</v>
      </c>
      <c r="D17" s="8"/>
      <c r="E17" s="10" t="s">
        <v>4</v>
      </c>
      <c r="F17" s="11">
        <v>7</v>
      </c>
      <c r="G17" s="12">
        <v>750</v>
      </c>
      <c r="H17" s="12"/>
      <c r="I17" s="12"/>
      <c r="J17" s="15">
        <f t="shared" si="0"/>
        <v>750</v>
      </c>
      <c r="K17" s="15">
        <f t="shared" si="1"/>
        <v>5250</v>
      </c>
    </row>
    <row r="18" spans="1:11" ht="31.5">
      <c r="A18" s="7">
        <v>53</v>
      </c>
      <c r="B18" s="8" t="s">
        <v>36</v>
      </c>
      <c r="C18" s="9" t="s">
        <v>37</v>
      </c>
      <c r="D18" s="8"/>
      <c r="E18" s="10" t="s">
        <v>4</v>
      </c>
      <c r="F18" s="11">
        <v>1</v>
      </c>
      <c r="G18" s="12">
        <v>500</v>
      </c>
      <c r="H18" s="12"/>
      <c r="I18" s="12"/>
      <c r="J18" s="15">
        <f t="shared" si="0"/>
        <v>500</v>
      </c>
      <c r="K18" s="15">
        <f t="shared" si="1"/>
        <v>500</v>
      </c>
    </row>
    <row r="19" spans="1:11" ht="31.5">
      <c r="A19" s="7">
        <v>54</v>
      </c>
      <c r="B19" s="8" t="s">
        <v>38</v>
      </c>
      <c r="C19" s="9" t="s">
        <v>39</v>
      </c>
      <c r="D19" s="8"/>
      <c r="E19" s="10" t="s">
        <v>4</v>
      </c>
      <c r="F19" s="11">
        <v>2</v>
      </c>
      <c r="G19" s="12">
        <v>500</v>
      </c>
      <c r="H19" s="12"/>
      <c r="I19" s="12"/>
      <c r="J19" s="15">
        <f t="shared" si="0"/>
        <v>500</v>
      </c>
      <c r="K19" s="15">
        <f t="shared" si="1"/>
        <v>1000</v>
      </c>
    </row>
    <row r="20" spans="1:11" ht="31.5">
      <c r="A20" s="7">
        <v>55</v>
      </c>
      <c r="B20" s="8" t="s">
        <v>40</v>
      </c>
      <c r="C20" s="9" t="s">
        <v>41</v>
      </c>
      <c r="D20" s="8"/>
      <c r="E20" s="10" t="s">
        <v>4</v>
      </c>
      <c r="F20" s="11">
        <v>1</v>
      </c>
      <c r="G20" s="12">
        <v>500</v>
      </c>
      <c r="H20" s="12"/>
      <c r="I20" s="12"/>
      <c r="J20" s="15">
        <f t="shared" si="0"/>
        <v>500</v>
      </c>
      <c r="K20" s="15">
        <f t="shared" si="1"/>
        <v>500</v>
      </c>
    </row>
    <row r="21" spans="1:11" ht="31.5">
      <c r="A21" s="7">
        <v>56</v>
      </c>
      <c r="B21" s="8" t="s">
        <v>42</v>
      </c>
      <c r="C21" s="9" t="s">
        <v>43</v>
      </c>
      <c r="D21" s="8"/>
      <c r="E21" s="13" t="s">
        <v>9</v>
      </c>
      <c r="F21" s="11">
        <v>1</v>
      </c>
      <c r="G21" s="12">
        <v>2500</v>
      </c>
      <c r="H21" s="12"/>
      <c r="I21" s="12"/>
      <c r="J21" s="15">
        <f t="shared" si="0"/>
        <v>2500</v>
      </c>
      <c r="K21" s="15">
        <f t="shared" si="1"/>
        <v>2500</v>
      </c>
    </row>
    <row r="22" spans="1:11" ht="47.25">
      <c r="A22" s="7">
        <v>57</v>
      </c>
      <c r="B22" s="8" t="s">
        <v>44</v>
      </c>
      <c r="C22" s="9" t="s">
        <v>45</v>
      </c>
      <c r="D22" s="8"/>
      <c r="E22" s="13" t="s">
        <v>9</v>
      </c>
      <c r="F22" s="11">
        <v>1</v>
      </c>
      <c r="G22" s="12">
        <v>15000</v>
      </c>
      <c r="H22" s="12"/>
      <c r="I22" s="12"/>
      <c r="J22" s="15">
        <f t="shared" si="0"/>
        <v>15000</v>
      </c>
      <c r="K22" s="15">
        <f t="shared" si="1"/>
        <v>15000</v>
      </c>
    </row>
    <row r="23" spans="1:11" ht="63">
      <c r="A23" s="7">
        <v>58</v>
      </c>
      <c r="B23" s="8" t="s">
        <v>46</v>
      </c>
      <c r="C23" s="19" t="s">
        <v>47</v>
      </c>
      <c r="D23" s="8"/>
      <c r="E23" s="13" t="s">
        <v>9</v>
      </c>
      <c r="F23" s="11">
        <v>1</v>
      </c>
      <c r="G23" s="12">
        <v>15000</v>
      </c>
      <c r="H23" s="12"/>
      <c r="I23" s="12"/>
      <c r="J23" s="15">
        <f t="shared" si="0"/>
        <v>15000</v>
      </c>
      <c r="K23" s="15">
        <f t="shared" si="1"/>
        <v>15000</v>
      </c>
    </row>
    <row r="24" spans="1:11" ht="94.5">
      <c r="A24" s="7">
        <v>59</v>
      </c>
      <c r="B24" s="8" t="s">
        <v>48</v>
      </c>
      <c r="C24" s="9" t="s">
        <v>49</v>
      </c>
      <c r="D24" s="8"/>
      <c r="E24" s="10" t="s">
        <v>4</v>
      </c>
      <c r="F24" s="11">
        <v>32</v>
      </c>
      <c r="G24" s="12">
        <v>5250</v>
      </c>
      <c r="H24" s="12"/>
      <c r="I24" s="12"/>
      <c r="J24" s="15">
        <f t="shared" si="0"/>
        <v>5250</v>
      </c>
      <c r="K24" s="15">
        <f t="shared" si="1"/>
        <v>168000</v>
      </c>
    </row>
    <row r="25" spans="1:11" ht="94.5">
      <c r="A25" s="7">
        <v>60</v>
      </c>
      <c r="B25" s="8" t="s">
        <v>50</v>
      </c>
      <c r="C25" s="9" t="s">
        <v>51</v>
      </c>
      <c r="D25" s="8"/>
      <c r="E25" s="10" t="s">
        <v>4</v>
      </c>
      <c r="F25" s="11">
        <v>1</v>
      </c>
      <c r="G25" s="12">
        <v>10500</v>
      </c>
      <c r="H25" s="12"/>
      <c r="I25" s="12"/>
      <c r="J25" s="15">
        <f t="shared" si="0"/>
        <v>10500</v>
      </c>
      <c r="K25" s="15">
        <f t="shared" si="1"/>
        <v>10500</v>
      </c>
    </row>
    <row r="26" spans="1:11" ht="94.5">
      <c r="A26" s="7">
        <v>61</v>
      </c>
      <c r="B26" s="8" t="s">
        <v>52</v>
      </c>
      <c r="C26" s="9" t="s">
        <v>53</v>
      </c>
      <c r="D26" s="8"/>
      <c r="E26" s="10" t="s">
        <v>4</v>
      </c>
      <c r="F26" s="11">
        <v>2</v>
      </c>
      <c r="G26" s="12">
        <v>10500</v>
      </c>
      <c r="H26" s="12"/>
      <c r="I26" s="12"/>
      <c r="J26" s="15">
        <f t="shared" si="0"/>
        <v>10500</v>
      </c>
      <c r="K26" s="15">
        <f t="shared" si="1"/>
        <v>21000</v>
      </c>
    </row>
    <row r="27" spans="1:11" ht="94.5">
      <c r="A27" s="7">
        <v>62</v>
      </c>
      <c r="B27" s="8" t="s">
        <v>54</v>
      </c>
      <c r="C27" s="9" t="s">
        <v>55</v>
      </c>
      <c r="D27" s="8"/>
      <c r="E27" s="10" t="s">
        <v>4</v>
      </c>
      <c r="F27" s="11">
        <v>1</v>
      </c>
      <c r="G27" s="12">
        <v>7500</v>
      </c>
      <c r="H27" s="12"/>
      <c r="I27" s="12"/>
      <c r="J27" s="15">
        <f t="shared" si="0"/>
        <v>7500</v>
      </c>
      <c r="K27" s="15">
        <f t="shared" si="1"/>
        <v>7500</v>
      </c>
    </row>
    <row r="28" spans="1:11" ht="94.5">
      <c r="A28" s="7">
        <v>63</v>
      </c>
      <c r="B28" s="8" t="s">
        <v>56</v>
      </c>
      <c r="C28" s="9" t="s">
        <v>57</v>
      </c>
      <c r="D28" s="8"/>
      <c r="E28" s="10" t="s">
        <v>4</v>
      </c>
      <c r="F28" s="11">
        <v>2</v>
      </c>
      <c r="G28" s="12">
        <v>5250</v>
      </c>
      <c r="H28" s="12"/>
      <c r="I28" s="12"/>
      <c r="J28" s="15">
        <f t="shared" si="0"/>
        <v>5250</v>
      </c>
      <c r="K28" s="15">
        <f t="shared" si="1"/>
        <v>10500</v>
      </c>
    </row>
    <row r="29" spans="1:11" ht="94.5">
      <c r="A29" s="7">
        <v>64</v>
      </c>
      <c r="B29" s="8" t="s">
        <v>58</v>
      </c>
      <c r="C29" s="9" t="s">
        <v>59</v>
      </c>
      <c r="D29" s="8"/>
      <c r="E29" s="10" t="s">
        <v>4</v>
      </c>
      <c r="F29" s="11">
        <v>15</v>
      </c>
      <c r="G29" s="12">
        <v>5250</v>
      </c>
      <c r="H29" s="12"/>
      <c r="I29" s="12"/>
      <c r="J29" s="15">
        <f t="shared" si="0"/>
        <v>5250</v>
      </c>
      <c r="K29" s="15">
        <f t="shared" si="1"/>
        <v>78750</v>
      </c>
    </row>
    <row r="30" spans="1:11" ht="94.5">
      <c r="A30" s="7">
        <v>65</v>
      </c>
      <c r="B30" s="8" t="s">
        <v>60</v>
      </c>
      <c r="C30" s="9" t="s">
        <v>61</v>
      </c>
      <c r="D30" s="8"/>
      <c r="E30" s="10" t="s">
        <v>4</v>
      </c>
      <c r="F30" s="11">
        <v>1</v>
      </c>
      <c r="G30" s="12">
        <v>5250</v>
      </c>
      <c r="H30" s="12"/>
      <c r="I30" s="12"/>
      <c r="J30" s="15">
        <f t="shared" si="0"/>
        <v>5250</v>
      </c>
      <c r="K30" s="15">
        <f t="shared" si="1"/>
        <v>5250</v>
      </c>
    </row>
    <row r="31" spans="1:11" ht="94.5">
      <c r="A31" s="7">
        <v>66</v>
      </c>
      <c r="B31" s="8" t="s">
        <v>62</v>
      </c>
      <c r="C31" s="9" t="s">
        <v>63</v>
      </c>
      <c r="D31" s="8"/>
      <c r="E31" s="10" t="s">
        <v>4</v>
      </c>
      <c r="F31" s="11">
        <v>2</v>
      </c>
      <c r="G31" s="12">
        <v>5250</v>
      </c>
      <c r="H31" s="12"/>
      <c r="I31" s="12"/>
      <c r="J31" s="15">
        <f t="shared" si="0"/>
        <v>5250</v>
      </c>
      <c r="K31" s="15">
        <f t="shared" si="1"/>
        <v>10500</v>
      </c>
    </row>
    <row r="32" spans="1:11" ht="31.5">
      <c r="A32" s="7">
        <v>67</v>
      </c>
      <c r="B32" s="8" t="s">
        <v>64</v>
      </c>
      <c r="C32" s="9" t="s">
        <v>65</v>
      </c>
      <c r="D32" s="8"/>
      <c r="E32" s="10" t="s">
        <v>4</v>
      </c>
      <c r="F32" s="11">
        <v>14</v>
      </c>
      <c r="G32" s="12">
        <v>550</v>
      </c>
      <c r="H32" s="12"/>
      <c r="I32" s="12"/>
      <c r="J32" s="15">
        <f t="shared" si="0"/>
        <v>550</v>
      </c>
      <c r="K32" s="15">
        <f t="shared" si="1"/>
        <v>7700</v>
      </c>
    </row>
    <row r="33" spans="1:17" ht="31.5">
      <c r="A33" s="7">
        <v>68</v>
      </c>
      <c r="B33" s="8" t="s">
        <v>66</v>
      </c>
      <c r="C33" s="9" t="s">
        <v>67</v>
      </c>
      <c r="D33" s="8"/>
      <c r="E33" s="10" t="s">
        <v>4</v>
      </c>
      <c r="F33" s="11">
        <v>4</v>
      </c>
      <c r="G33" s="12">
        <v>550</v>
      </c>
      <c r="H33" s="12"/>
      <c r="I33" s="12"/>
      <c r="J33" s="15">
        <f t="shared" si="0"/>
        <v>550</v>
      </c>
      <c r="K33" s="15">
        <f t="shared" si="1"/>
        <v>2200</v>
      </c>
    </row>
    <row r="34" spans="1:17" ht="31.5">
      <c r="A34" s="7">
        <v>69</v>
      </c>
      <c r="B34" s="8" t="s">
        <v>68</v>
      </c>
      <c r="C34" s="9" t="s">
        <v>69</v>
      </c>
      <c r="D34" s="8"/>
      <c r="E34" s="10" t="s">
        <v>4</v>
      </c>
      <c r="F34" s="11">
        <v>2</v>
      </c>
      <c r="G34" s="12">
        <v>550</v>
      </c>
      <c r="H34" s="12"/>
      <c r="I34" s="12"/>
      <c r="J34" s="15">
        <f t="shared" si="0"/>
        <v>550</v>
      </c>
      <c r="K34" s="15">
        <f t="shared" si="1"/>
        <v>1100</v>
      </c>
    </row>
    <row r="35" spans="1:17" ht="31.5">
      <c r="A35" s="7">
        <v>70</v>
      </c>
      <c r="B35" s="8" t="s">
        <v>70</v>
      </c>
      <c r="C35" s="9" t="s">
        <v>71</v>
      </c>
      <c r="D35" s="8"/>
      <c r="E35" s="10" t="s">
        <v>4</v>
      </c>
      <c r="F35" s="11">
        <v>4</v>
      </c>
      <c r="G35" s="12">
        <v>250</v>
      </c>
      <c r="H35" s="12"/>
      <c r="I35" s="12"/>
      <c r="J35" s="15">
        <f t="shared" si="0"/>
        <v>250</v>
      </c>
      <c r="K35" s="15">
        <f t="shared" si="1"/>
        <v>1000</v>
      </c>
    </row>
    <row r="36" spans="1:17" ht="31.5">
      <c r="A36" s="7">
        <v>71</v>
      </c>
      <c r="B36" s="8" t="s">
        <v>72</v>
      </c>
      <c r="C36" s="9" t="s">
        <v>73</v>
      </c>
      <c r="D36" s="8"/>
      <c r="E36" s="10" t="s">
        <v>4</v>
      </c>
      <c r="F36" s="11">
        <v>11</v>
      </c>
      <c r="G36" s="12">
        <v>450</v>
      </c>
      <c r="H36" s="12"/>
      <c r="I36" s="12"/>
      <c r="J36" s="15">
        <f t="shared" si="0"/>
        <v>450</v>
      </c>
      <c r="K36" s="15">
        <f t="shared" si="1"/>
        <v>4950</v>
      </c>
    </row>
    <row r="37" spans="1:17" ht="31.5">
      <c r="A37" s="7">
        <v>72</v>
      </c>
      <c r="B37" s="8" t="s">
        <v>74</v>
      </c>
      <c r="C37" s="9" t="s">
        <v>75</v>
      </c>
      <c r="D37" s="8"/>
      <c r="E37" s="10" t="s">
        <v>4</v>
      </c>
      <c r="F37" s="11">
        <v>1</v>
      </c>
      <c r="G37" s="12">
        <v>450</v>
      </c>
      <c r="H37" s="12"/>
      <c r="I37" s="12"/>
      <c r="J37" s="15">
        <f t="shared" si="0"/>
        <v>450</v>
      </c>
      <c r="K37" s="15">
        <f t="shared" si="1"/>
        <v>450</v>
      </c>
    </row>
    <row r="38" spans="1:17" ht="31.5">
      <c r="A38" s="7">
        <v>73</v>
      </c>
      <c r="B38" s="8" t="s">
        <v>76</v>
      </c>
      <c r="C38" s="9" t="s">
        <v>77</v>
      </c>
      <c r="D38" s="8"/>
      <c r="E38" s="10" t="s">
        <v>4</v>
      </c>
      <c r="F38" s="11">
        <v>1</v>
      </c>
      <c r="G38" s="12">
        <v>450</v>
      </c>
      <c r="H38" s="12"/>
      <c r="I38" s="12"/>
      <c r="J38" s="15">
        <f t="shared" si="0"/>
        <v>450</v>
      </c>
      <c r="K38" s="15">
        <f t="shared" si="1"/>
        <v>450</v>
      </c>
    </row>
    <row r="39" spans="1:17" ht="31.5">
      <c r="A39" s="7">
        <v>74</v>
      </c>
      <c r="B39" s="8" t="s">
        <v>78</v>
      </c>
      <c r="C39" s="9" t="s">
        <v>79</v>
      </c>
      <c r="D39" s="8"/>
      <c r="E39" s="10" t="s">
        <v>4</v>
      </c>
      <c r="F39" s="11">
        <v>2</v>
      </c>
      <c r="G39" s="12">
        <v>450</v>
      </c>
      <c r="H39" s="12"/>
      <c r="I39" s="12"/>
      <c r="J39" s="15">
        <f t="shared" si="0"/>
        <v>450</v>
      </c>
      <c r="K39" s="15">
        <f t="shared" si="1"/>
        <v>900</v>
      </c>
    </row>
    <row r="40" spans="1:17" ht="31.5">
      <c r="A40" s="7">
        <v>75</v>
      </c>
      <c r="B40" s="8" t="s">
        <v>80</v>
      </c>
      <c r="C40" s="9" t="s">
        <v>81</v>
      </c>
      <c r="D40" s="8"/>
      <c r="E40" s="10" t="s">
        <v>4</v>
      </c>
      <c r="F40" s="11">
        <v>4</v>
      </c>
      <c r="G40" s="12">
        <v>300</v>
      </c>
      <c r="H40" s="12"/>
      <c r="I40" s="12"/>
      <c r="J40" s="15">
        <f t="shared" si="0"/>
        <v>300</v>
      </c>
      <c r="K40" s="15">
        <f t="shared" si="1"/>
        <v>1200</v>
      </c>
    </row>
    <row r="41" spans="1:17" ht="31.5">
      <c r="A41" s="7">
        <v>76</v>
      </c>
      <c r="B41" s="8" t="s">
        <v>82</v>
      </c>
      <c r="C41" s="9" t="s">
        <v>83</v>
      </c>
      <c r="D41" s="8"/>
      <c r="E41" s="10" t="s">
        <v>4</v>
      </c>
      <c r="F41" s="11">
        <v>1</v>
      </c>
      <c r="G41" s="12">
        <v>300</v>
      </c>
      <c r="H41" s="12"/>
      <c r="I41" s="12"/>
      <c r="J41" s="15">
        <f t="shared" si="0"/>
        <v>300</v>
      </c>
      <c r="K41" s="15">
        <f t="shared" si="1"/>
        <v>300</v>
      </c>
    </row>
    <row r="42" spans="1:17" ht="31.5">
      <c r="A42" s="7">
        <v>77</v>
      </c>
      <c r="B42" s="8" t="s">
        <v>84</v>
      </c>
      <c r="C42" s="9" t="s">
        <v>85</v>
      </c>
      <c r="D42" s="8"/>
      <c r="E42" s="10" t="s">
        <v>4</v>
      </c>
      <c r="F42" s="11">
        <v>1</v>
      </c>
      <c r="G42" s="12">
        <v>300</v>
      </c>
      <c r="H42" s="12"/>
      <c r="I42" s="12"/>
      <c r="J42" s="15">
        <f t="shared" si="0"/>
        <v>300</v>
      </c>
      <c r="K42" s="15">
        <f t="shared" si="1"/>
        <v>300</v>
      </c>
    </row>
    <row r="43" spans="1:17" ht="31.5">
      <c r="A43" s="7">
        <v>78</v>
      </c>
      <c r="B43" s="8" t="s">
        <v>86</v>
      </c>
      <c r="C43" s="9" t="s">
        <v>87</v>
      </c>
      <c r="D43" s="8"/>
      <c r="E43" s="10" t="s">
        <v>4</v>
      </c>
      <c r="F43" s="11">
        <v>2</v>
      </c>
      <c r="G43" s="12">
        <v>450</v>
      </c>
      <c r="H43" s="12"/>
      <c r="I43" s="12"/>
      <c r="J43" s="15">
        <f t="shared" si="0"/>
        <v>450</v>
      </c>
      <c r="K43" s="15">
        <f t="shared" si="1"/>
        <v>900</v>
      </c>
    </row>
    <row r="45" spans="1:17" ht="15.75">
      <c r="B45" s="16" t="s">
        <v>88</v>
      </c>
      <c r="C45" s="17" t="s">
        <v>89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</dc:creator>
  <cp:lastModifiedBy>akilliphone Berkant</cp:lastModifiedBy>
  <dcterms:created xsi:type="dcterms:W3CDTF">2026-02-21T15:17:00Z</dcterms:created>
  <dcterms:modified xsi:type="dcterms:W3CDTF">2026-03-02T16:25:11Z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3BABC8078E6C478892DB84FFEAC22568_11</vt:lpwstr>
  </property>
  <property fmtid="{D5CDD505-2E9C-101B-9397-08002B2CF9AE}" pid="3" name="KSOProductBuildVer">
    <vt:lpwstr>1033-12.2.0.22549</vt:lpwstr>
  </property>
</Properties>
</file>