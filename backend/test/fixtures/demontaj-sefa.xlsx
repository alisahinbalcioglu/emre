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basar\Desktop\TEKLİF VERİLEN PROJELER\TAMEK\"/>
    </mc:Choice>
  </mc:AlternateContent>
  <xr:revisionPtr revIDLastSave="0" documentId="13_ncr:1_{F579496E-81E6-4F2E-9A7B-709010A137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K3" i="1" s="1"/>
  <c r="J2" i="1"/>
  <c r="K2" i="1" s="1"/>
  <c r="K1" i="1" l="1"/>
</calcChain>
</file>

<file path=xl/sharedStrings.xml><?xml version="1.0" encoding="utf-8"?>
<sst xmlns="http://schemas.openxmlformats.org/spreadsheetml/2006/main" count="26" uniqueCount="19">
  <si>
    <t>A2</t>
  </si>
  <si>
    <t>MEKANİK DEMONTAJ İŞLERİ</t>
  </si>
  <si>
    <t>Adet</t>
  </si>
  <si>
    <t>D_ÖBF.60</t>
  </si>
  <si>
    <t>32 adet işçi koğuşundaki klima dış ünitesi ve bağlantıların demontajı (12000 BTU) (Gree Yetkili Servisi tarafından demonte ve monte edilmelidir)</t>
  </si>
  <si>
    <t>D_ÖBF.61</t>
  </si>
  <si>
    <t>1 adet Yemekhane klima dış ünitesi ve bağlantıların demontajı (24000 BTU) (Gree Yetkili Servisi tarafından demonte ve monte edilmelidir)</t>
  </si>
  <si>
    <t>D_ÖBF.62</t>
  </si>
  <si>
    <t>2 adet Yemekhane Salon Tipi klima dış ünitesi ve bağlantıların demontajı (48000 BTU) (Gree Yetkili Servisi tarafından demonte ve monte edilmelidir)</t>
  </si>
  <si>
    <t>D_ÖBF.63</t>
  </si>
  <si>
    <t>1 adet Ofisler klima dış ünitesi ve bağlantıların demontajı (9000 BTU) (Gree Yetkili Servisi tarafından demonte ve monte edilmelidir)</t>
  </si>
  <si>
    <t>D_ÖBF.64</t>
  </si>
  <si>
    <t>2 adet Ofisler klima dış ünitesi ve bağlantıların demontajı (18000 BTU) (Gree Yetkili Servisi tarafından demonte ve monte edilmelidir)</t>
  </si>
  <si>
    <t>D_ÖBF.65</t>
  </si>
  <si>
    <t>15 adet Ofisler klima dış ünitesi ve bağlantıların demontajı (12000 BTU) (Gree Yetkili Servisi tarafından demonte ve monte edilmelidir)</t>
  </si>
  <si>
    <t>D_ÖBF.66</t>
  </si>
  <si>
    <t>1 adet Saha konteynırı klima iç ve dış ünitesi ve bağlantıların demontajı (12000 BTU) (Gree Yetkili Servisi tarafından demonte ve monte edilmelidir)</t>
  </si>
  <si>
    <t>D_ÖBF.67</t>
  </si>
  <si>
    <t>2 adet Saha konteynırı klima iç ve dış ünitesi ve bağlantıların demontajı (9000 BTU) (Gree Yetkili Servisi tarafından demonte ve monte edilmelidir)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</si>
</sst>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b/>
      <sz val="12"/>
      <color theme="1"/>
      <name val="Arial Narrow"/>
      <charset val="134"/>
    </font>
    <font>
      <sz val="12"/>
      <color theme="1"/>
      <name val="Arial Narrow"/>
      <charset val="134"/>
    </font>
    <font>
      <sz val="12"/>
      <name val="Arial Narrow"/>
      <charset val="134"/>
    </font>
    <font>
      <sz val="11"/>
      <color theme="1"/>
      <name val="Calibri"/>
      <charset val="162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5" fillId="0" borderId="0"/>
  </cellStyleXfs>
  <cellXfs count="15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4" fontId="2" fillId="2" borderId="1" xfId="2" applyNumberFormat="1" applyFont="1" applyFill="1" applyBorder="1" applyAlignment="1">
      <alignment horizontal="center" vertical="center"/>
    </xf>
    <xf numFmtId="4" fontId="2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>
      <alignment vertical="center"/>
    </xf>
    <xf numFmtId="4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4" fontId="2" fillId="2" borderId="1" xfId="2" applyNumberFormat="1" applyFont="1" applyFill="1" applyBorder="1" applyAlignment="1">
      <alignment horizontal="center" vertical="center" wrapText="1"/>
    </xf>
    <xf numFmtId="4" fontId="3" fillId="0" borderId="1" xfId="2" applyNumberFormat="1" applyFont="1" applyBorder="1" applyAlignment="1">
      <alignment horizontal="center" vertical="center"/>
    </xf>
  </cellXfs>
  <cellStyles count="3">
    <cellStyle name="Normal" xfId="0" builtinId="0"/>
    <cellStyle name="Normal 3" xfId="2" xr:uid="{00000000-0005-0000-0000-000032000000}"/>
    <cellStyle name="Normal 3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L23" sqref="L23"/>
    </sheetView>
  </sheetViews>
  <sheetFormatPr defaultColWidth="9.140625" defaultRowHeight="15"/>
  <cols>
    <col min="3" max="3" width="26.85546875" customWidth="1"/>
  </cols>
  <sheetData>
    <row r="1" spans="1:11" ht="15.75">
      <c r="A1" s="1"/>
      <c r="B1" s="2" t="s">
        <v>0</v>
      </c>
      <c r="C1" s="3" t="s">
        <v>1</v>
      </c>
      <c r="D1" s="2"/>
      <c r="E1" s="4"/>
      <c r="F1" s="5"/>
      <c r="G1" s="6"/>
      <c r="H1" s="6"/>
      <c r="I1" s="6"/>
      <c r="J1" s="13"/>
      <c r="K1" s="13">
        <f>SUM(K2:K9)</f>
        <v>0</v>
      </c>
    </row>
    <row r="2" spans="1:11" ht="94.5">
      <c r="A2" s="7">
        <v>59</v>
      </c>
      <c r="B2" s="8" t="s">
        <v>3</v>
      </c>
      <c r="C2" s="9" t="s">
        <v>4</v>
      </c>
      <c r="D2" s="8"/>
      <c r="E2" s="10" t="s">
        <v>2</v>
      </c>
      <c r="F2" s="11">
        <v>32</v>
      </c>
      <c r="G2" s="12"/>
      <c r="H2" s="12"/>
      <c r="I2" s="12"/>
      <c r="J2" s="14">
        <f t="shared" ref="J2:J9" si="0">ROUND(SUM(G2:I2),2)</f>
        <v>0</v>
      </c>
      <c r="K2" s="14">
        <f t="shared" ref="K2:K9" si="1">ROUND(F2*J2,2)</f>
        <v>0</v>
      </c>
    </row>
    <row r="3" spans="1:11" ht="94.5">
      <c r="A3" s="7">
        <v>60</v>
      </c>
      <c r="B3" s="8" t="s">
        <v>5</v>
      </c>
      <c r="C3" s="9" t="s">
        <v>6</v>
      </c>
      <c r="D3" s="8"/>
      <c r="E3" s="10" t="s">
        <v>2</v>
      </c>
      <c r="F3" s="11">
        <v>1</v>
      </c>
      <c r="G3" s="12"/>
      <c r="H3" s="12"/>
      <c r="I3" s="12"/>
      <c r="J3" s="14">
        <f t="shared" si="0"/>
        <v>0</v>
      </c>
      <c r="K3" s="14">
        <f t="shared" si="1"/>
        <v>0</v>
      </c>
    </row>
    <row r="4" spans="1:11" ht="94.5">
      <c r="A4" s="7">
        <v>61</v>
      </c>
      <c r="B4" s="8" t="s">
        <v>7</v>
      </c>
      <c r="C4" s="9" t="s">
        <v>8</v>
      </c>
      <c r="D4" s="8"/>
      <c r="E4" s="10" t="s">
        <v>2</v>
      </c>
      <c r="F4" s="11">
        <v>2</v>
      </c>
      <c r="G4" s="12"/>
      <c r="H4" s="12"/>
      <c r="I4" s="12"/>
      <c r="J4" s="14">
        <f t="shared" si="0"/>
        <v>0</v>
      </c>
      <c r="K4" s="14">
        <f t="shared" si="1"/>
        <v>0</v>
      </c>
    </row>
    <row r="5" spans="1:11" ht="94.5">
      <c r="A5" s="7">
        <v>62</v>
      </c>
      <c r="B5" s="8" t="s">
        <v>9</v>
      </c>
      <c r="C5" s="9" t="s">
        <v>10</v>
      </c>
      <c r="D5" s="8"/>
      <c r="E5" s="10" t="s">
        <v>2</v>
      </c>
      <c r="F5" s="11">
        <v>1</v>
      </c>
      <c r="G5" s="12"/>
      <c r="H5" s="12"/>
      <c r="I5" s="12"/>
      <c r="J5" s="14">
        <f t="shared" si="0"/>
        <v>0</v>
      </c>
      <c r="K5" s="14">
        <f t="shared" si="1"/>
        <v>0</v>
      </c>
    </row>
    <row r="6" spans="1:11" ht="94.5">
      <c r="A6" s="7">
        <v>63</v>
      </c>
      <c r="B6" s="8" t="s">
        <v>11</v>
      </c>
      <c r="C6" s="9" t="s">
        <v>12</v>
      </c>
      <c r="D6" s="8"/>
      <c r="E6" s="10" t="s">
        <v>2</v>
      </c>
      <c r="F6" s="11">
        <v>2</v>
      </c>
      <c r="G6" s="12"/>
      <c r="H6" s="12"/>
      <c r="I6" s="12"/>
      <c r="J6" s="14">
        <f t="shared" si="0"/>
        <v>0</v>
      </c>
      <c r="K6" s="14">
        <f t="shared" si="1"/>
        <v>0</v>
      </c>
    </row>
    <row r="7" spans="1:11" ht="94.5">
      <c r="A7" s="7">
        <v>64</v>
      </c>
      <c r="B7" s="8" t="s">
        <v>13</v>
      </c>
      <c r="C7" s="9" t="s">
        <v>14</v>
      </c>
      <c r="D7" s="8"/>
      <c r="E7" s="10" t="s">
        <v>2</v>
      </c>
      <c r="F7" s="11">
        <v>15</v>
      </c>
      <c r="G7" s="12"/>
      <c r="H7" s="12"/>
      <c r="I7" s="12"/>
      <c r="J7" s="14">
        <f t="shared" si="0"/>
        <v>0</v>
      </c>
      <c r="K7" s="14">
        <f t="shared" si="1"/>
        <v>0</v>
      </c>
    </row>
    <row r="8" spans="1:11" ht="94.5">
      <c r="A8" s="7">
        <v>65</v>
      </c>
      <c r="B8" s="8" t="s">
        <v>15</v>
      </c>
      <c r="C8" s="9" t="s">
        <v>16</v>
      </c>
      <c r="D8" s="8"/>
      <c r="E8" s="10" t="s">
        <v>2</v>
      </c>
      <c r="F8" s="11">
        <v>1</v>
      </c>
      <c r="G8" s="12"/>
      <c r="H8" s="12"/>
      <c r="I8" s="12"/>
      <c r="J8" s="14">
        <f t="shared" si="0"/>
        <v>0</v>
      </c>
      <c r="K8" s="14">
        <f t="shared" si="1"/>
        <v>0</v>
      </c>
    </row>
    <row r="9" spans="1:11" ht="94.5">
      <c r="A9" s="7">
        <v>66</v>
      </c>
      <c r="B9" s="8" t="s">
        <v>17</v>
      </c>
      <c r="C9" s="9" t="s">
        <v>18</v>
      </c>
      <c r="D9" s="8"/>
      <c r="E9" s="10" t="s">
        <v>2</v>
      </c>
      <c r="F9" s="11">
        <v>2</v>
      </c>
      <c r="G9" s="12"/>
      <c r="H9" s="12"/>
      <c r="I9" s="12"/>
      <c r="J9" s="14">
        <f t="shared" si="0"/>
        <v>0</v>
      </c>
      <c r="K9" s="14">
        <f t="shared" si="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</dc:creator>
  <cp:lastModifiedBy>ANONIM</cp:lastModifiedBy>
  <dcterms:created xsi:type="dcterms:W3CDTF">2026-02-21T15:17:00Z</dcterms:created>
  <dcterms:modified xsi:type="dcterms:W3CDTF">2026-03-02T09:48:44Z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3BABC8078E6C478892DB84FFEAC22568_11</vt:lpwstr>
  </property>
  <property fmtid="{D5CDD505-2E9C-101B-9397-08002B2CF9AE}" pid="3" name="KSOProductBuildVer">
    <vt:lpwstr>1033-12.2.0.22549</vt:lpwstr>
  </property>
</Properties>
</file>