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basar\Desktop\TEKLİF VERİLEN PROJELER\TAMEK\"/>
    </mc:Choice>
  </mc:AlternateContent>
  <xr:revisionPtr revIDLastSave="0" documentId="13_ncr:1_{FDD3DCAB-085C-40C0-B190-4C9FC98EEA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6" i="1" l="1"/>
  <c r="K26" i="1" s="1"/>
  <c r="J24" i="1"/>
  <c r="K24" i="1" s="1"/>
  <c r="J22" i="1"/>
  <c r="K22" i="1" s="1"/>
  <c r="K1" i="1" s="1"/>
  <c r="J20" i="1"/>
  <c r="K20" i="1" s="1"/>
  <c r="J18" i="1"/>
  <c r="K18" i="1" s="1"/>
  <c r="J16" i="1"/>
  <c r="K16" i="1" s="1"/>
  <c r="J14" i="1"/>
  <c r="K14" i="1" s="1"/>
  <c r="J13" i="1"/>
  <c r="K13" i="1" s="1"/>
  <c r="J10" i="1"/>
  <c r="K10" i="1" s="1"/>
  <c r="J7" i="1"/>
  <c r="K7" i="1" s="1"/>
  <c r="J6" i="1"/>
  <c r="K6" i="1" s="1"/>
  <c r="J5" i="1"/>
  <c r="K5" i="1" s="1"/>
  <c r="J4" i="1"/>
  <c r="K4" i="1" s="1"/>
</calcChain>
</file>

<file path=xl/sharedStrings.xml><?xml version="1.0" encoding="utf-8"?>
<sst xmlns="http://schemas.openxmlformats.org/spreadsheetml/2006/main" count="84" uniqueCount="64">
  <si>
    <t>D</t>
  </si>
  <si>
    <t>MEKANİK TESİSATI TEMİN VE MONTAJI  İŞLERİ</t>
  </si>
  <si>
    <t>D1</t>
  </si>
  <si>
    <t>YANGIN TESİSATI</t>
  </si>
  <si>
    <t>MEK_1.1</t>
  </si>
  <si>
    <t>Dikişli Galvaniz Boru</t>
  </si>
  <si>
    <t>MEK_1.1.1</t>
  </si>
  <si>
    <t>2"</t>
  </si>
  <si>
    <t>Borusan, Çayırova</t>
  </si>
  <si>
    <t>Metre</t>
  </si>
  <si>
    <t>MEK_1.1.2</t>
  </si>
  <si>
    <t>2 1/2"</t>
  </si>
  <si>
    <t>MEK_1.1.3</t>
  </si>
  <si>
    <t>3"</t>
  </si>
  <si>
    <t>MEK_1.1.4</t>
  </si>
  <si>
    <t>4"</t>
  </si>
  <si>
    <t>MEK_1.2</t>
  </si>
  <si>
    <t>HDPE (PE100) Boru</t>
  </si>
  <si>
    <t>MEK_1.2.1</t>
  </si>
  <si>
    <t>110mm</t>
  </si>
  <si>
    <t>Fırat, Hakan, Vesbo</t>
  </si>
  <si>
    <t>MEK_1.3</t>
  </si>
  <si>
    <t>Yangın Dolabı</t>
  </si>
  <si>
    <t>MEK_1.3.1</t>
  </si>
  <si>
    <t>2'' Tüp Bölmeli Yangın Dolabı (30m Hortumlu)</t>
  </si>
  <si>
    <t>Fetaş. Normteknik</t>
  </si>
  <si>
    <t>Adet</t>
  </si>
  <si>
    <t>MEK_1.3.2</t>
  </si>
  <si>
    <r>
      <rPr>
        <sz val="12"/>
        <rFont val="Arial Narrow"/>
        <charset val="134"/>
      </rPr>
      <t xml:space="preserve">2'' Tüp Bölmeli Yangın Dolabı (30m Hortumlu) </t>
    </r>
    <r>
      <rPr>
        <sz val="12"/>
        <color rgb="FFC00000"/>
        <rFont val="Arial Narrow"/>
        <charset val="134"/>
      </rPr>
      <t>(Salihli Şantiye Mobilizasyon Demontajından gelecek malzeme kullanılacaktır)</t>
    </r>
  </si>
  <si>
    <t>ŞİRKET TEMİNİ</t>
  </si>
  <si>
    <t>MEK_1.4</t>
  </si>
  <si>
    <t>Kelebek Vana</t>
  </si>
  <si>
    <t>MEK_1.4.1</t>
  </si>
  <si>
    <t>4" İzleme anahtarlı redüktörlü kelebek vana</t>
  </si>
  <si>
    <t>Kennedy, Nibco, Victualic, Viking</t>
  </si>
  <si>
    <t>MEK_1.5</t>
  </si>
  <si>
    <t>Akış Anahtarı</t>
  </si>
  <si>
    <t>MEK_1.5.1</t>
  </si>
  <si>
    <t>4" Flow switch</t>
  </si>
  <si>
    <t>Gerand, Global, Vision</t>
  </si>
  <si>
    <t>MEK_1.6</t>
  </si>
  <si>
    <t>Mekanik Şamandıra</t>
  </si>
  <si>
    <t>MEK_1.6.1</t>
  </si>
  <si>
    <t>1 1/2"</t>
  </si>
  <si>
    <t>Ayvaz, Duyar, Kayse</t>
  </si>
  <si>
    <t>MEK_1.7</t>
  </si>
  <si>
    <t>Yangın Suyu Deposu</t>
  </si>
  <si>
    <t>MEK_1.7.1</t>
  </si>
  <si>
    <t>Esinoks, Meksis</t>
  </si>
  <si>
    <t>MEK_1.8</t>
  </si>
  <si>
    <t>İtfaiye Bağlantı Ağzı</t>
  </si>
  <si>
    <t>MEK_1.8.1</t>
  </si>
  <si>
    <t>İtfaite Bağlantı Ağzı 4" x 2 1/2" x 2 1/2"</t>
  </si>
  <si>
    <t>Giacomini, AWG</t>
  </si>
  <si>
    <t>MEK_1.9</t>
  </si>
  <si>
    <t>Hidrofor</t>
  </si>
  <si>
    <t>MEK_1.9.1</t>
  </si>
  <si>
    <r>
      <rPr>
        <sz val="12"/>
        <rFont val="Arial Narrow"/>
        <charset val="134"/>
      </rPr>
      <t xml:space="preserve">Paket Hidrofor, Debi: 12m3/h, Basınç: 5-7bar </t>
    </r>
    <r>
      <rPr>
        <sz val="12"/>
        <color rgb="FFC00000"/>
        <rFont val="Arial Narrow"/>
        <charset val="134"/>
      </rPr>
      <t>(Salihli Şantiye Mobilizasyon Demontajından gelecek malzeme kullanılacaktır)</t>
    </r>
  </si>
  <si>
    <t xml:space="preserve">Fitting Bedeli </t>
  </si>
  <si>
    <t>Malzeme Birim Fiyat</t>
  </si>
  <si>
    <t>İşçilik Birim Fiyat</t>
  </si>
  <si>
    <t>SET</t>
  </si>
  <si>
    <t>Modüler Galvaniz 12m3 su hacmine sahip (GALVANİZ )</t>
  </si>
  <si>
    <t xml:space="preserve">BORUNLARIN BOYANMASI , SARF MALZEME ,NAKLİYE VS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</si>
</sst>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Calibri"/>
      <charset val="134"/>
      <scheme val="minor"/>
    </font>
    <font>
      <b/>
      <sz val="12"/>
      <name val="Arial Narrow"/>
      <charset val="134"/>
    </font>
    <font>
      <sz val="12"/>
      <name val="Arial Narrow"/>
      <charset val="134"/>
    </font>
    <font>
      <b/>
      <sz val="12"/>
      <color rgb="FFC00000"/>
      <name val="Arial Narrow"/>
      <charset val="134"/>
    </font>
    <font>
      <sz val="10"/>
      <name val="Arial"/>
      <charset val="134"/>
    </font>
    <font>
      <sz val="11"/>
      <color theme="1"/>
      <name val="Calibri"/>
      <charset val="162"/>
      <scheme val="minor"/>
    </font>
    <font>
      <sz val="12"/>
      <color rgb="FFC00000"/>
      <name val="Arial Narrow"/>
      <charset val="134"/>
    </font>
  </fonts>
  <fills count="5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</borders>
  <cellStyleXfs count="3">
    <xf numFmtId="0" fontId="0" fillId="0" borderId="0">
      <alignment vertical="center"/>
    </xf>
    <xf numFmtId="0" fontId="4" fillId="0" borderId="0"/>
    <xf numFmtId="0" fontId="5" fillId="0" borderId="0"/>
  </cellStyleXfs>
  <cellXfs count="43">
    <xf numFmtId="0" fontId="0" fillId="0" borderId="0" xfId="0">
      <alignment vertical="center"/>
    </xf>
    <xf numFmtId="0" fontId="1" fillId="2" borderId="1" xfId="2" applyFont="1" applyFill="1" applyBorder="1" applyAlignment="1">
      <alignment horizontal="center" vertical="center"/>
    </xf>
    <xf numFmtId="0" fontId="1" fillId="2" borderId="1" xfId="2" applyFont="1" applyFill="1" applyBorder="1" applyAlignment="1">
      <alignment horizontal="center" vertical="center" wrapText="1"/>
    </xf>
    <xf numFmtId="0" fontId="1" fillId="2" borderId="1" xfId="2" applyFont="1" applyFill="1" applyBorder="1" applyAlignment="1">
      <alignment horizontal="left" vertical="center" wrapText="1"/>
    </xf>
    <xf numFmtId="0" fontId="2" fillId="2" borderId="1" xfId="2" applyFont="1" applyFill="1" applyBorder="1" applyAlignment="1">
      <alignment horizontal="center" vertical="center" wrapText="1"/>
    </xf>
    <xf numFmtId="4" fontId="2" fillId="2" borderId="1" xfId="2" applyNumberFormat="1" applyFont="1" applyFill="1" applyBorder="1" applyAlignment="1">
      <alignment horizontal="center" vertical="center" wrapText="1"/>
    </xf>
    <xf numFmtId="4" fontId="2" fillId="2" borderId="1" xfId="1" applyNumberFormat="1" applyFont="1" applyFill="1" applyBorder="1" applyAlignment="1" applyProtection="1">
      <alignment horizontal="center" vertical="center"/>
      <protection locked="0"/>
    </xf>
    <xf numFmtId="0" fontId="1" fillId="3" borderId="1" xfId="2" applyFont="1" applyFill="1" applyBorder="1" applyAlignment="1">
      <alignment horizontal="center" vertical="center"/>
    </xf>
    <xf numFmtId="0" fontId="1" fillId="3" borderId="1" xfId="2" applyFont="1" applyFill="1" applyBorder="1" applyAlignment="1">
      <alignment horizontal="center" vertical="center" wrapText="1"/>
    </xf>
    <xf numFmtId="0" fontId="1" fillId="3" borderId="1" xfId="2" applyFont="1" applyFill="1" applyBorder="1" applyAlignment="1">
      <alignment horizontal="left" vertical="center" wrapText="1"/>
    </xf>
    <xf numFmtId="0" fontId="2" fillId="3" borderId="1" xfId="2" applyFont="1" applyFill="1" applyBorder="1" applyAlignment="1">
      <alignment horizontal="center" vertical="center" wrapText="1"/>
    </xf>
    <xf numFmtId="4" fontId="2" fillId="3" borderId="1" xfId="2" applyNumberFormat="1" applyFont="1" applyFill="1" applyBorder="1" applyAlignment="1">
      <alignment horizontal="center" vertical="center" wrapText="1"/>
    </xf>
    <xf numFmtId="4" fontId="2" fillId="3" borderId="1" xfId="1" applyNumberFormat="1" applyFont="1" applyFill="1" applyBorder="1" applyAlignment="1" applyProtection="1">
      <alignment horizontal="center" vertical="center"/>
      <protection locked="0"/>
    </xf>
    <xf numFmtId="0" fontId="1" fillId="0" borderId="1" xfId="2" applyFont="1" applyBorder="1" applyAlignment="1">
      <alignment horizontal="center" vertical="center"/>
    </xf>
    <xf numFmtId="0" fontId="1" fillId="0" borderId="1" xfId="2" applyFont="1" applyBorder="1" applyAlignment="1">
      <alignment horizontal="center" vertical="center" wrapText="1"/>
    </xf>
    <xf numFmtId="0" fontId="1" fillId="0" borderId="1" xfId="2" applyFont="1" applyBorder="1" applyAlignment="1">
      <alignment horizontal="left" vertical="center" wrapText="1"/>
    </xf>
    <xf numFmtId="0" fontId="2" fillId="0" borderId="1" xfId="2" applyFont="1" applyBorder="1" applyAlignment="1">
      <alignment horizontal="center" vertical="center" wrapText="1"/>
    </xf>
    <xf numFmtId="4" fontId="2" fillId="0" borderId="1" xfId="2" applyNumberFormat="1" applyFont="1" applyBorder="1" applyAlignment="1">
      <alignment horizontal="center" vertical="center" wrapText="1"/>
    </xf>
    <xf numFmtId="4" fontId="2" fillId="0" borderId="1" xfId="1" applyNumberFormat="1" applyFont="1" applyBorder="1" applyAlignment="1" applyProtection="1">
      <alignment horizontal="center" vertical="center"/>
      <protection locked="0"/>
    </xf>
    <xf numFmtId="0" fontId="2" fillId="0" borderId="1" xfId="2" applyFont="1" applyBorder="1" applyAlignment="1">
      <alignment horizontal="center" vertical="center"/>
    </xf>
    <xf numFmtId="0" fontId="2" fillId="0" borderId="1" xfId="2" applyFont="1" applyBorder="1" applyAlignment="1">
      <alignment horizontal="left" vertical="center" wrapText="1"/>
    </xf>
    <xf numFmtId="4" fontId="2" fillId="0" borderId="1" xfId="0" applyNumberFormat="1" applyFont="1" applyBorder="1" applyAlignment="1">
      <alignment horizontal="center" vertical="center"/>
    </xf>
    <xf numFmtId="4" fontId="2" fillId="0" borderId="1" xfId="2" applyNumberFormat="1" applyFont="1" applyBorder="1" applyAlignment="1">
      <alignment vertical="center" wrapText="1"/>
    </xf>
    <xf numFmtId="4" fontId="2" fillId="4" borderId="1" xfId="0" applyNumberFormat="1" applyFont="1" applyFill="1" applyBorder="1" applyAlignment="1" applyProtection="1">
      <alignment horizontal="center" vertical="center" wrapText="1"/>
      <protection locked="0"/>
    </xf>
    <xf numFmtId="4" fontId="3" fillId="0" borderId="1" xfId="1" applyNumberFormat="1" applyFont="1" applyBorder="1" applyAlignment="1">
      <alignment horizontal="center" vertical="center"/>
    </xf>
    <xf numFmtId="4" fontId="2" fillId="2" borderId="1" xfId="1" applyNumberFormat="1" applyFont="1" applyFill="1" applyBorder="1" applyAlignment="1">
      <alignment horizontal="center" vertical="center"/>
    </xf>
    <xf numFmtId="4" fontId="2" fillId="3" borderId="1" xfId="1" applyNumberFormat="1" applyFont="1" applyFill="1" applyBorder="1" applyAlignment="1">
      <alignment horizontal="center" vertical="center"/>
    </xf>
    <xf numFmtId="4" fontId="2" fillId="0" borderId="1" xfId="1" applyNumberFormat="1" applyFont="1" applyBorder="1" applyAlignment="1">
      <alignment horizontal="center" vertical="center"/>
    </xf>
    <xf numFmtId="0" fontId="1" fillId="0" borderId="3" xfId="2" applyFont="1" applyBorder="1" applyAlignment="1">
      <alignment horizontal="center" vertical="center"/>
    </xf>
    <xf numFmtId="0" fontId="1" fillId="0" borderId="3" xfId="2" applyFont="1" applyBorder="1" applyAlignment="1">
      <alignment horizontal="center" vertical="center" wrapText="1"/>
    </xf>
    <xf numFmtId="0" fontId="1" fillId="0" borderId="3" xfId="2" applyFont="1" applyBorder="1" applyAlignment="1">
      <alignment horizontal="left" vertical="center" wrapText="1"/>
    </xf>
    <xf numFmtId="0" fontId="2" fillId="0" borderId="3" xfId="2" applyFont="1" applyBorder="1" applyAlignment="1">
      <alignment horizontal="center" vertical="center" wrapText="1"/>
    </xf>
    <xf numFmtId="4" fontId="2" fillId="0" borderId="3" xfId="2" applyNumberFormat="1" applyFont="1" applyBorder="1" applyAlignment="1">
      <alignment horizontal="center" vertical="center" wrapText="1"/>
    </xf>
    <xf numFmtId="4" fontId="2" fillId="0" borderId="3" xfId="1" applyNumberFormat="1" applyFont="1" applyBorder="1" applyAlignment="1" applyProtection="1">
      <alignment horizontal="center" vertical="center"/>
      <protection locked="0"/>
    </xf>
    <xf numFmtId="4" fontId="2" fillId="0" borderId="3" xfId="1" applyNumberFormat="1" applyFont="1" applyBorder="1" applyAlignment="1">
      <alignment horizontal="center" vertical="center"/>
    </xf>
    <xf numFmtId="0" fontId="2" fillId="0" borderId="2" xfId="2" applyFont="1" applyBorder="1" applyAlignment="1">
      <alignment horizontal="center" vertical="center"/>
    </xf>
    <xf numFmtId="0" fontId="2" fillId="0" borderId="2" xfId="2" applyFont="1" applyBorder="1" applyAlignment="1">
      <alignment horizontal="center" vertical="center" wrapText="1"/>
    </xf>
    <xf numFmtId="0" fontId="2" fillId="0" borderId="2" xfId="2" applyFont="1" applyBorder="1" applyAlignment="1">
      <alignment horizontal="left" vertical="center" wrapText="1"/>
    </xf>
    <xf numFmtId="4" fontId="3" fillId="0" borderId="2" xfId="1" applyNumberFormat="1" applyFont="1" applyBorder="1" applyAlignment="1">
      <alignment horizontal="center" vertical="center"/>
    </xf>
    <xf numFmtId="4" fontId="2" fillId="0" borderId="2" xfId="2" applyNumberFormat="1" applyFont="1" applyBorder="1" applyAlignment="1">
      <alignment vertical="center" wrapText="1"/>
    </xf>
    <xf numFmtId="4" fontId="2" fillId="0" borderId="2" xfId="1" applyNumberFormat="1" applyFont="1" applyBorder="1" applyAlignment="1" applyProtection="1">
      <alignment horizontal="center" vertical="center"/>
      <protection locked="0"/>
    </xf>
    <xf numFmtId="4" fontId="2" fillId="0" borderId="2" xfId="1" applyNumberFormat="1" applyFont="1" applyBorder="1" applyAlignment="1">
      <alignment horizontal="center" vertical="center"/>
    </xf>
    <xf numFmtId="0" fontId="1" fillId="0" borderId="2" xfId="2" applyFont="1" applyBorder="1" applyAlignment="1">
      <alignment horizontal="left" vertical="center" wrapText="1"/>
    </xf>
  </cellXfs>
  <cellStyles count="3">
    <cellStyle name="Normal" xfId="0" builtinId="0"/>
    <cellStyle name="Normal 3" xfId="1" xr:uid="{00000000-0005-0000-0000-000031000000}"/>
    <cellStyle name="Normal 3 2" xfId="2" xr:uid="{00000000-0005-0000-0000-000032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workbookViewId="0">
      <selection activeCell="Q30" sqref="Q30"/>
    </sheetView>
  </sheetViews>
  <sheetFormatPr defaultColWidth="9.140625" defaultRowHeight="15"/>
  <cols>
    <col min="2" max="2" width="16" customWidth="1"/>
    <col min="3" max="3" width="27.28515625" customWidth="1"/>
    <col min="4" max="4" width="17.28515625" customWidth="1"/>
    <col min="7" max="7" width="20.5703125" customWidth="1"/>
    <col min="8" max="8" width="18.85546875" customWidth="1"/>
    <col min="10" max="10" width="12" customWidth="1"/>
    <col min="11" max="11" width="13.85546875" customWidth="1"/>
  </cols>
  <sheetData>
    <row r="1" spans="1:11" ht="31.5">
      <c r="A1" s="1"/>
      <c r="B1" s="2" t="s">
        <v>0</v>
      </c>
      <c r="C1" s="3" t="s">
        <v>1</v>
      </c>
      <c r="D1" s="2"/>
      <c r="E1" s="4"/>
      <c r="F1" s="5"/>
      <c r="G1" s="6"/>
      <c r="H1" s="6"/>
      <c r="I1" s="6"/>
      <c r="J1" s="25"/>
      <c r="K1" s="25">
        <f>SUM(K4:K27)</f>
        <v>1245220.8</v>
      </c>
    </row>
    <row r="2" spans="1:11" ht="15.75">
      <c r="A2" s="7"/>
      <c r="B2" s="8" t="s">
        <v>2</v>
      </c>
      <c r="C2" s="9" t="s">
        <v>3</v>
      </c>
      <c r="D2" s="8"/>
      <c r="E2" s="10"/>
      <c r="F2" s="11"/>
      <c r="G2" s="12" t="s">
        <v>59</v>
      </c>
      <c r="H2" s="12" t="s">
        <v>60</v>
      </c>
      <c r="I2" s="12"/>
      <c r="J2" s="26"/>
      <c r="K2" s="26"/>
    </row>
    <row r="3" spans="1:11" ht="15.75">
      <c r="A3" s="13"/>
      <c r="B3" s="14" t="s">
        <v>4</v>
      </c>
      <c r="C3" s="15" t="s">
        <v>5</v>
      </c>
      <c r="D3" s="14"/>
      <c r="E3" s="16"/>
      <c r="F3" s="17"/>
      <c r="G3" s="18"/>
      <c r="H3" s="18"/>
      <c r="I3" s="18"/>
      <c r="J3" s="27"/>
      <c r="K3" s="27"/>
    </row>
    <row r="4" spans="1:11" ht="31.5">
      <c r="A4" s="19">
        <v>178</v>
      </c>
      <c r="B4" s="16" t="s">
        <v>6</v>
      </c>
      <c r="C4" s="20" t="s">
        <v>7</v>
      </c>
      <c r="D4" s="14" t="s">
        <v>8</v>
      </c>
      <c r="E4" s="21" t="s">
        <v>9</v>
      </c>
      <c r="F4" s="22">
        <v>126</v>
      </c>
      <c r="G4" s="23">
        <v>250.8</v>
      </c>
      <c r="H4" s="23">
        <v>680</v>
      </c>
      <c r="I4" s="23"/>
      <c r="J4" s="27">
        <f>ROUND(SUM(G4:I4),2)</f>
        <v>930.8</v>
      </c>
      <c r="K4" s="27">
        <f>ROUND(F4*J4,2)</f>
        <v>117280.8</v>
      </c>
    </row>
    <row r="5" spans="1:11" ht="31.5">
      <c r="A5" s="19">
        <v>179</v>
      </c>
      <c r="B5" s="16" t="s">
        <v>10</v>
      </c>
      <c r="C5" s="20" t="s">
        <v>11</v>
      </c>
      <c r="D5" s="14" t="s">
        <v>8</v>
      </c>
      <c r="E5" s="21" t="s">
        <v>9</v>
      </c>
      <c r="F5" s="22">
        <v>36</v>
      </c>
      <c r="G5" s="23">
        <v>320</v>
      </c>
      <c r="H5" s="23">
        <v>740</v>
      </c>
      <c r="I5" s="23"/>
      <c r="J5" s="27">
        <f>ROUND(SUM(G5:I5),2)</f>
        <v>1060</v>
      </c>
      <c r="K5" s="27">
        <f>ROUND(F5*J5,2)</f>
        <v>38160</v>
      </c>
    </row>
    <row r="6" spans="1:11" ht="31.5">
      <c r="A6" s="19">
        <v>180</v>
      </c>
      <c r="B6" s="16" t="s">
        <v>12</v>
      </c>
      <c r="C6" s="20" t="s">
        <v>13</v>
      </c>
      <c r="D6" s="14" t="s">
        <v>8</v>
      </c>
      <c r="E6" s="21" t="s">
        <v>9</v>
      </c>
      <c r="F6" s="22">
        <v>12</v>
      </c>
      <c r="G6" s="23">
        <v>416</v>
      </c>
      <c r="H6" s="23">
        <v>810</v>
      </c>
      <c r="I6" s="23"/>
      <c r="J6" s="27">
        <f>ROUND(SUM(G6:I6),2)</f>
        <v>1226</v>
      </c>
      <c r="K6" s="27">
        <f>ROUND(F6*J6,2)</f>
        <v>14712</v>
      </c>
    </row>
    <row r="7" spans="1:11" ht="31.5">
      <c r="A7" s="19">
        <v>181</v>
      </c>
      <c r="B7" s="16" t="s">
        <v>14</v>
      </c>
      <c r="C7" s="20" t="s">
        <v>15</v>
      </c>
      <c r="D7" s="14" t="s">
        <v>8</v>
      </c>
      <c r="E7" s="21" t="s">
        <v>9</v>
      </c>
      <c r="F7" s="22">
        <v>24</v>
      </c>
      <c r="G7" s="23">
        <v>602</v>
      </c>
      <c r="H7" s="23">
        <v>880</v>
      </c>
      <c r="I7" s="23"/>
      <c r="J7" s="27">
        <f>ROUND(SUM(G7:I7),2)</f>
        <v>1482</v>
      </c>
      <c r="K7" s="27">
        <f>ROUND(F7*J7,2)</f>
        <v>35568</v>
      </c>
    </row>
    <row r="8" spans="1:11" ht="15.75">
      <c r="A8" s="19"/>
      <c r="B8" s="16"/>
      <c r="C8" s="20" t="s">
        <v>58</v>
      </c>
      <c r="D8" s="14"/>
      <c r="E8" s="21" t="s">
        <v>61</v>
      </c>
      <c r="F8" s="22">
        <v>1</v>
      </c>
      <c r="G8" s="23"/>
      <c r="H8" s="23"/>
      <c r="I8" s="23"/>
      <c r="J8" s="27"/>
      <c r="K8" s="27">
        <v>55000</v>
      </c>
    </row>
    <row r="9" spans="1:11" ht="15.75">
      <c r="A9" s="13"/>
      <c r="B9" s="14" t="s">
        <v>16</v>
      </c>
      <c r="C9" s="15" t="s">
        <v>17</v>
      </c>
      <c r="D9" s="14"/>
      <c r="E9" s="16"/>
      <c r="F9" s="17"/>
      <c r="G9" s="18"/>
      <c r="H9" s="18"/>
      <c r="I9" s="18"/>
      <c r="J9" s="27"/>
      <c r="K9" s="27"/>
    </row>
    <row r="10" spans="1:11" ht="31.5">
      <c r="A10" s="19">
        <v>182</v>
      </c>
      <c r="B10" s="16" t="s">
        <v>18</v>
      </c>
      <c r="C10" s="20" t="s">
        <v>19</v>
      </c>
      <c r="D10" s="14" t="s">
        <v>20</v>
      </c>
      <c r="E10" s="21" t="s">
        <v>9</v>
      </c>
      <c r="F10" s="22">
        <v>130</v>
      </c>
      <c r="G10" s="23">
        <v>730</v>
      </c>
      <c r="H10" s="23">
        <v>1000</v>
      </c>
      <c r="I10" s="23"/>
      <c r="J10" s="27">
        <f>ROUND(SUM(G10:I10),2)</f>
        <v>1730</v>
      </c>
      <c r="K10" s="27">
        <f>ROUND(F10*J10,2)</f>
        <v>224900</v>
      </c>
    </row>
    <row r="11" spans="1:11" ht="15.75">
      <c r="A11" s="19"/>
      <c r="B11" s="16"/>
      <c r="C11" s="20" t="s">
        <v>58</v>
      </c>
      <c r="D11" s="14">
        <v>1</v>
      </c>
      <c r="E11" s="21" t="s">
        <v>61</v>
      </c>
      <c r="F11" s="22"/>
      <c r="G11" s="23"/>
      <c r="H11" s="23"/>
      <c r="I11" s="23"/>
      <c r="J11" s="27"/>
      <c r="K11" s="27">
        <v>25000</v>
      </c>
    </row>
    <row r="12" spans="1:11" ht="15.75">
      <c r="A12" s="13"/>
      <c r="B12" s="14" t="s">
        <v>21</v>
      </c>
      <c r="C12" s="15" t="s">
        <v>22</v>
      </c>
      <c r="D12" s="14"/>
      <c r="E12" s="16"/>
      <c r="F12" s="17"/>
      <c r="G12" s="18"/>
      <c r="H12" s="18"/>
      <c r="I12" s="18"/>
      <c r="J12" s="27"/>
      <c r="K12" s="27"/>
    </row>
    <row r="13" spans="1:11" ht="31.5">
      <c r="A13" s="19">
        <v>183</v>
      </c>
      <c r="B13" s="16" t="s">
        <v>23</v>
      </c>
      <c r="C13" s="20" t="s">
        <v>24</v>
      </c>
      <c r="D13" s="14" t="s">
        <v>25</v>
      </c>
      <c r="E13" s="16" t="s">
        <v>26</v>
      </c>
      <c r="F13" s="22">
        <v>10</v>
      </c>
      <c r="G13" s="23">
        <v>24500</v>
      </c>
      <c r="H13" s="23">
        <v>5500</v>
      </c>
      <c r="I13" s="23"/>
      <c r="J13" s="27">
        <f>ROUND(SUM(G13:I13),2)</f>
        <v>30000</v>
      </c>
      <c r="K13" s="27">
        <f>ROUND(F13*J13,2)</f>
        <v>300000</v>
      </c>
    </row>
    <row r="14" spans="1:11" ht="78.75">
      <c r="A14" s="19">
        <v>184</v>
      </c>
      <c r="B14" s="16" t="s">
        <v>27</v>
      </c>
      <c r="C14" s="20" t="s">
        <v>28</v>
      </c>
      <c r="D14" s="24" t="s">
        <v>29</v>
      </c>
      <c r="E14" s="16" t="s">
        <v>26</v>
      </c>
      <c r="F14" s="22">
        <v>2</v>
      </c>
      <c r="G14" s="24" t="s">
        <v>29</v>
      </c>
      <c r="H14" s="18">
        <v>3500</v>
      </c>
      <c r="I14" s="18"/>
      <c r="J14" s="27">
        <f>ROUND(SUM(H14:I14),2)</f>
        <v>3500</v>
      </c>
      <c r="K14" s="27">
        <f>ROUND(F14*J14,2)</f>
        <v>7000</v>
      </c>
    </row>
    <row r="15" spans="1:11" ht="15.75">
      <c r="A15" s="13"/>
      <c r="B15" s="14" t="s">
        <v>30</v>
      </c>
      <c r="C15" s="15" t="s">
        <v>31</v>
      </c>
      <c r="D15" s="14"/>
      <c r="E15" s="16"/>
      <c r="F15" s="17"/>
      <c r="G15" s="18"/>
      <c r="H15" s="18"/>
      <c r="I15" s="18"/>
      <c r="J15" s="27"/>
      <c r="K15" s="27"/>
    </row>
    <row r="16" spans="1:11" ht="31.5">
      <c r="A16" s="19">
        <v>185</v>
      </c>
      <c r="B16" s="16" t="s">
        <v>32</v>
      </c>
      <c r="C16" s="20" t="s">
        <v>33</v>
      </c>
      <c r="D16" s="14" t="s">
        <v>34</v>
      </c>
      <c r="E16" s="16" t="s">
        <v>26</v>
      </c>
      <c r="F16" s="22">
        <v>1</v>
      </c>
      <c r="G16" s="23">
        <v>12500</v>
      </c>
      <c r="H16" s="23">
        <v>3750</v>
      </c>
      <c r="I16" s="23"/>
      <c r="J16" s="27">
        <f>ROUND(SUM(G16:I16),2)</f>
        <v>16250</v>
      </c>
      <c r="K16" s="27">
        <f>ROUND(F16*J16,2)</f>
        <v>16250</v>
      </c>
    </row>
    <row r="17" spans="1:11" ht="15.75">
      <c r="A17" s="13"/>
      <c r="B17" s="14" t="s">
        <v>35</v>
      </c>
      <c r="C17" s="15" t="s">
        <v>36</v>
      </c>
      <c r="D17" s="14"/>
      <c r="E17" s="16"/>
      <c r="F17" s="17"/>
      <c r="G17" s="18"/>
      <c r="H17" s="18"/>
      <c r="I17" s="18"/>
      <c r="J17" s="27"/>
      <c r="K17" s="27"/>
    </row>
    <row r="18" spans="1:11" ht="31.5">
      <c r="A18" s="19">
        <v>186</v>
      </c>
      <c r="B18" s="16" t="s">
        <v>37</v>
      </c>
      <c r="C18" s="20" t="s">
        <v>38</v>
      </c>
      <c r="D18" s="14" t="s">
        <v>39</v>
      </c>
      <c r="E18" s="16" t="s">
        <v>26</v>
      </c>
      <c r="F18" s="22">
        <v>1</v>
      </c>
      <c r="G18" s="23">
        <v>6600</v>
      </c>
      <c r="H18" s="23">
        <v>1750</v>
      </c>
      <c r="I18" s="23"/>
      <c r="J18" s="27">
        <f t="shared" ref="J18:J22" si="0">ROUND(SUM(G18:I18),2)</f>
        <v>8350</v>
      </c>
      <c r="K18" s="27">
        <f>ROUND(F18*J18,2)</f>
        <v>8350</v>
      </c>
    </row>
    <row r="19" spans="1:11" ht="15.75">
      <c r="A19" s="13"/>
      <c r="B19" s="14" t="s">
        <v>40</v>
      </c>
      <c r="C19" s="15" t="s">
        <v>41</v>
      </c>
      <c r="D19" s="14"/>
      <c r="E19" s="16"/>
      <c r="F19" s="17"/>
      <c r="G19" s="18"/>
      <c r="H19" s="18"/>
      <c r="I19" s="18"/>
      <c r="J19" s="27"/>
      <c r="K19" s="27"/>
    </row>
    <row r="20" spans="1:11" ht="31.5">
      <c r="A20" s="19">
        <v>187</v>
      </c>
      <c r="B20" s="16" t="s">
        <v>42</v>
      </c>
      <c r="C20" s="20" t="s">
        <v>43</v>
      </c>
      <c r="D20" s="14" t="s">
        <v>44</v>
      </c>
      <c r="E20" s="16" t="s">
        <v>26</v>
      </c>
      <c r="F20" s="22">
        <v>1</v>
      </c>
      <c r="G20" s="23">
        <v>2500</v>
      </c>
      <c r="H20" s="23">
        <v>1500</v>
      </c>
      <c r="I20" s="23"/>
      <c r="J20" s="27">
        <f t="shared" si="0"/>
        <v>4000</v>
      </c>
      <c r="K20" s="27">
        <f>ROUND(F20*J20,2)</f>
        <v>4000</v>
      </c>
    </row>
    <row r="21" spans="1:11" ht="15.75">
      <c r="A21" s="13"/>
      <c r="B21" s="14" t="s">
        <v>45</v>
      </c>
      <c r="C21" s="15" t="s">
        <v>46</v>
      </c>
      <c r="D21" s="14"/>
      <c r="E21" s="16"/>
      <c r="F21" s="17"/>
      <c r="G21" s="18"/>
      <c r="H21" s="18"/>
      <c r="I21" s="18"/>
      <c r="J21" s="27"/>
      <c r="K21" s="27"/>
    </row>
    <row r="22" spans="1:11" ht="31.5">
      <c r="A22" s="19">
        <v>188</v>
      </c>
      <c r="B22" s="16" t="s">
        <v>47</v>
      </c>
      <c r="C22" s="20" t="s">
        <v>62</v>
      </c>
      <c r="D22" s="14" t="s">
        <v>48</v>
      </c>
      <c r="E22" s="16" t="s">
        <v>26</v>
      </c>
      <c r="F22" s="22">
        <v>1</v>
      </c>
      <c r="G22" s="23">
        <v>235000</v>
      </c>
      <c r="H22" s="23">
        <v>12500</v>
      </c>
      <c r="I22" s="23"/>
      <c r="J22" s="27">
        <f t="shared" si="0"/>
        <v>247500</v>
      </c>
      <c r="K22" s="27">
        <f>ROUND(F22*J22,2)</f>
        <v>247500</v>
      </c>
    </row>
    <row r="23" spans="1:11" ht="15.75">
      <c r="A23" s="13"/>
      <c r="B23" s="14" t="s">
        <v>49</v>
      </c>
      <c r="C23" s="15" t="s">
        <v>50</v>
      </c>
      <c r="D23" s="14"/>
      <c r="E23" s="16"/>
      <c r="F23" s="17"/>
      <c r="G23" s="18"/>
      <c r="H23" s="18"/>
      <c r="I23" s="18"/>
      <c r="J23" s="27"/>
      <c r="K23" s="27"/>
    </row>
    <row r="24" spans="1:11" ht="31.5">
      <c r="A24" s="19">
        <v>189</v>
      </c>
      <c r="B24" s="16" t="s">
        <v>51</v>
      </c>
      <c r="C24" s="20" t="s">
        <v>52</v>
      </c>
      <c r="D24" s="14" t="s">
        <v>53</v>
      </c>
      <c r="E24" s="16" t="s">
        <v>26</v>
      </c>
      <c r="F24" s="22">
        <v>1</v>
      </c>
      <c r="G24" s="23">
        <v>10500</v>
      </c>
      <c r="H24" s="23">
        <v>3500</v>
      </c>
      <c r="I24" s="23"/>
      <c r="J24" s="27">
        <f>ROUND(SUM(G24:I24),2)</f>
        <v>14000</v>
      </c>
      <c r="K24" s="27">
        <f>ROUND(F24*J24,2)</f>
        <v>14000</v>
      </c>
    </row>
    <row r="25" spans="1:11" ht="15.75">
      <c r="A25" s="28"/>
      <c r="B25" s="29" t="s">
        <v>54</v>
      </c>
      <c r="C25" s="30" t="s">
        <v>55</v>
      </c>
      <c r="D25" s="29"/>
      <c r="E25" s="31"/>
      <c r="F25" s="32"/>
      <c r="G25" s="33"/>
      <c r="H25" s="33"/>
      <c r="I25" s="33"/>
      <c r="J25" s="34"/>
      <c r="K25" s="34"/>
    </row>
    <row r="26" spans="1:11" ht="78.75">
      <c r="A26" s="35">
        <v>190</v>
      </c>
      <c r="B26" s="36" t="s">
        <v>56</v>
      </c>
      <c r="C26" s="37" t="s">
        <v>57</v>
      </c>
      <c r="D26" s="38" t="s">
        <v>29</v>
      </c>
      <c r="E26" s="36" t="s">
        <v>26</v>
      </c>
      <c r="F26" s="39">
        <v>1</v>
      </c>
      <c r="G26" s="38" t="s">
        <v>29</v>
      </c>
      <c r="H26" s="40">
        <v>12500</v>
      </c>
      <c r="I26" s="40"/>
      <c r="J26" s="41">
        <f>ROUND(SUM(H26:I26),2)</f>
        <v>12500</v>
      </c>
      <c r="K26" s="41">
        <f>ROUND(F26*J26,2)</f>
        <v>12500</v>
      </c>
    </row>
    <row r="27" spans="1:11" ht="47.25">
      <c r="A27" s="35"/>
      <c r="B27" s="36"/>
      <c r="C27" s="42" t="s">
        <v>63</v>
      </c>
      <c r="D27" s="38"/>
      <c r="E27" s="36" t="s">
        <v>61</v>
      </c>
      <c r="F27" s="39">
        <v>1</v>
      </c>
      <c r="G27" s="38"/>
      <c r="H27" s="40"/>
      <c r="I27" s="40"/>
      <c r="J27" s="41">
        <v>125000</v>
      </c>
      <c r="K27" s="41">
        <v>125000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ANONIM</dc:creator>
  <cp:lastModifiedBy>ANONIM</cp:lastModifiedBy>
  <dcterms:created xsi:type="dcterms:W3CDTF">2026-02-21T15:20:31Z</dcterms:created>
  <dcterms:modified xsi:type="dcterms:W3CDTF">2026-03-02T16:26:16Z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EACB2F163BE54BC1A9892C5BCD59CB1C_11</vt:lpwstr>
  </property>
  <property fmtid="{D5CDD505-2E9C-101B-9397-08002B2CF9AE}" pid="3" name="KSOProductBuildVer">
    <vt:lpwstr>1033-12.2.0.22549</vt:lpwstr>
  </property>
</Properties>
</file>